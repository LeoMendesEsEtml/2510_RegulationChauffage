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"/>
    </mc:Choice>
  </mc:AlternateContent>
  <xr:revisionPtr revIDLastSave="16" documentId="8_{6D37B1DA-F485-43C4-9A4C-41CF1B924667}" xr6:coauthVersionLast="45" xr6:coauthVersionMax="45" xr10:uidLastSave="{CCE54730-BD2B-40AA-9493-45CA7BCF2E46}"/>
  <bookViews>
    <workbookView xWindow="28680" yWindow="-120" windowWidth="29040" windowHeight="15840" xr2:uid="{2C036080-930E-4B79-8ED5-37F9184B69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1" i="1" l="1"/>
  <c r="N10" i="1"/>
  <c r="M30" i="1"/>
  <c r="M29" i="1"/>
  <c r="M28" i="1"/>
  <c r="M27" i="1"/>
  <c r="N30" i="1"/>
  <c r="N29" i="1"/>
  <c r="N28" i="1"/>
  <c r="N27" i="1"/>
  <c r="M37" i="1"/>
  <c r="M36" i="1"/>
  <c r="N37" i="1"/>
  <c r="N36" i="1"/>
  <c r="O22" i="1"/>
  <c r="O38" i="1"/>
  <c r="M9" i="1"/>
  <c r="N9" i="1"/>
  <c r="K20" i="1"/>
  <c r="N20" i="1"/>
  <c r="J20" i="1"/>
  <c r="M20" i="1" s="1"/>
  <c r="L20" i="1"/>
  <c r="J29" i="1"/>
  <c r="K29" i="1" s="1"/>
  <c r="K30" i="1"/>
  <c r="J30" i="1"/>
  <c r="K27" i="1"/>
  <c r="J28" i="1"/>
  <c r="J27" i="1"/>
  <c r="K37" i="1"/>
  <c r="J37" i="1"/>
  <c r="J38" i="1" s="1"/>
  <c r="K36" i="1"/>
  <c r="J36" i="1"/>
  <c r="I38" i="1"/>
  <c r="L37" i="1"/>
  <c r="K38" i="1"/>
  <c r="L36" i="1"/>
  <c r="L38" i="1" l="1"/>
  <c r="M38" i="1"/>
  <c r="N38" i="1"/>
  <c r="I31" i="1" l="1"/>
  <c r="J11" i="1"/>
  <c r="K11" i="1"/>
  <c r="I11" i="1"/>
  <c r="I22" i="1"/>
  <c r="K19" i="1"/>
  <c r="K22" i="1" s="1"/>
  <c r="J19" i="1"/>
  <c r="J22" i="1" s="1"/>
  <c r="K28" i="1"/>
  <c r="L30" i="1"/>
  <c r="L29" i="1"/>
  <c r="L28" i="1"/>
  <c r="L27" i="1"/>
  <c r="L31" i="1" s="1"/>
  <c r="N17" i="1"/>
  <c r="N18" i="1"/>
  <c r="M17" i="1"/>
  <c r="M18" i="1"/>
  <c r="L17" i="1"/>
  <c r="L18" i="1"/>
  <c r="L19" i="1"/>
  <c r="M16" i="1"/>
  <c r="N16" i="1"/>
  <c r="L16" i="1"/>
  <c r="L11" i="1"/>
  <c r="N11" i="1"/>
  <c r="I5" i="1"/>
  <c r="I4" i="1"/>
  <c r="I3" i="1"/>
  <c r="H2" i="1"/>
  <c r="K31" i="1" l="1"/>
  <c r="M31" i="1"/>
  <c r="M21" i="1" s="1"/>
  <c r="N31" i="1"/>
  <c r="N21" i="1" s="1"/>
  <c r="J31" i="1"/>
  <c r="N19" i="1"/>
  <c r="N22" i="1" s="1"/>
  <c r="M11" i="1" s="1"/>
  <c r="L22" i="1"/>
  <c r="M19" i="1"/>
  <c r="M22" i="1" s="1"/>
</calcChain>
</file>

<file path=xl/sharedStrings.xml><?xml version="1.0" encoding="utf-8"?>
<sst xmlns="http://schemas.openxmlformats.org/spreadsheetml/2006/main" count="75" uniqueCount="35">
  <si>
    <t>Tension[V]</t>
  </si>
  <si>
    <t>Courant[A]</t>
  </si>
  <si>
    <t>Puissance[W]</t>
  </si>
  <si>
    <t>AC/DC</t>
  </si>
  <si>
    <t>Bcuk down</t>
  </si>
  <si>
    <t>LDO</t>
  </si>
  <si>
    <t>CM5_3V3</t>
  </si>
  <si>
    <t>Consomation 24[V]</t>
  </si>
  <si>
    <t>Typ</t>
  </si>
  <si>
    <t>Max</t>
  </si>
  <si>
    <t>Min</t>
  </si>
  <si>
    <t>Consomation 5[V]</t>
  </si>
  <si>
    <t>CM5</t>
  </si>
  <si>
    <t xml:space="preserve">Tension[V] : </t>
  </si>
  <si>
    <t>Buck down</t>
  </si>
  <si>
    <t>24V-I/O</t>
  </si>
  <si>
    <t>Total</t>
  </si>
  <si>
    <t>Front LED</t>
  </si>
  <si>
    <t>LED Ethernet</t>
  </si>
  <si>
    <t>Bypass INPUT relay (min = 0 relay, typ = 2 relay, max = 8 relay )</t>
  </si>
  <si>
    <t>ADS124S08IPBSR</t>
  </si>
  <si>
    <t>TMUX1204DGSR</t>
  </si>
  <si>
    <t>Totaux</t>
  </si>
  <si>
    <t>-</t>
  </si>
  <si>
    <t>Consomation 3.3[V]</t>
  </si>
  <si>
    <t>Consomation CM-3.3[V]</t>
  </si>
  <si>
    <t>LED activity</t>
  </si>
  <si>
    <t>LED Power</t>
  </si>
  <si>
    <t>74HC595PW,118 (min = 0 X, typ = 1 X, max = 4 X )</t>
  </si>
  <si>
    <t>ADG732BSUZ-REEL(min = 0 X, typ = 1 X, max = 4 X )</t>
  </si>
  <si>
    <t>Puissance [W]</t>
  </si>
  <si>
    <t>Sortie LDO</t>
  </si>
  <si>
    <t>Alimentations MAX</t>
  </si>
  <si>
    <t>Consomation LDO TPS7A2024PDBVR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</si>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</sst>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/>
    <xf numFmtId="0" fontId="0" fillId="0" borderId="21" xfId="0" applyBorder="1"/>
    <xf numFmtId="0" fontId="0" fillId="0" borderId="22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8" xfId="0" applyBorder="1"/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NumberForma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0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/>
    <xf numFmtId="0" fontId="0" fillId="0" borderId="21" xfId="0" applyNumberFormat="1" applyBorder="1"/>
    <xf numFmtId="0" fontId="0" fillId="0" borderId="18" xfId="0" applyNumberFormat="1" applyBorder="1"/>
    <xf numFmtId="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0068-6E37-4936-880D-425D7B9478EC}">
  <dimension ref="E1:P38"/>
  <sheetViews>
    <sheetView tabSelected="1" topLeftCell="A7" zoomScale="115" zoomScaleNormal="115" workbookViewId="0">
      <selection activeCell="O12" sqref="O12"/>
    </sheetView>
  </sheetViews>
  <sheetFormatPr baseColWidth="10" defaultRowHeight="15" x14ac:dyDescent="0.25"/>
  <cols>
    <col min="1" max="1" width="18.42578125" customWidth="1"/>
    <col min="4" max="4" width="11.140625" customWidth="1"/>
    <col min="5" max="5" width="11.42578125" hidden="1" customWidth="1"/>
    <col min="6" max="6" width="21.28515625" customWidth="1"/>
    <col min="7" max="7" width="13" customWidth="1"/>
    <col min="8" max="8" width="23.140625" customWidth="1"/>
    <col min="9" max="9" width="12.5703125" customWidth="1"/>
  </cols>
  <sheetData>
    <row r="1" spans="6:16" ht="15.75" thickBot="1" x14ac:dyDescent="0.3">
      <c r="F1" s="26" t="s">
        <v>32</v>
      </c>
      <c r="G1" s="26" t="s">
        <v>0</v>
      </c>
      <c r="H1" s="26" t="s">
        <v>1</v>
      </c>
      <c r="I1" s="43" t="s">
        <v>2</v>
      </c>
    </row>
    <row r="2" spans="6:16" ht="15.75" thickBot="1" x14ac:dyDescent="0.3">
      <c r="F2" s="26" t="s">
        <v>3</v>
      </c>
      <c r="G2" s="26">
        <v>24</v>
      </c>
      <c r="H2" s="43">
        <f>I2/G2</f>
        <v>0.625</v>
      </c>
      <c r="I2" s="43">
        <v>15</v>
      </c>
    </row>
    <row r="3" spans="6:16" ht="15.75" thickBot="1" x14ac:dyDescent="0.3">
      <c r="F3" s="26" t="s">
        <v>4</v>
      </c>
      <c r="G3" s="26">
        <v>5</v>
      </c>
      <c r="H3" s="43">
        <v>2.5</v>
      </c>
      <c r="I3" s="43">
        <f>G3*H3</f>
        <v>12.5</v>
      </c>
    </row>
    <row r="4" spans="6:16" ht="15.75" thickBot="1" x14ac:dyDescent="0.3">
      <c r="F4" s="26" t="s">
        <v>5</v>
      </c>
      <c r="G4" s="26">
        <v>3.3</v>
      </c>
      <c r="H4" s="43">
        <v>0.3</v>
      </c>
      <c r="I4" s="43">
        <f>G4*H4</f>
        <v>0.98999999999999988</v>
      </c>
    </row>
    <row r="5" spans="6:16" ht="15.75" thickBot="1" x14ac:dyDescent="0.3">
      <c r="F5" s="44" t="s">
        <v>6</v>
      </c>
      <c r="G5" s="44">
        <v>3.3</v>
      </c>
      <c r="H5" s="45">
        <v>0.3</v>
      </c>
      <c r="I5" s="45">
        <f>G5*H5</f>
        <v>0.98999999999999988</v>
      </c>
    </row>
    <row r="6" spans="6:16" ht="15.75" thickBot="1" x14ac:dyDescent="0.3"/>
    <row r="7" spans="6:16" x14ac:dyDescent="0.25">
      <c r="F7" s="37" t="s">
        <v>7</v>
      </c>
      <c r="G7" s="39" t="s">
        <v>13</v>
      </c>
      <c r="H7" s="39">
        <v>24</v>
      </c>
      <c r="I7" s="6" t="s">
        <v>1</v>
      </c>
      <c r="J7" s="7"/>
      <c r="K7" s="7"/>
      <c r="L7" s="7" t="s">
        <v>30</v>
      </c>
      <c r="M7" s="7"/>
      <c r="N7" s="8"/>
    </row>
    <row r="8" spans="6:16" ht="15.75" thickBot="1" x14ac:dyDescent="0.3">
      <c r="F8" s="38"/>
      <c r="G8" s="41"/>
      <c r="H8" s="41"/>
      <c r="I8" s="10" t="s">
        <v>10</v>
      </c>
      <c r="J8" s="11" t="s">
        <v>8</v>
      </c>
      <c r="K8" s="11" t="s">
        <v>9</v>
      </c>
      <c r="L8" s="11" t="s">
        <v>10</v>
      </c>
      <c r="M8" s="11" t="s">
        <v>8</v>
      </c>
      <c r="N8" s="12" t="s">
        <v>9</v>
      </c>
    </row>
    <row r="9" spans="6:16" x14ac:dyDescent="0.25">
      <c r="F9" s="13" t="s">
        <v>14</v>
      </c>
      <c r="G9" s="14"/>
      <c r="H9" s="15"/>
      <c r="I9" s="16" t="s">
        <v>23</v>
      </c>
      <c r="J9" s="17" t="s">
        <v>23</v>
      </c>
      <c r="K9" s="17" t="s">
        <v>23</v>
      </c>
      <c r="L9" s="17">
        <v>0</v>
      </c>
      <c r="M9" s="17">
        <f>M22</f>
        <v>2.3109999999999999</v>
      </c>
      <c r="N9" s="18">
        <f>N22</f>
        <v>5.6539999999999999</v>
      </c>
    </row>
    <row r="10" spans="6:16" ht="15.75" thickBot="1" x14ac:dyDescent="0.3">
      <c r="F10" s="47" t="s">
        <v>15</v>
      </c>
      <c r="G10" s="48"/>
      <c r="H10" s="49"/>
      <c r="I10" s="22">
        <v>0</v>
      </c>
      <c r="J10" s="23">
        <v>5.1460000000000004E-3</v>
      </c>
      <c r="K10" s="23">
        <v>5.1460000000000004E-3</v>
      </c>
      <c r="L10" s="23">
        <v>0</v>
      </c>
      <c r="M10" s="23">
        <v>0.1235</v>
      </c>
      <c r="N10" s="24">
        <f>H7*K10</f>
        <v>0.123504</v>
      </c>
    </row>
    <row r="11" spans="6:16" ht="15.75" thickBot="1" x14ac:dyDescent="0.3">
      <c r="F11" s="19" t="s">
        <v>16</v>
      </c>
      <c r="G11" s="20"/>
      <c r="H11" s="21"/>
      <c r="I11" s="50">
        <f>SUM(I9:I10)</f>
        <v>0</v>
      </c>
      <c r="J11" s="34">
        <f>SUM(J9:J10)</f>
        <v>5.1460000000000004E-3</v>
      </c>
      <c r="K11" s="34">
        <f>SUM(K9:K10)</f>
        <v>5.1460000000000004E-3</v>
      </c>
      <c r="L11" s="34">
        <f>L9+L10</f>
        <v>0</v>
      </c>
      <c r="M11" s="34">
        <f>M9+M10</f>
        <v>2.4344999999999999</v>
      </c>
      <c r="N11" s="35">
        <f>N9+N10</f>
        <v>5.7775039999999995</v>
      </c>
      <c r="O11" s="53" t="str">
        <f>" &lt;15[W]"</f>
        <v xml:space="preserve"> &lt;15[W]</v>
      </c>
      <c r="P11" s="43" t="s">
        <v>34</v>
      </c>
    </row>
    <row r="13" spans="6:16" ht="15.75" thickBot="1" x14ac:dyDescent="0.3"/>
    <row r="14" spans="6:16" x14ac:dyDescent="0.25">
      <c r="F14" s="36" t="s">
        <v>11</v>
      </c>
      <c r="G14" s="37" t="s">
        <v>13</v>
      </c>
      <c r="H14" s="39">
        <v>5</v>
      </c>
      <c r="I14" s="6" t="s">
        <v>1</v>
      </c>
      <c r="J14" s="7"/>
      <c r="K14" s="7"/>
      <c r="L14" s="7" t="s">
        <v>30</v>
      </c>
      <c r="M14" s="7"/>
      <c r="N14" s="8"/>
    </row>
    <row r="15" spans="6:16" ht="15.75" thickBot="1" x14ac:dyDescent="0.3">
      <c r="F15" s="40"/>
      <c r="G15" s="38"/>
      <c r="H15" s="41"/>
      <c r="I15" s="22" t="s">
        <v>10</v>
      </c>
      <c r="J15" s="23" t="s">
        <v>8</v>
      </c>
      <c r="K15" s="23" t="s">
        <v>9</v>
      </c>
      <c r="L15" s="23" t="s">
        <v>10</v>
      </c>
      <c r="M15" s="23" t="s">
        <v>8</v>
      </c>
      <c r="N15" s="24" t="s">
        <v>9</v>
      </c>
    </row>
    <row r="16" spans="6:16" x14ac:dyDescent="0.25">
      <c r="F16" s="13" t="s">
        <v>12</v>
      </c>
      <c r="G16" s="14"/>
      <c r="H16" s="15"/>
      <c r="I16" s="29">
        <v>3.0000000000000001E-3</v>
      </c>
      <c r="J16" s="30">
        <v>0.4</v>
      </c>
      <c r="K16" s="30">
        <v>0.9</v>
      </c>
      <c r="L16" s="30">
        <f>$H$14*I16</f>
        <v>1.4999999999999999E-2</v>
      </c>
      <c r="M16" s="30">
        <f>$H$14*J16</f>
        <v>2</v>
      </c>
      <c r="N16" s="31">
        <f>$H$14*K16</f>
        <v>4.5</v>
      </c>
    </row>
    <row r="17" spans="6:16" x14ac:dyDescent="0.25">
      <c r="F17" s="9" t="s">
        <v>17</v>
      </c>
      <c r="G17" s="1"/>
      <c r="H17" s="4"/>
      <c r="I17" s="32">
        <v>0</v>
      </c>
      <c r="J17" s="2">
        <v>2E-3</v>
      </c>
      <c r="K17" s="2">
        <v>2E-3</v>
      </c>
      <c r="L17" s="2">
        <f>$H$14*I17</f>
        <v>0</v>
      </c>
      <c r="M17" s="2">
        <f>$H$14*J17</f>
        <v>0.01</v>
      </c>
      <c r="N17" s="5">
        <f>$H$14*K17</f>
        <v>0.01</v>
      </c>
    </row>
    <row r="18" spans="6:16" x14ac:dyDescent="0.25">
      <c r="F18" s="9" t="s">
        <v>18</v>
      </c>
      <c r="G18" s="1"/>
      <c r="H18" s="4"/>
      <c r="I18" s="32">
        <v>0</v>
      </c>
      <c r="J18" s="2">
        <v>4.0000000000000001E-3</v>
      </c>
      <c r="K18" s="2">
        <v>4.0000000000000001E-3</v>
      </c>
      <c r="L18" s="2">
        <f>$H$14*I18</f>
        <v>0</v>
      </c>
      <c r="M18" s="2">
        <f>$H$14*J18</f>
        <v>0.02</v>
      </c>
      <c r="N18" s="5">
        <f>$H$14*K18</f>
        <v>0.02</v>
      </c>
    </row>
    <row r="19" spans="6:16" x14ac:dyDescent="0.25">
      <c r="F19" s="9" t="s">
        <v>19</v>
      </c>
      <c r="G19" s="1"/>
      <c r="H19" s="4"/>
      <c r="I19" s="32">
        <v>0</v>
      </c>
      <c r="J19" s="2">
        <f>2*0.0281</f>
        <v>5.62E-2</v>
      </c>
      <c r="K19" s="2">
        <f>8*0.0281</f>
        <v>0.2248</v>
      </c>
      <c r="L19" s="2">
        <f>$H$14*I19</f>
        <v>0</v>
      </c>
      <c r="M19" s="2">
        <f>$H$14*J19</f>
        <v>0.28100000000000003</v>
      </c>
      <c r="N19" s="5">
        <f>$H$14*K19</f>
        <v>1.1240000000000001</v>
      </c>
    </row>
    <row r="20" spans="6:16" x14ac:dyDescent="0.25">
      <c r="F20" s="9" t="s">
        <v>33</v>
      </c>
      <c r="G20" s="1"/>
      <c r="H20" s="4"/>
      <c r="I20" s="32">
        <v>0</v>
      </c>
      <c r="J20" s="2">
        <f>0.0000065</f>
        <v>6.4999999999999996E-6</v>
      </c>
      <c r="K20" s="2">
        <f>0.0000065</f>
        <v>6.4999999999999996E-6</v>
      </c>
      <c r="L20" s="2">
        <f>$H$14*I20</f>
        <v>0</v>
      </c>
      <c r="M20" s="2">
        <f>$H$14*J20</f>
        <v>3.2499999999999997E-5</v>
      </c>
      <c r="N20" s="5">
        <f>$H$14*K20</f>
        <v>3.2499999999999997E-5</v>
      </c>
    </row>
    <row r="21" spans="6:16" ht="15.75" thickBot="1" x14ac:dyDescent="0.3">
      <c r="F21" s="47" t="s">
        <v>31</v>
      </c>
      <c r="G21" s="48"/>
      <c r="H21" s="49"/>
      <c r="I21" s="46" t="s">
        <v>23</v>
      </c>
      <c r="J21" s="23" t="s">
        <v>23</v>
      </c>
      <c r="K21" s="23" t="s">
        <v>23</v>
      </c>
      <c r="L21" s="23">
        <v>0</v>
      </c>
      <c r="M21" s="23">
        <f>M31</f>
        <v>2.3990999999999999E-3</v>
      </c>
      <c r="N21" s="24">
        <f>N31</f>
        <v>3.6365999999999998E-3</v>
      </c>
    </row>
    <row r="22" spans="6:16" ht="15.75" thickBot="1" x14ac:dyDescent="0.3">
      <c r="F22" s="19" t="s">
        <v>22</v>
      </c>
      <c r="G22" s="20"/>
      <c r="H22" s="21"/>
      <c r="I22" s="50">
        <f>SUM(I16:I19)</f>
        <v>3.0000000000000001E-3</v>
      </c>
      <c r="J22" s="34">
        <f>SUM(J16:J19)</f>
        <v>0.46220000000000006</v>
      </c>
      <c r="K22" s="34">
        <f>SUM(K16:K19)</f>
        <v>1.1308</v>
      </c>
      <c r="L22" s="34">
        <f>SUM(L16:L19)</f>
        <v>1.4999999999999999E-2</v>
      </c>
      <c r="M22" s="34">
        <f>SUM(M16:M19)</f>
        <v>2.3109999999999999</v>
      </c>
      <c r="N22" s="35">
        <f>SUM(N16:N19)</f>
        <v>5.6539999999999999</v>
      </c>
      <c r="O22" s="53" t="str">
        <f>" &lt;12[W]"</f>
        <v xml:space="preserve"> &lt;12[W]</v>
      </c>
      <c r="P22" s="43" t="s">
        <v>34</v>
      </c>
    </row>
    <row r="24" spans="6:16" ht="15.75" thickBot="1" x14ac:dyDescent="0.3"/>
    <row r="25" spans="6:16" x14ac:dyDescent="0.25">
      <c r="F25" s="37" t="s">
        <v>24</v>
      </c>
      <c r="G25" s="37" t="s">
        <v>13</v>
      </c>
      <c r="H25" s="39">
        <v>3.3</v>
      </c>
      <c r="I25" s="6" t="s">
        <v>1</v>
      </c>
      <c r="J25" s="7"/>
      <c r="K25" s="7"/>
      <c r="L25" s="7" t="s">
        <v>30</v>
      </c>
      <c r="M25" s="7"/>
      <c r="N25" s="8"/>
    </row>
    <row r="26" spans="6:16" ht="15.75" thickBot="1" x14ac:dyDescent="0.3">
      <c r="F26" s="38"/>
      <c r="G26" s="38"/>
      <c r="H26" s="41"/>
      <c r="I26" s="22" t="s">
        <v>10</v>
      </c>
      <c r="J26" s="23" t="s">
        <v>8</v>
      </c>
      <c r="K26" s="23" t="s">
        <v>9</v>
      </c>
      <c r="L26" s="23" t="s">
        <v>10</v>
      </c>
      <c r="M26" s="23" t="s">
        <v>8</v>
      </c>
      <c r="N26" s="24" t="s">
        <v>9</v>
      </c>
    </row>
    <row r="27" spans="6:16" x14ac:dyDescent="0.25">
      <c r="F27" s="13" t="s">
        <v>20</v>
      </c>
      <c r="G27" s="14"/>
      <c r="H27" s="15"/>
      <c r="I27" s="33">
        <v>0</v>
      </c>
      <c r="J27" s="42">
        <f>0.000635</f>
        <v>6.3500000000000004E-4</v>
      </c>
      <c r="K27" s="42">
        <f>0.00074</f>
        <v>7.3999999999999999E-4</v>
      </c>
      <c r="L27" s="30">
        <f>$H$14*I27</f>
        <v>0</v>
      </c>
      <c r="M27" s="30">
        <f>$H$25*J27</f>
        <v>2.0955000000000001E-3</v>
      </c>
      <c r="N27" s="31">
        <f>$H$25*K27</f>
        <v>2.4419999999999997E-3</v>
      </c>
    </row>
    <row r="28" spans="6:16" x14ac:dyDescent="0.25">
      <c r="F28" s="9" t="s">
        <v>21</v>
      </c>
      <c r="G28" s="1"/>
      <c r="H28" s="4"/>
      <c r="I28" s="3">
        <v>0</v>
      </c>
      <c r="J28" s="28">
        <f>0.000002</f>
        <v>1.9999999999999999E-6</v>
      </c>
      <c r="K28" s="28">
        <f>0.000002</f>
        <v>1.9999999999999999E-6</v>
      </c>
      <c r="L28" s="2">
        <f>$H$14*I28</f>
        <v>0</v>
      </c>
      <c r="M28" s="2">
        <f>$H$25*J28</f>
        <v>6.5999999999999995E-6</v>
      </c>
      <c r="N28" s="5">
        <f>$H$25*K28</f>
        <v>6.5999999999999995E-6</v>
      </c>
    </row>
    <row r="29" spans="6:16" x14ac:dyDescent="0.25">
      <c r="F29" s="9" t="s">
        <v>28</v>
      </c>
      <c r="G29" s="1"/>
      <c r="H29" s="4"/>
      <c r="I29" s="3">
        <v>0</v>
      </c>
      <c r="J29" s="28">
        <f>0.00008</f>
        <v>8.0000000000000007E-5</v>
      </c>
      <c r="K29" s="28">
        <f>4*J29</f>
        <v>3.2000000000000003E-4</v>
      </c>
      <c r="L29" s="2">
        <f>$H$14*I29</f>
        <v>0</v>
      </c>
      <c r="M29" s="2">
        <f>$H$25*J29</f>
        <v>2.6400000000000002E-4</v>
      </c>
      <c r="N29" s="5">
        <f>$H$25*K29</f>
        <v>1.0560000000000001E-3</v>
      </c>
    </row>
    <row r="30" spans="6:16" ht="15.75" thickBot="1" x14ac:dyDescent="0.3">
      <c r="F30" s="47" t="s">
        <v>29</v>
      </c>
      <c r="G30" s="48"/>
      <c r="H30" s="49"/>
      <c r="I30" s="22">
        <v>0</v>
      </c>
      <c r="J30" s="51">
        <f>0.00001</f>
        <v>1.0000000000000001E-5</v>
      </c>
      <c r="K30" s="51">
        <f>4*0.00001</f>
        <v>4.0000000000000003E-5</v>
      </c>
      <c r="L30" s="23">
        <f>$H$14*I30</f>
        <v>0</v>
      </c>
      <c r="M30" s="23">
        <f>$H$25*J30</f>
        <v>3.3000000000000003E-5</v>
      </c>
      <c r="N30" s="24">
        <f>$H$25*K30</f>
        <v>1.3200000000000001E-4</v>
      </c>
    </row>
    <row r="31" spans="6:16" ht="15.75" thickBot="1" x14ac:dyDescent="0.3">
      <c r="F31" s="19" t="s">
        <v>22</v>
      </c>
      <c r="G31" s="20"/>
      <c r="H31" s="21"/>
      <c r="I31" s="50">
        <f>SUM(I27:I30)</f>
        <v>0</v>
      </c>
      <c r="J31" s="52">
        <f>SUM(J27:J30)</f>
        <v>7.2700000000000011E-4</v>
      </c>
      <c r="K31" s="52">
        <f>SUM(K27:K30)</f>
        <v>1.1020000000000001E-3</v>
      </c>
      <c r="L31" s="34">
        <f>SUM(L27:L30)</f>
        <v>0</v>
      </c>
      <c r="M31" s="34">
        <f>SUM(M27:M30)</f>
        <v>2.3990999999999999E-3</v>
      </c>
      <c r="N31" s="35">
        <f>SUM(N27:N30)</f>
        <v>3.6365999999999998E-3</v>
      </c>
    </row>
    <row r="32" spans="6:16" x14ac:dyDescent="0.25">
      <c r="F32" s="25"/>
      <c r="G32" s="25"/>
      <c r="H32" s="25"/>
      <c r="I32" s="27"/>
      <c r="J32" s="27"/>
      <c r="K32" s="27"/>
      <c r="L32" s="27"/>
      <c r="M32" s="27"/>
      <c r="N32" s="27"/>
    </row>
    <row r="33" spans="6:16" ht="15.75" thickBot="1" x14ac:dyDescent="0.3"/>
    <row r="34" spans="6:16" x14ac:dyDescent="0.25">
      <c r="F34" s="37" t="s">
        <v>25</v>
      </c>
      <c r="G34" s="39" t="s">
        <v>13</v>
      </c>
      <c r="H34" s="39">
        <v>3.3</v>
      </c>
      <c r="I34" s="6" t="s">
        <v>1</v>
      </c>
      <c r="J34" s="7"/>
      <c r="K34" s="7"/>
      <c r="L34" s="7" t="s">
        <v>30</v>
      </c>
      <c r="M34" s="7"/>
      <c r="N34" s="8"/>
    </row>
    <row r="35" spans="6:16" ht="15.75" thickBot="1" x14ac:dyDescent="0.3">
      <c r="F35" s="38"/>
      <c r="G35" s="41"/>
      <c r="H35" s="41"/>
      <c r="I35" s="10" t="s">
        <v>10</v>
      </c>
      <c r="J35" s="11" t="s">
        <v>8</v>
      </c>
      <c r="K35" s="11" t="s">
        <v>9</v>
      </c>
      <c r="L35" s="11" t="s">
        <v>10</v>
      </c>
      <c r="M35" s="11" t="s">
        <v>8</v>
      </c>
      <c r="N35" s="12" t="s">
        <v>9</v>
      </c>
    </row>
    <row r="36" spans="6:16" x14ac:dyDescent="0.25">
      <c r="F36" s="13" t="s">
        <v>26</v>
      </c>
      <c r="G36" s="14"/>
      <c r="H36" s="15"/>
      <c r="I36" s="16">
        <v>0</v>
      </c>
      <c r="J36" s="17">
        <f>0.02</f>
        <v>0.02</v>
      </c>
      <c r="K36" s="17">
        <f>0.02</f>
        <v>0.02</v>
      </c>
      <c r="L36" s="17">
        <f>$H$14*I36</f>
        <v>0</v>
      </c>
      <c r="M36" s="17">
        <f>$H$34*J36</f>
        <v>6.6000000000000003E-2</v>
      </c>
      <c r="N36" s="18">
        <f>H34*K36</f>
        <v>6.6000000000000003E-2</v>
      </c>
    </row>
    <row r="37" spans="6:16" ht="15.75" thickBot="1" x14ac:dyDescent="0.3">
      <c r="F37" s="47" t="s">
        <v>27</v>
      </c>
      <c r="G37" s="48"/>
      <c r="H37" s="49"/>
      <c r="I37" s="22">
        <v>0</v>
      </c>
      <c r="J37" s="23">
        <f>0.02</f>
        <v>0.02</v>
      </c>
      <c r="K37" s="23">
        <f>0.02</f>
        <v>0.02</v>
      </c>
      <c r="L37" s="23">
        <f>$H$14*I37</f>
        <v>0</v>
      </c>
      <c r="M37" s="23">
        <f>$H$34*J37</f>
        <v>6.6000000000000003E-2</v>
      </c>
      <c r="N37" s="18">
        <f>$H$34*K37</f>
        <v>6.6000000000000003E-2</v>
      </c>
    </row>
    <row r="38" spans="6:16" ht="15.75" thickBot="1" x14ac:dyDescent="0.3">
      <c r="F38" s="19" t="s">
        <v>22</v>
      </c>
      <c r="G38" s="20"/>
      <c r="H38" s="21"/>
      <c r="I38" s="50">
        <f>SUM(I36:I37)</f>
        <v>0</v>
      </c>
      <c r="J38" s="34">
        <f>SUM(J36:J37)</f>
        <v>0.04</v>
      </c>
      <c r="K38" s="34">
        <f>SUM(K36:K37)</f>
        <v>0.04</v>
      </c>
      <c r="L38" s="34">
        <f>SUM(L36:L37)</f>
        <v>0</v>
      </c>
      <c r="M38" s="34">
        <f>SUM(M36:M37)</f>
        <v>0.13200000000000001</v>
      </c>
      <c r="N38" s="35">
        <f>SUM(N36:N37)</f>
        <v>0.13200000000000001</v>
      </c>
      <c r="O38" s="53" t="str">
        <f>" &lt;0.99[W]"</f>
        <v xml:space="preserve"> &lt;0.99[W]</v>
      </c>
      <c r="P38" s="43" t="s">
        <v>34</v>
      </c>
    </row>
  </sheetData>
  <mergeCells count="38">
    <mergeCell ref="F38:H38"/>
    <mergeCell ref="F36:H36"/>
    <mergeCell ref="F37:H37"/>
    <mergeCell ref="F31:H31"/>
    <mergeCell ref="F34:F35"/>
    <mergeCell ref="G34:G35"/>
    <mergeCell ref="H34:H35"/>
    <mergeCell ref="I34:K34"/>
    <mergeCell ref="L34:N34"/>
    <mergeCell ref="F28:H28"/>
    <mergeCell ref="F29:H29"/>
    <mergeCell ref="F30:H30"/>
    <mergeCell ref="F25:F26"/>
    <mergeCell ref="G25:G26"/>
    <mergeCell ref="H25:H26"/>
    <mergeCell ref="I25:K25"/>
    <mergeCell ref="L25:N25"/>
    <mergeCell ref="F27:H27"/>
    <mergeCell ref="F17:H17"/>
    <mergeCell ref="F22:H22"/>
    <mergeCell ref="F18:H18"/>
    <mergeCell ref="F19:H19"/>
    <mergeCell ref="F20:H20"/>
    <mergeCell ref="F21:H21"/>
    <mergeCell ref="F14:F15"/>
    <mergeCell ref="G14:G15"/>
    <mergeCell ref="H14:H15"/>
    <mergeCell ref="I14:K14"/>
    <mergeCell ref="L14:N14"/>
    <mergeCell ref="F16:H16"/>
    <mergeCell ref="F9:H9"/>
    <mergeCell ref="F10:H10"/>
    <mergeCell ref="F11:H11"/>
    <mergeCell ref="I7:K7"/>
    <mergeCell ref="L7:N7"/>
    <mergeCell ref="F7:F8"/>
    <mergeCell ref="G7:G8"/>
    <mergeCell ref="H7:H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2025-08-27T08:51:14Z</dcterms:created>
  <dcterms:modified xsi:type="dcterms:W3CDTF">2025-08-27T13:14:33Z</dcterms:modified>
</cp:coreProperties>
</file>