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7.BOM et PRIX/"/>
    </mc:Choice>
  </mc:AlternateContent>
  <xr:revisionPtr revIDLastSave="75" documentId="8_{6E66962B-18D2-490B-9F19-F155EEEA3D7D}" xr6:coauthVersionLast="45" xr6:coauthVersionMax="45" xr10:uidLastSave="{3C57F712-06D9-4ECA-B38A-E59FD4D097F4}"/>
  <bookViews>
    <workbookView xWindow="-120" yWindow="-120" windowWidth="29040" windowHeight="15840" xr2:uid="{98312F9F-40E5-413F-AE66-1088374806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8" i="1" l="1"/>
  <c r="I49" i="1"/>
  <c r="I50" i="1"/>
  <c r="I47" i="1"/>
</calcChain>
</file>

<file path=xl/sharedStrings.xml><?xml version="1.0" encoding="utf-8"?>
<sst xmlns="http://schemas.openxmlformats.org/spreadsheetml/2006/main" count="615" uniqueCount="295">
  <si>
    <t>Commande matériel</t>
  </si>
  <si>
    <t>Designator</t>
  </si>
  <si>
    <t>Value</t>
  </si>
  <si>
    <t>Name</t>
  </si>
  <si>
    <t>Manufacturer 1</t>
  </si>
  <si>
    <t>Manufacturer Part Number 1</t>
  </si>
  <si>
    <t>Quantity</t>
  </si>
  <si>
    <t>Supplier 1</t>
  </si>
  <si>
    <t>Supplier Part Number 1</t>
  </si>
  <si>
    <t>C1, C2</t>
  </si>
  <si>
    <t>0.1 uF</t>
  </si>
  <si>
    <t>Yageo Group</t>
  </si>
  <si>
    <t>CC0805KRX7R9BB104</t>
  </si>
  <si>
    <t>Farnell</t>
  </si>
  <si>
    <t>3019949</t>
  </si>
  <si>
    <t>D1, D2</t>
  </si>
  <si>
    <t>SP1002-02JTG</t>
  </si>
  <si>
    <t>Littelfuse</t>
  </si>
  <si>
    <t>DigiKey</t>
  </si>
  <si>
    <t>F4238CT-ND</t>
  </si>
  <si>
    <t>D3, D4</t>
  </si>
  <si>
    <t>SS14</t>
  </si>
  <si>
    <t>onsemi</t>
  </si>
  <si>
    <t>1467537</t>
  </si>
  <si>
    <t>J1</t>
  </si>
  <si>
    <t>SFH11-PBPC-D10-RA-BK</t>
  </si>
  <si>
    <t>Sullins</t>
  </si>
  <si>
    <t>Digikey</t>
  </si>
  <si>
    <t>S9205-ND</t>
  </si>
  <si>
    <t>J2, J3</t>
  </si>
  <si>
    <t>5019</t>
  </si>
  <si>
    <t>Keystone</t>
  </si>
  <si>
    <t>36-5019CT-ND</t>
  </si>
  <si>
    <t>K1, K2</t>
  </si>
  <si>
    <t>TQ2-5V-3</t>
  </si>
  <si>
    <t>Panasonic</t>
  </si>
  <si>
    <t>255-2257-ND</t>
  </si>
  <si>
    <t>Q1, Q2</t>
  </si>
  <si>
    <t>IRLML2402</t>
  </si>
  <si>
    <t>UMWIRLML2402TR</t>
  </si>
  <si>
    <t>4518-UMWIRLML2402TR-ND</t>
  </si>
  <si>
    <t>R1</t>
  </si>
  <si>
    <t>200R</t>
  </si>
  <si>
    <t>Bourns</t>
  </si>
  <si>
    <t>3386H-1-201LF</t>
  </si>
  <si>
    <t>9354930</t>
  </si>
  <si>
    <t>R2</t>
  </si>
  <si>
    <t>820R</t>
  </si>
  <si>
    <t>RC0805FR-13820RL</t>
  </si>
  <si>
    <t>13-RC0805FR-13820RLCT-ND</t>
  </si>
  <si>
    <t>R3, R4, R6, R8, R11, R15</t>
  </si>
  <si>
    <t>6R2</t>
  </si>
  <si>
    <t>RC0805FR-076R2L</t>
  </si>
  <si>
    <t>3952295</t>
  </si>
  <si>
    <t>6R8</t>
  </si>
  <si>
    <t>RC0805FR-076R8L</t>
  </si>
  <si>
    <t>311-6.80CRCT-ND</t>
  </si>
  <si>
    <t>R24, R28, R31, R33</t>
  </si>
  <si>
    <t>7R5</t>
  </si>
  <si>
    <t>AC0805FR-077R5L</t>
  </si>
  <si>
    <t>13-AC0805FR-077R5LCT-ND</t>
  </si>
  <si>
    <t>R66, R67</t>
  </si>
  <si>
    <t>100R</t>
  </si>
  <si>
    <t>RC0805FR-07100RL</t>
  </si>
  <si>
    <t>9237364</t>
  </si>
  <si>
    <t>R68, R70</t>
  </si>
  <si>
    <t>0R</t>
  </si>
  <si>
    <t>Vishay</t>
  </si>
  <si>
    <t>CRCW08050000Z0EA</t>
  </si>
  <si>
    <t>541-0.0ACT-ND</t>
  </si>
  <si>
    <t>R69, R71</t>
  </si>
  <si>
    <t>100k</t>
  </si>
  <si>
    <t>RC0805FR-07100KL</t>
  </si>
  <si>
    <t>9237879</t>
  </si>
  <si>
    <t>TP1, TP2</t>
  </si>
  <si>
    <t>5011</t>
  </si>
  <si>
    <t>2431148</t>
  </si>
  <si>
    <t>TP3, TP4</t>
  </si>
  <si>
    <t>5010</t>
  </si>
  <si>
    <t>36-5010-ND</t>
  </si>
  <si>
    <t>U1</t>
  </si>
  <si>
    <t>ADG732BSUZ-REEL</t>
  </si>
  <si>
    <t>Analog Devices</t>
  </si>
  <si>
    <t>4032557</t>
  </si>
  <si>
    <t>U2</t>
  </si>
  <si>
    <t>74HC595PW,118</t>
  </si>
  <si>
    <t>Nexperia</t>
  </si>
  <si>
    <t>1727-3068-1-ND</t>
  </si>
  <si>
    <t>X1</t>
  </si>
  <si>
    <t>2.54</t>
  </si>
  <si>
    <t>Wurth Elektronik</t>
  </si>
  <si>
    <t>61300411121</t>
  </si>
  <si>
    <t>732-5317-ND</t>
  </si>
  <si>
    <t>Commande</t>
  </si>
  <si>
    <t xml:space="preserve">Reçu </t>
  </si>
  <si>
    <t>Monté</t>
  </si>
  <si>
    <t>R5, R7, R9, R10, R12, R13,
 R14, R16, R17, R18, R19, R20, R21, R22, R23, R25, R26, R27, R29, R30, R32</t>
  </si>
  <si>
    <t>Daughterboard</t>
  </si>
  <si>
    <t>Doubler N° composant ?</t>
  </si>
  <si>
    <t>Motherboard</t>
  </si>
  <si>
    <t>C1, C2, C4, C5, C6, C7, C9, C10, C12, C14, C18</t>
  </si>
  <si>
    <t>100nF</t>
  </si>
  <si>
    <t>KYOCERA AVX</t>
  </si>
  <si>
    <t>08055C104KAT2A</t>
  </si>
  <si>
    <t>499687</t>
  </si>
  <si>
    <t>47 uF</t>
  </si>
  <si>
    <t>EEEFT1H470AP</t>
  </si>
  <si>
    <t>1868425</t>
  </si>
  <si>
    <t>C8</t>
  </si>
  <si>
    <t>C11, C16, C17</t>
  </si>
  <si>
    <t>1µF</t>
  </si>
  <si>
    <t>1uF</t>
  </si>
  <si>
    <t>TDK</t>
  </si>
  <si>
    <t>C2012X5R1E105K125AA</t>
  </si>
  <si>
    <t>Mouser</t>
  </si>
  <si>
    <t>810-C2012X5R1E105K-3</t>
  </si>
  <si>
    <t>C13</t>
  </si>
  <si>
    <t>4.7 uF</t>
  </si>
  <si>
    <t>4.7uF</t>
  </si>
  <si>
    <t>CC0805KKX5R6BB475</t>
  </si>
  <si>
    <t>311-1863-1-ND</t>
  </si>
  <si>
    <t>D1</t>
  </si>
  <si>
    <t>LTST-C170KGKT</t>
  </si>
  <si>
    <t>Lite-On</t>
  </si>
  <si>
    <t>160-1414-1-ND</t>
  </si>
  <si>
    <t>D2</t>
  </si>
  <si>
    <t>SP0502BAHTG</t>
  </si>
  <si>
    <t>1827631</t>
  </si>
  <si>
    <t>D3, D4, D6, D7, D9</t>
  </si>
  <si>
    <t>SMBJ28A</t>
  </si>
  <si>
    <t>1456531</t>
  </si>
  <si>
    <t>D5, D8</t>
  </si>
  <si>
    <t>BZX84C3V6LT1G</t>
  </si>
  <si>
    <t>2317468</t>
  </si>
  <si>
    <t>DS1</t>
  </si>
  <si>
    <t>LTST-C170KRKT</t>
  </si>
  <si>
    <t>160-1415-1-ND</t>
  </si>
  <si>
    <t>F1</t>
  </si>
  <si>
    <t>ERB-RG1R25V</t>
  </si>
  <si>
    <t>P16737CT-ND</t>
  </si>
  <si>
    <t>J1, J2, J3, J4, J7</t>
  </si>
  <si>
    <t>2601-1104</t>
  </si>
  <si>
    <t>WAGO</t>
  </si>
  <si>
    <t>4126048</t>
  </si>
  <si>
    <t>J5, J6, J8, J9</t>
  </si>
  <si>
    <t>SBH11-PBPC-D10-ST-BK</t>
  </si>
  <si>
    <t>S9172-ND</t>
  </si>
  <si>
    <t>J10</t>
  </si>
  <si>
    <t>2601-1102</t>
  </si>
  <si>
    <t>4126046</t>
  </si>
  <si>
    <t>J11</t>
  </si>
  <si>
    <t>L1</t>
  </si>
  <si>
    <t>10uH</t>
  </si>
  <si>
    <t>SRN3015-100M</t>
  </si>
  <si>
    <t>2061634</t>
  </si>
  <si>
    <t>P1</t>
  </si>
  <si>
    <t>629712010214</t>
  </si>
  <si>
    <t>732-629712010214CT-ND</t>
  </si>
  <si>
    <t>P2</t>
  </si>
  <si>
    <t>53398-0271</t>
  </si>
  <si>
    <t>Molex</t>
  </si>
  <si>
    <t>WM7606CT-ND</t>
  </si>
  <si>
    <t>Infineon</t>
  </si>
  <si>
    <t>IRLML2402TRPBF</t>
  </si>
  <si>
    <t>942-IRLML2402TRPBF</t>
  </si>
  <si>
    <t>Q3, Q4</t>
  </si>
  <si>
    <t>IRLML6344</t>
  </si>
  <si>
    <t>IRLML6344TRPBF</t>
  </si>
  <si>
    <t>1857299</t>
  </si>
  <si>
    <t>Q5</t>
  </si>
  <si>
    <t>BSS308P</t>
  </si>
  <si>
    <t>BSS308PEH6327XTSA1</t>
  </si>
  <si>
    <t>2432719</t>
  </si>
  <si>
    <t>560R</t>
  </si>
  <si>
    <t>RC0805FR-07560RL</t>
  </si>
  <si>
    <t>Newark</t>
  </si>
  <si>
    <t>49AK3322</t>
  </si>
  <si>
    <t>R2, R3</t>
  </si>
  <si>
    <t>1.5k</t>
  </si>
  <si>
    <t>1k5</t>
  </si>
  <si>
    <t>RC0805FR-071K5L</t>
  </si>
  <si>
    <t>311-1.50KCRCT-ND</t>
  </si>
  <si>
    <t>R4</t>
  </si>
  <si>
    <t>680R</t>
  </si>
  <si>
    <t>RC0805FR-07680RL</t>
  </si>
  <si>
    <t>49AK3363</t>
  </si>
  <si>
    <t>R5, R7, R18, R19, R23, R25</t>
  </si>
  <si>
    <t>10k</t>
  </si>
  <si>
    <t>AC0805FR-0710KL</t>
  </si>
  <si>
    <t>311-10KLGCT-ND</t>
  </si>
  <si>
    <t>R6</t>
  </si>
  <si>
    <t>RS</t>
  </si>
  <si>
    <t>6185135</t>
  </si>
  <si>
    <t>R8, R9, R10, R11, R12, R13</t>
  </si>
  <si>
    <t>47R</t>
  </si>
  <si>
    <t>RC0805FR-0747RL</t>
  </si>
  <si>
    <t>603-RC0805FR-0747RL</t>
  </si>
  <si>
    <t>R14</t>
  </si>
  <si>
    <t>2k2 1%</t>
  </si>
  <si>
    <t>RC0805FR-072K2L</t>
  </si>
  <si>
    <t>9237534</t>
  </si>
  <si>
    <t>R15</t>
  </si>
  <si>
    <t>2k7 1%</t>
  </si>
  <si>
    <t>RC0805FR-102K7L</t>
  </si>
  <si>
    <t>13-RC0805FR-102K7LCT-ND</t>
  </si>
  <si>
    <t>R16</t>
  </si>
  <si>
    <t>10k 1%</t>
  </si>
  <si>
    <t>3495316</t>
  </si>
  <si>
    <t>R17</t>
  </si>
  <si>
    <t>100k 1%</t>
  </si>
  <si>
    <t>AC0805FR-13100KL</t>
  </si>
  <si>
    <t>4013022</t>
  </si>
  <si>
    <t>R20, R24</t>
  </si>
  <si>
    <t>120k</t>
  </si>
  <si>
    <t>RC0805FR-07120KL</t>
  </si>
  <si>
    <t>49AK3045</t>
  </si>
  <si>
    <t>R21, R26</t>
  </si>
  <si>
    <t>1k</t>
  </si>
  <si>
    <t>1k0</t>
  </si>
  <si>
    <t>RC0805FR-071KL</t>
  </si>
  <si>
    <t>82K7536</t>
  </si>
  <si>
    <t>R22, R27</t>
  </si>
  <si>
    <t>18k</t>
  </si>
  <si>
    <t>RC0805FR-0718KL</t>
  </si>
  <si>
    <t>49AK3089</t>
  </si>
  <si>
    <t>R28, R31, R32</t>
  </si>
  <si>
    <t>71-CRCW0805-0-E3</t>
  </si>
  <si>
    <t>R29</t>
  </si>
  <si>
    <t>603-RC0805FR-07100KL</t>
  </si>
  <si>
    <t>R30</t>
  </si>
  <si>
    <t>19k1</t>
  </si>
  <si>
    <t>RC0805FR-0719K1L</t>
  </si>
  <si>
    <t>4061021</t>
  </si>
  <si>
    <t>S1</t>
  </si>
  <si>
    <t>1P1T-P</t>
  </si>
  <si>
    <t>TE Connectivity</t>
  </si>
  <si>
    <t>1-1825910-4</t>
  </si>
  <si>
    <t>95M4263</t>
  </si>
  <si>
    <t>T1</t>
  </si>
  <si>
    <t>74990101212</t>
  </si>
  <si>
    <t>2749150</t>
  </si>
  <si>
    <t>TP1, TP2, TP3, TP4</t>
  </si>
  <si>
    <t>88H2535</t>
  </si>
  <si>
    <t>TP5, TP6, TP7</t>
  </si>
  <si>
    <t>62W5144</t>
  </si>
  <si>
    <t>U1, U3</t>
  </si>
  <si>
    <t>TPD4E1U06DCKR</t>
  </si>
  <si>
    <t>Texas Instruments</t>
  </si>
  <si>
    <t>296-39347-1-ND</t>
  </si>
  <si>
    <t>CM5108032</t>
  </si>
  <si>
    <t>Amphenol Communications Solutions</t>
  </si>
  <si>
    <t>10164227-1004A1RLF</t>
  </si>
  <si>
    <t>609-10164227-1004A1RLFCT-ND</t>
  </si>
  <si>
    <t>U2-21</t>
  </si>
  <si>
    <t>second connector CM5</t>
  </si>
  <si>
    <t>U2(Externe)1</t>
  </si>
  <si>
    <t>Raspberry Pi SC1570</t>
  </si>
  <si>
    <t>Raspberry Pi</t>
  </si>
  <si>
    <t>CM5008016</t>
  </si>
  <si>
    <t>20AM3761</t>
  </si>
  <si>
    <t>U4</t>
  </si>
  <si>
    <t>ADS124S08IPBSR</t>
  </si>
  <si>
    <t>296-45170-1-ND</t>
  </si>
  <si>
    <t>U5</t>
  </si>
  <si>
    <t>TMUX1204DGSR</t>
  </si>
  <si>
    <t>595-TMUX1204DGSR</t>
  </si>
  <si>
    <t>U6</t>
  </si>
  <si>
    <t>LMR51625XFDDCR</t>
  </si>
  <si>
    <t>296-LMR51625XFDDCRCT-ND</t>
  </si>
  <si>
    <t>U7</t>
  </si>
  <si>
    <t>TPS7A2033PDBVR</t>
  </si>
  <si>
    <t>595-TPS7A2033PDBVR</t>
  </si>
  <si>
    <t>X1, X2, X3</t>
  </si>
  <si>
    <t>61303611121</t>
  </si>
  <si>
    <t>2356174</t>
  </si>
  <si>
    <t>X4, X5</t>
  </si>
  <si>
    <t>710-61300411121</t>
  </si>
  <si>
    <t>OK</t>
  </si>
  <si>
    <t>6 avec Q1, Q2 MOBO</t>
  </si>
  <si>
    <t>/</t>
  </si>
  <si>
    <t xml:space="preserve"> "+ R28, R31, R32" = 10</t>
  </si>
  <si>
    <t>"+R29" + R17</t>
  </si>
  <si>
    <t>Stock ES</t>
  </si>
  <si>
    <t xml:space="preserve">30 avec C1, C2, C4, C5, C6, C7, C9, 
C10, C12, C14, C18 MOBO +C8 </t>
  </si>
  <si>
    <t xml:space="preserve">OK </t>
  </si>
  <si>
    <t>C3, C15</t>
  </si>
  <si>
    <t>OK DAUGHT</t>
  </si>
  <si>
    <t>OK daugtherboard</t>
  </si>
  <si>
    <t>Ok</t>
  </si>
  <si>
    <t>ok</t>
  </si>
  <si>
    <t>Not implemented</t>
  </si>
  <si>
    <t>NOK</t>
  </si>
  <si>
    <t>Note</t>
  </si>
  <si>
    <t>Erreur commande</t>
  </si>
  <si>
    <t>Changemen composant mais nouveu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</si>
</sst>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wrapText="1"/>
    </xf>
    <xf numFmtId="0" fontId="0" fillId="3" borderId="0" xfId="0" applyFill="1"/>
    <xf numFmtId="0" fontId="2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49" fontId="2" fillId="3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2" fillId="5" borderId="0" xfId="0" applyFont="1" applyFill="1" applyBorder="1" applyAlignment="1">
      <alignment horizontal="center" wrapText="1"/>
    </xf>
    <xf numFmtId="49" fontId="2" fillId="5" borderId="0" xfId="0" applyNumberFormat="1" applyFont="1" applyFill="1" applyBorder="1" applyAlignment="1">
      <alignment horizontal="center" wrapText="1"/>
    </xf>
    <xf numFmtId="0" fontId="0" fillId="5" borderId="0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auto="1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7E530-63AD-4179-BC3A-0E8280D5219C}" name="Tableau1" displayName="Tableau1" ref="A3:M23" totalsRowShown="0">
  <autoFilter ref="A3:M23" xr:uid="{2BC3944A-AE14-404C-AA2E-C36CFF839557}"/>
  <tableColumns count="13">
    <tableColumn id="1" xr3:uid="{4BE5C377-EBB8-4100-A8F9-77335D046CF7}" name="Designator" dataDxfId="18"/>
    <tableColumn id="2" xr3:uid="{269971B4-5955-4E05-B650-FCC1414D6245}" name="Value" dataDxfId="17"/>
    <tableColumn id="3" xr3:uid="{C09119CC-5532-46BC-8DCE-A06AC133B15F}" name="Name" dataDxfId="16"/>
    <tableColumn id="4" xr3:uid="{7BDBB2CB-ADC8-4625-A04D-2598529317A8}" name="Manufacturer 1" dataDxfId="15"/>
    <tableColumn id="5" xr3:uid="{07F25103-0A4A-40F0-84E5-C9F9A4EBDF02}" name="Manufacturer Part Number 1" dataDxfId="14"/>
    <tableColumn id="6" xr3:uid="{4C416872-2B18-4009-A931-F919ED1F2493}" name="Quantity" dataDxfId="13"/>
    <tableColumn id="7" xr3:uid="{9B9A2C8F-3116-4BA6-AC11-1D5D6CA460F3}" name="Supplier 1" dataDxfId="12"/>
    <tableColumn id="8" xr3:uid="{E694E44C-B132-4E35-93F2-40ED0C34D1D6}" name="Supplier Part Number 1" dataDxfId="11"/>
    <tableColumn id="9" xr3:uid="{3ED78F57-1EDF-4765-812E-962DE724D4B8}" name="Doubler N° composant ?" dataDxfId="10"/>
    <tableColumn id="10" xr3:uid="{85DD5FAE-457E-43C0-A6A4-AEC9B25EFD10}" name="Commande"/>
    <tableColumn id="11" xr3:uid="{5D570698-EEAE-48E1-8314-3F50B4423590}" name="Reçu "/>
    <tableColumn id="12" xr3:uid="{3F2F3945-0C86-40E9-8CFD-907DA3BCC90B}" name="Monté"/>
    <tableColumn id="13" xr3:uid="{4F90A494-9F32-4E90-95CC-9A702F25BC1D}" name="Note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40B6BD-ADFD-4FFD-A893-A933206CBFFE}" name="Tableau2" displayName="Tableau2" ref="A26:M77" totalsRowShown="0" headerRowDxfId="9" headerRowBorderDxfId="8">
  <autoFilter ref="A26:M77" xr:uid="{48ECF34D-FC8E-497A-9CBE-3766491F63BF}"/>
  <tableColumns count="13">
    <tableColumn id="1" xr3:uid="{5A066223-3E2F-4B7D-9188-2C01F592EF43}" name="Designator" dataDxfId="7"/>
    <tableColumn id="2" xr3:uid="{DE644072-04A5-4AF2-9F46-22200FBCC1B5}" name="Value" dataDxfId="6"/>
    <tableColumn id="3" xr3:uid="{2E05C98F-6232-41D4-B27C-1BCB1E85C03F}" name="Name" dataDxfId="5"/>
    <tableColumn id="4" xr3:uid="{06F21637-05CB-4951-B166-D39CA6F7F03B}" name="Manufacturer 1" dataDxfId="4"/>
    <tableColumn id="5" xr3:uid="{784B0EDD-A2ED-4CFA-BB86-3C66F2A652F5}" name="Manufacturer Part Number 1" dataDxfId="3"/>
    <tableColumn id="6" xr3:uid="{C38B4BEB-554C-4553-ABB3-1C52C4C9C071}" name="Quantity" dataDxfId="2"/>
    <tableColumn id="7" xr3:uid="{5CAD642E-0491-4DA8-B5DA-F507459EEF75}" name="Supplier 1" dataDxfId="1"/>
    <tableColumn id="8" xr3:uid="{F871F135-D9AC-4CCA-8783-6F4801502393}" name="Supplier Part Number 1" dataDxfId="0"/>
    <tableColumn id="9" xr3:uid="{6E836969-AB36-44DE-805C-BD5F3DFD3C86}" name="Doubler N° composant ?"/>
    <tableColumn id="10" xr3:uid="{9BAB9CDC-2064-43A5-AB28-69D2FF203A1A}" name="Commande"/>
    <tableColumn id="11" xr3:uid="{9DB2FAEC-D8CA-4DD2-963A-8E715E633355}" name="Reçu "/>
    <tableColumn id="12" xr3:uid="{48AC8E4D-1C9F-4698-BD1B-F4B41A338EB4}" name="Monté"/>
    <tableColumn id="13" xr3:uid="{BDEC5ADF-67E5-4B07-AD87-125CE5CA2D5B}" name="Not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0698-4CBF-40C5-B3A6-BB59B99484E9}">
  <sheetPr>
    <pageSetUpPr fitToPage="1"/>
  </sheetPr>
  <dimension ref="A1:M77"/>
  <sheetViews>
    <sheetView tabSelected="1" topLeftCell="A46" zoomScaleNormal="100" workbookViewId="0">
      <selection activeCell="E70" sqref="E70"/>
    </sheetView>
  </sheetViews>
  <sheetFormatPr baseColWidth="10" defaultRowHeight="15" x14ac:dyDescent="0.25"/>
  <cols>
    <col min="1" max="1" width="22.42578125" customWidth="1"/>
    <col min="2" max="2" width="20.42578125" customWidth="1"/>
    <col min="3" max="3" width="22.42578125" customWidth="1"/>
    <col min="4" max="4" width="26.28515625" customWidth="1"/>
    <col min="5" max="5" width="28.42578125" customWidth="1"/>
    <col min="7" max="7" width="12" customWidth="1"/>
    <col min="8" max="8" width="32.140625" customWidth="1"/>
    <col min="9" max="9" width="10" customWidth="1"/>
    <col min="10" max="10" width="22.28515625" customWidth="1"/>
    <col min="13" max="13" width="22.85546875" customWidth="1"/>
  </cols>
  <sheetData>
    <row r="1" spans="1:13" x14ac:dyDescent="0.25">
      <c r="A1" s="20" t="s">
        <v>0</v>
      </c>
      <c r="B1" s="20"/>
      <c r="C1" s="20"/>
      <c r="D1" s="20"/>
    </row>
    <row r="2" spans="1:13" x14ac:dyDescent="0.25">
      <c r="A2" s="1" t="s">
        <v>97</v>
      </c>
      <c r="B2" s="1"/>
      <c r="C2" s="1"/>
      <c r="D2" s="1"/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98</v>
      </c>
      <c r="J3" t="s">
        <v>93</v>
      </c>
      <c r="K3" t="s">
        <v>94</v>
      </c>
      <c r="L3" t="s">
        <v>95</v>
      </c>
      <c r="M3" t="s">
        <v>292</v>
      </c>
    </row>
    <row r="4" spans="1:13" ht="30" x14ac:dyDescent="0.25">
      <c r="A4" s="7" t="s">
        <v>9</v>
      </c>
      <c r="B4" s="7" t="s">
        <v>10</v>
      </c>
      <c r="C4" s="7" t="s">
        <v>10</v>
      </c>
      <c r="D4" s="7" t="s">
        <v>11</v>
      </c>
      <c r="E4" s="7" t="s">
        <v>12</v>
      </c>
      <c r="F4" s="7">
        <v>2</v>
      </c>
      <c r="G4" s="7" t="s">
        <v>13</v>
      </c>
      <c r="H4" s="7" t="s">
        <v>14</v>
      </c>
      <c r="I4" s="8" t="s">
        <v>283</v>
      </c>
      <c r="J4" s="9" t="s">
        <v>277</v>
      </c>
      <c r="K4" s="21" t="s">
        <v>277</v>
      </c>
    </row>
    <row r="5" spans="1:13" x14ac:dyDescent="0.25">
      <c r="A5" s="7" t="s">
        <v>15</v>
      </c>
      <c r="B5" s="7"/>
      <c r="C5" s="7" t="s">
        <v>16</v>
      </c>
      <c r="D5" s="7" t="s">
        <v>17</v>
      </c>
      <c r="E5" s="7" t="s">
        <v>16</v>
      </c>
      <c r="F5" s="7">
        <v>2</v>
      </c>
      <c r="G5" s="7" t="s">
        <v>18</v>
      </c>
      <c r="H5" s="7" t="s">
        <v>19</v>
      </c>
      <c r="I5" s="7">
        <v>3</v>
      </c>
      <c r="J5" s="9" t="s">
        <v>277</v>
      </c>
      <c r="K5" t="s">
        <v>289</v>
      </c>
    </row>
    <row r="6" spans="1:13" x14ac:dyDescent="0.25">
      <c r="A6" s="7" t="s">
        <v>20</v>
      </c>
      <c r="B6" s="7"/>
      <c r="C6" s="7" t="s">
        <v>21</v>
      </c>
      <c r="D6" s="7" t="s">
        <v>22</v>
      </c>
      <c r="E6" s="7" t="s">
        <v>21</v>
      </c>
      <c r="F6" s="7">
        <v>2</v>
      </c>
      <c r="G6" s="7" t="s">
        <v>13</v>
      </c>
      <c r="H6" s="7" t="s">
        <v>23</v>
      </c>
      <c r="I6" s="7">
        <v>3</v>
      </c>
      <c r="J6" s="9" t="s">
        <v>277</v>
      </c>
      <c r="K6" t="s">
        <v>289</v>
      </c>
    </row>
    <row r="7" spans="1:13" x14ac:dyDescent="0.25">
      <c r="A7" s="7" t="s">
        <v>24</v>
      </c>
      <c r="B7" s="7"/>
      <c r="C7" s="7" t="s">
        <v>25</v>
      </c>
      <c r="D7" s="7" t="s">
        <v>26</v>
      </c>
      <c r="E7" s="7" t="s">
        <v>25</v>
      </c>
      <c r="F7" s="7">
        <v>1</v>
      </c>
      <c r="G7" s="7" t="s">
        <v>27</v>
      </c>
      <c r="H7" s="7" t="s">
        <v>28</v>
      </c>
      <c r="I7" s="7">
        <v>1</v>
      </c>
      <c r="J7" s="9" t="s">
        <v>277</v>
      </c>
      <c r="K7" t="s">
        <v>289</v>
      </c>
    </row>
    <row r="8" spans="1:13" x14ac:dyDescent="0.25">
      <c r="A8" s="7" t="s">
        <v>29</v>
      </c>
      <c r="B8" s="7"/>
      <c r="C8" s="7" t="s">
        <v>30</v>
      </c>
      <c r="D8" s="7" t="s">
        <v>31</v>
      </c>
      <c r="E8" s="7" t="s">
        <v>30</v>
      </c>
      <c r="F8" s="7">
        <v>2</v>
      </c>
      <c r="G8" s="7" t="s">
        <v>18</v>
      </c>
      <c r="H8" s="7" t="s">
        <v>32</v>
      </c>
      <c r="I8" s="7">
        <v>4</v>
      </c>
      <c r="J8" s="9" t="s">
        <v>277</v>
      </c>
      <c r="K8" t="s">
        <v>289</v>
      </c>
    </row>
    <row r="9" spans="1:13" x14ac:dyDescent="0.25">
      <c r="A9" s="7" t="s">
        <v>33</v>
      </c>
      <c r="B9" s="7"/>
      <c r="C9" s="7" t="s">
        <v>34</v>
      </c>
      <c r="D9" s="7" t="s">
        <v>35</v>
      </c>
      <c r="E9" s="7" t="s">
        <v>34</v>
      </c>
      <c r="F9" s="7">
        <v>2</v>
      </c>
      <c r="G9" s="7" t="s">
        <v>18</v>
      </c>
      <c r="H9" s="7" t="s">
        <v>36</v>
      </c>
      <c r="I9" s="7">
        <v>3</v>
      </c>
      <c r="J9" s="9" t="s">
        <v>277</v>
      </c>
      <c r="K9" t="s">
        <v>289</v>
      </c>
    </row>
    <row r="10" spans="1:13" x14ac:dyDescent="0.25">
      <c r="A10" s="7" t="s">
        <v>37</v>
      </c>
      <c r="B10" s="7"/>
      <c r="C10" s="7" t="s">
        <v>38</v>
      </c>
      <c r="D10" s="7" t="s">
        <v>39</v>
      </c>
      <c r="E10" s="7" t="s">
        <v>39</v>
      </c>
      <c r="F10" s="7">
        <v>2</v>
      </c>
      <c r="G10" s="7" t="s">
        <v>27</v>
      </c>
      <c r="H10" s="7" t="s">
        <v>40</v>
      </c>
      <c r="I10" s="7" t="s">
        <v>278</v>
      </c>
      <c r="J10" s="9" t="s">
        <v>277</v>
      </c>
    </row>
    <row r="11" spans="1:13" x14ac:dyDescent="0.25">
      <c r="A11" s="7" t="s">
        <v>41</v>
      </c>
      <c r="B11" s="7"/>
      <c r="C11" s="7" t="s">
        <v>42</v>
      </c>
      <c r="D11" s="7" t="s">
        <v>43</v>
      </c>
      <c r="E11" s="7" t="s">
        <v>44</v>
      </c>
      <c r="F11" s="7">
        <v>1</v>
      </c>
      <c r="G11" s="7" t="s">
        <v>13</v>
      </c>
      <c r="H11" s="7" t="s">
        <v>45</v>
      </c>
      <c r="I11" s="7" t="s">
        <v>279</v>
      </c>
      <c r="J11" s="9" t="s">
        <v>277</v>
      </c>
      <c r="K11" t="s">
        <v>289</v>
      </c>
    </row>
    <row r="12" spans="1:13" x14ac:dyDescent="0.25">
      <c r="A12" s="7" t="s">
        <v>46</v>
      </c>
      <c r="B12" s="7"/>
      <c r="C12" s="7" t="s">
        <v>47</v>
      </c>
      <c r="D12" s="7" t="s">
        <v>11</v>
      </c>
      <c r="E12" s="7" t="s">
        <v>48</v>
      </c>
      <c r="F12" s="7">
        <v>1</v>
      </c>
      <c r="G12" s="7" t="s">
        <v>18</v>
      </c>
      <c r="H12" s="7" t="s">
        <v>49</v>
      </c>
      <c r="I12" s="7">
        <v>2</v>
      </c>
      <c r="J12" s="9" t="s">
        <v>282</v>
      </c>
      <c r="K12" s="9" t="s">
        <v>282</v>
      </c>
    </row>
    <row r="13" spans="1:13" x14ac:dyDescent="0.25">
      <c r="A13" s="7" t="s">
        <v>50</v>
      </c>
      <c r="B13" s="7"/>
      <c r="C13" s="7" t="s">
        <v>51</v>
      </c>
      <c r="D13" s="7" t="s">
        <v>11</v>
      </c>
      <c r="E13" s="7" t="s">
        <v>52</v>
      </c>
      <c r="F13" s="7">
        <v>6</v>
      </c>
      <c r="G13" s="7" t="s">
        <v>13</v>
      </c>
      <c r="H13" s="7" t="s">
        <v>53</v>
      </c>
      <c r="I13" s="7"/>
      <c r="J13" s="9" t="s">
        <v>277</v>
      </c>
      <c r="K13" t="s">
        <v>289</v>
      </c>
    </row>
    <row r="14" spans="1:13" ht="75" x14ac:dyDescent="0.25">
      <c r="A14" s="8" t="s">
        <v>96</v>
      </c>
      <c r="B14" s="7"/>
      <c r="C14" s="7" t="s">
        <v>54</v>
      </c>
      <c r="D14" s="7" t="s">
        <v>11</v>
      </c>
      <c r="E14" s="7" t="s">
        <v>55</v>
      </c>
      <c r="F14" s="7">
        <v>21</v>
      </c>
      <c r="G14" s="7" t="s">
        <v>18</v>
      </c>
      <c r="H14" s="7" t="s">
        <v>56</v>
      </c>
      <c r="I14" s="7">
        <v>30</v>
      </c>
      <c r="J14" s="9" t="s">
        <v>277</v>
      </c>
      <c r="K14" t="s">
        <v>289</v>
      </c>
    </row>
    <row r="15" spans="1:13" x14ac:dyDescent="0.25">
      <c r="A15" s="7" t="s">
        <v>57</v>
      </c>
      <c r="B15" s="7"/>
      <c r="C15" s="7" t="s">
        <v>58</v>
      </c>
      <c r="D15" s="7" t="s">
        <v>11</v>
      </c>
      <c r="E15" s="7" t="s">
        <v>59</v>
      </c>
      <c r="F15" s="7">
        <v>4</v>
      </c>
      <c r="G15" s="7" t="s">
        <v>18</v>
      </c>
      <c r="H15" s="7" t="s">
        <v>60</v>
      </c>
      <c r="I15" s="7">
        <v>10</v>
      </c>
      <c r="J15" s="9" t="s">
        <v>277</v>
      </c>
      <c r="K15" t="s">
        <v>289</v>
      </c>
    </row>
    <row r="16" spans="1:13" x14ac:dyDescent="0.25">
      <c r="A16" s="7" t="s">
        <v>61</v>
      </c>
      <c r="B16" s="7">
        <v>100</v>
      </c>
      <c r="C16" s="7" t="s">
        <v>62</v>
      </c>
      <c r="D16" s="7" t="s">
        <v>11</v>
      </c>
      <c r="E16" s="7" t="s">
        <v>63</v>
      </c>
      <c r="F16" s="7">
        <v>2</v>
      </c>
      <c r="G16" s="7" t="s">
        <v>13</v>
      </c>
      <c r="H16" s="7" t="s">
        <v>64</v>
      </c>
      <c r="I16" s="7">
        <v>10</v>
      </c>
      <c r="J16" s="9" t="s">
        <v>282</v>
      </c>
      <c r="K16" s="9" t="s">
        <v>282</v>
      </c>
    </row>
    <row r="17" spans="1:13" x14ac:dyDescent="0.25">
      <c r="A17" s="7" t="s">
        <v>65</v>
      </c>
      <c r="B17" s="7">
        <v>0</v>
      </c>
      <c r="C17" s="7" t="s">
        <v>66</v>
      </c>
      <c r="D17" s="7" t="s">
        <v>67</v>
      </c>
      <c r="E17" s="7" t="s">
        <v>68</v>
      </c>
      <c r="F17" s="7">
        <v>2</v>
      </c>
      <c r="G17" s="7" t="s">
        <v>18</v>
      </c>
      <c r="H17" s="7" t="s">
        <v>69</v>
      </c>
      <c r="I17" s="7" t="s">
        <v>280</v>
      </c>
      <c r="J17" s="9" t="s">
        <v>277</v>
      </c>
    </row>
    <row r="18" spans="1:13" x14ac:dyDescent="0.25">
      <c r="A18" s="7" t="s">
        <v>70</v>
      </c>
      <c r="B18" s="7" t="s">
        <v>71</v>
      </c>
      <c r="C18" s="7" t="s">
        <v>71</v>
      </c>
      <c r="D18" s="7" t="s">
        <v>11</v>
      </c>
      <c r="E18" s="7" t="s">
        <v>72</v>
      </c>
      <c r="F18" s="7">
        <v>2</v>
      </c>
      <c r="G18" s="7" t="s">
        <v>13</v>
      </c>
      <c r="H18" s="7" t="s">
        <v>73</v>
      </c>
      <c r="I18" s="7" t="s">
        <v>281</v>
      </c>
      <c r="J18" s="9" t="s">
        <v>282</v>
      </c>
      <c r="K18" s="9" t="s">
        <v>282</v>
      </c>
    </row>
    <row r="19" spans="1:13" x14ac:dyDescent="0.25">
      <c r="A19" s="7" t="s">
        <v>74</v>
      </c>
      <c r="B19" s="7"/>
      <c r="C19" s="7" t="s">
        <v>75</v>
      </c>
      <c r="D19" s="7" t="s">
        <v>31</v>
      </c>
      <c r="E19" s="7" t="s">
        <v>75</v>
      </c>
      <c r="F19" s="7">
        <v>2</v>
      </c>
      <c r="G19" s="7" t="s">
        <v>13</v>
      </c>
      <c r="H19" s="7" t="s">
        <v>76</v>
      </c>
      <c r="I19" s="7"/>
      <c r="J19" s="9" t="s">
        <v>282</v>
      </c>
      <c r="K19" s="9" t="s">
        <v>282</v>
      </c>
    </row>
    <row r="20" spans="1:13" x14ac:dyDescent="0.25">
      <c r="A20" s="7" t="s">
        <v>77</v>
      </c>
      <c r="B20" s="7"/>
      <c r="C20" s="7" t="s">
        <v>78</v>
      </c>
      <c r="D20" s="7" t="s">
        <v>31</v>
      </c>
      <c r="E20" s="7" t="s">
        <v>78</v>
      </c>
      <c r="F20" s="7">
        <v>2</v>
      </c>
      <c r="G20" s="7" t="s">
        <v>18</v>
      </c>
      <c r="H20" s="7" t="s">
        <v>79</v>
      </c>
      <c r="I20" s="7"/>
      <c r="J20" s="9" t="s">
        <v>282</v>
      </c>
      <c r="K20" s="9" t="s">
        <v>282</v>
      </c>
    </row>
    <row r="21" spans="1:13" x14ac:dyDescent="0.25">
      <c r="A21" s="7" t="s">
        <v>80</v>
      </c>
      <c r="B21" s="7"/>
      <c r="C21" s="7" t="s">
        <v>81</v>
      </c>
      <c r="D21" s="7" t="s">
        <v>82</v>
      </c>
      <c r="E21" s="7" t="s">
        <v>81</v>
      </c>
      <c r="F21" s="7">
        <v>1</v>
      </c>
      <c r="G21" s="7" t="s">
        <v>13</v>
      </c>
      <c r="H21" s="7" t="s">
        <v>83</v>
      </c>
      <c r="I21" s="7"/>
      <c r="J21" s="9" t="s">
        <v>277</v>
      </c>
      <c r="K21" t="s">
        <v>277</v>
      </c>
    </row>
    <row r="22" spans="1:13" s="23" customFormat="1" x14ac:dyDescent="0.25">
      <c r="A22" s="22" t="s">
        <v>84</v>
      </c>
      <c r="B22" s="22"/>
      <c r="C22" s="22" t="s">
        <v>85</v>
      </c>
      <c r="D22" s="22" t="s">
        <v>86</v>
      </c>
      <c r="E22" s="22" t="s">
        <v>85</v>
      </c>
      <c r="F22" s="22">
        <v>1</v>
      </c>
      <c r="G22" s="22" t="s">
        <v>18</v>
      </c>
      <c r="H22" s="22" t="s">
        <v>87</v>
      </c>
      <c r="I22" s="22"/>
      <c r="J22" s="23" t="s">
        <v>290</v>
      </c>
    </row>
    <row r="23" spans="1:13" x14ac:dyDescent="0.25">
      <c r="A23" s="7" t="s">
        <v>88</v>
      </c>
      <c r="B23" s="7">
        <v>2.54</v>
      </c>
      <c r="C23" s="7" t="s">
        <v>89</v>
      </c>
      <c r="D23" s="7" t="s">
        <v>90</v>
      </c>
      <c r="E23" s="7" t="s">
        <v>91</v>
      </c>
      <c r="F23" s="7">
        <v>1</v>
      </c>
      <c r="G23" s="7" t="s">
        <v>18</v>
      </c>
      <c r="H23" s="7" t="s">
        <v>92</v>
      </c>
      <c r="I23" s="7"/>
      <c r="J23" s="9" t="s">
        <v>282</v>
      </c>
      <c r="K23" s="9" t="s">
        <v>282</v>
      </c>
    </row>
    <row r="25" spans="1:13" x14ac:dyDescent="0.25">
      <c r="A25" s="2" t="s">
        <v>99</v>
      </c>
    </row>
    <row r="26" spans="1:13" ht="15.75" thickBot="1" x14ac:dyDescent="0.3">
      <c r="A26" s="5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  <c r="I26" s="6" t="s">
        <v>98</v>
      </c>
      <c r="J26" s="3" t="s">
        <v>93</v>
      </c>
      <c r="K26" s="3" t="s">
        <v>94</v>
      </c>
      <c r="L26" s="4" t="s">
        <v>95</v>
      </c>
      <c r="M26" s="3" t="s">
        <v>292</v>
      </c>
    </row>
    <row r="27" spans="1:13" ht="27" thickTop="1" x14ac:dyDescent="0.25">
      <c r="A27" s="17" t="s">
        <v>100</v>
      </c>
      <c r="B27" s="17" t="s">
        <v>101</v>
      </c>
      <c r="C27" s="18" t="s">
        <v>101</v>
      </c>
      <c r="D27" s="18" t="s">
        <v>102</v>
      </c>
      <c r="E27" s="18" t="s">
        <v>103</v>
      </c>
      <c r="F27" s="17">
        <v>11</v>
      </c>
      <c r="G27" s="18" t="s">
        <v>13</v>
      </c>
      <c r="H27" s="18" t="s">
        <v>104</v>
      </c>
      <c r="I27" s="15"/>
      <c r="J27" s="16" t="s">
        <v>277</v>
      </c>
      <c r="K27" s="1" t="s">
        <v>277</v>
      </c>
      <c r="L27" s="1"/>
    </row>
    <row r="28" spans="1:13" x14ac:dyDescent="0.25">
      <c r="A28" s="17" t="s">
        <v>285</v>
      </c>
      <c r="B28" s="17"/>
      <c r="C28" s="18" t="s">
        <v>105</v>
      </c>
      <c r="D28" s="18" t="s">
        <v>35</v>
      </c>
      <c r="E28" s="18" t="s">
        <v>106</v>
      </c>
      <c r="F28" s="17">
        <v>2</v>
      </c>
      <c r="G28" s="18" t="s">
        <v>13</v>
      </c>
      <c r="H28" s="18" t="s">
        <v>107</v>
      </c>
      <c r="I28" s="15">
        <v>4</v>
      </c>
      <c r="J28" s="16" t="s">
        <v>277</v>
      </c>
      <c r="K28" s="1" t="s">
        <v>277</v>
      </c>
      <c r="L28" s="1"/>
    </row>
    <row r="29" spans="1:13" x14ac:dyDescent="0.25">
      <c r="A29" s="17" t="s">
        <v>108</v>
      </c>
      <c r="B29" s="17" t="s">
        <v>10</v>
      </c>
      <c r="C29" s="18" t="s">
        <v>10</v>
      </c>
      <c r="D29" s="18" t="s">
        <v>11</v>
      </c>
      <c r="E29" s="18" t="s">
        <v>12</v>
      </c>
      <c r="F29" s="17">
        <v>1</v>
      </c>
      <c r="G29" s="18" t="s">
        <v>13</v>
      </c>
      <c r="H29" s="18" t="s">
        <v>14</v>
      </c>
      <c r="I29" s="15"/>
      <c r="J29" s="16" t="s">
        <v>277</v>
      </c>
      <c r="K29" s="1" t="s">
        <v>277</v>
      </c>
      <c r="L29" s="1"/>
    </row>
    <row r="30" spans="1:13" x14ac:dyDescent="0.25">
      <c r="A30" s="17" t="s">
        <v>109</v>
      </c>
      <c r="B30" s="17" t="s">
        <v>110</v>
      </c>
      <c r="C30" s="18" t="s">
        <v>111</v>
      </c>
      <c r="D30" s="18" t="s">
        <v>112</v>
      </c>
      <c r="E30" s="18" t="s">
        <v>113</v>
      </c>
      <c r="F30" s="17">
        <v>3</v>
      </c>
      <c r="G30" s="18" t="s">
        <v>114</v>
      </c>
      <c r="H30" s="18" t="s">
        <v>115</v>
      </c>
      <c r="I30" s="15">
        <v>5</v>
      </c>
      <c r="J30" s="16" t="s">
        <v>277</v>
      </c>
      <c r="K30" s="1" t="s">
        <v>277</v>
      </c>
      <c r="L30" s="1"/>
    </row>
    <row r="31" spans="1:13" x14ac:dyDescent="0.25">
      <c r="A31" s="17" t="s">
        <v>116</v>
      </c>
      <c r="B31" s="17" t="s">
        <v>117</v>
      </c>
      <c r="C31" s="18" t="s">
        <v>118</v>
      </c>
      <c r="D31" s="18" t="s">
        <v>11</v>
      </c>
      <c r="E31" s="18" t="s">
        <v>119</v>
      </c>
      <c r="F31" s="17">
        <v>1</v>
      </c>
      <c r="G31" s="18" t="s">
        <v>18</v>
      </c>
      <c r="H31" s="18" t="s">
        <v>120</v>
      </c>
      <c r="I31" s="15">
        <v>2</v>
      </c>
      <c r="J31" s="16" t="s">
        <v>277</v>
      </c>
      <c r="K31" s="1" t="s">
        <v>277</v>
      </c>
      <c r="L31" s="1"/>
    </row>
    <row r="32" spans="1:13" x14ac:dyDescent="0.25">
      <c r="A32" s="17" t="s">
        <v>121</v>
      </c>
      <c r="B32" s="17"/>
      <c r="C32" s="18" t="s">
        <v>122</v>
      </c>
      <c r="D32" s="18" t="s">
        <v>123</v>
      </c>
      <c r="E32" s="18" t="s">
        <v>122</v>
      </c>
      <c r="F32" s="17">
        <v>1</v>
      </c>
      <c r="G32" s="18" t="s">
        <v>18</v>
      </c>
      <c r="H32" s="18" t="s">
        <v>124</v>
      </c>
      <c r="I32" s="15">
        <v>2</v>
      </c>
      <c r="J32" s="16" t="s">
        <v>277</v>
      </c>
      <c r="K32" s="1" t="s">
        <v>289</v>
      </c>
      <c r="L32" s="1"/>
    </row>
    <row r="33" spans="1:13" x14ac:dyDescent="0.25">
      <c r="A33" s="17" t="s">
        <v>125</v>
      </c>
      <c r="B33" s="17"/>
      <c r="C33" s="18" t="s">
        <v>126</v>
      </c>
      <c r="D33" s="18" t="s">
        <v>17</v>
      </c>
      <c r="E33" s="18" t="s">
        <v>126</v>
      </c>
      <c r="F33" s="17">
        <v>1</v>
      </c>
      <c r="G33" s="18" t="s">
        <v>13</v>
      </c>
      <c r="H33" s="18" t="s">
        <v>127</v>
      </c>
      <c r="I33" s="15">
        <v>2</v>
      </c>
      <c r="J33" s="16" t="s">
        <v>284</v>
      </c>
      <c r="K33" s="1" t="s">
        <v>289</v>
      </c>
      <c r="L33" s="1"/>
    </row>
    <row r="34" spans="1:13" x14ac:dyDescent="0.25">
      <c r="A34" s="17" t="s">
        <v>128</v>
      </c>
      <c r="B34" s="17"/>
      <c r="C34" s="18" t="s">
        <v>129</v>
      </c>
      <c r="D34" s="18" t="s">
        <v>17</v>
      </c>
      <c r="E34" s="18" t="s">
        <v>129</v>
      </c>
      <c r="F34" s="17">
        <v>5</v>
      </c>
      <c r="G34" s="18" t="s">
        <v>13</v>
      </c>
      <c r="H34" s="18" t="s">
        <v>130</v>
      </c>
      <c r="I34" s="15">
        <v>10</v>
      </c>
      <c r="J34" s="16" t="s">
        <v>277</v>
      </c>
      <c r="K34" s="1" t="s">
        <v>289</v>
      </c>
      <c r="L34" s="1"/>
    </row>
    <row r="35" spans="1:13" x14ac:dyDescent="0.25">
      <c r="A35" s="17" t="s">
        <v>131</v>
      </c>
      <c r="B35" s="17"/>
      <c r="C35" s="18" t="s">
        <v>132</v>
      </c>
      <c r="D35" s="18" t="s">
        <v>22</v>
      </c>
      <c r="E35" s="18" t="s">
        <v>132</v>
      </c>
      <c r="F35" s="17">
        <v>2</v>
      </c>
      <c r="G35" s="18" t="s">
        <v>13</v>
      </c>
      <c r="H35" s="18" t="s">
        <v>133</v>
      </c>
      <c r="I35" s="15">
        <v>4</v>
      </c>
      <c r="J35" s="16" t="s">
        <v>277</v>
      </c>
      <c r="K35" s="1" t="s">
        <v>289</v>
      </c>
      <c r="L35" s="1"/>
    </row>
    <row r="36" spans="1:13" x14ac:dyDescent="0.25">
      <c r="A36" s="17" t="s">
        <v>134</v>
      </c>
      <c r="B36" s="17"/>
      <c r="C36" s="18" t="s">
        <v>135</v>
      </c>
      <c r="D36" s="18" t="s">
        <v>123</v>
      </c>
      <c r="E36" s="18" t="s">
        <v>135</v>
      </c>
      <c r="F36" s="17">
        <v>1</v>
      </c>
      <c r="G36" s="18" t="s">
        <v>18</v>
      </c>
      <c r="H36" s="18" t="s">
        <v>136</v>
      </c>
      <c r="I36" s="15">
        <v>2</v>
      </c>
      <c r="J36" s="16" t="s">
        <v>277</v>
      </c>
      <c r="K36" s="1" t="s">
        <v>289</v>
      </c>
      <c r="L36" s="1"/>
    </row>
    <row r="37" spans="1:13" x14ac:dyDescent="0.25">
      <c r="A37" s="17" t="s">
        <v>137</v>
      </c>
      <c r="B37" s="17"/>
      <c r="C37" s="18" t="s">
        <v>138</v>
      </c>
      <c r="D37" s="18" t="s">
        <v>35</v>
      </c>
      <c r="E37" s="18" t="s">
        <v>138</v>
      </c>
      <c r="F37" s="17">
        <v>1</v>
      </c>
      <c r="G37" s="18" t="s">
        <v>18</v>
      </c>
      <c r="H37" s="18" t="s">
        <v>139</v>
      </c>
      <c r="I37" s="15">
        <v>2</v>
      </c>
      <c r="J37" s="16" t="s">
        <v>277</v>
      </c>
      <c r="K37" s="1" t="s">
        <v>277</v>
      </c>
      <c r="L37" s="1"/>
    </row>
    <row r="38" spans="1:13" x14ac:dyDescent="0.25">
      <c r="A38" s="17" t="s">
        <v>140</v>
      </c>
      <c r="B38" s="17"/>
      <c r="C38" s="18" t="s">
        <v>141</v>
      </c>
      <c r="D38" s="18" t="s">
        <v>142</v>
      </c>
      <c r="E38" s="18" t="s">
        <v>141</v>
      </c>
      <c r="F38" s="17">
        <v>5</v>
      </c>
      <c r="G38" s="18" t="s">
        <v>13</v>
      </c>
      <c r="H38" s="18" t="s">
        <v>143</v>
      </c>
      <c r="I38" s="15">
        <v>5</v>
      </c>
      <c r="J38" s="16" t="s">
        <v>277</v>
      </c>
      <c r="K38" s="1" t="s">
        <v>277</v>
      </c>
      <c r="L38" s="1"/>
    </row>
    <row r="39" spans="1:13" ht="26.25" x14ac:dyDescent="0.25">
      <c r="A39" s="17" t="s">
        <v>144</v>
      </c>
      <c r="B39" s="17"/>
      <c r="C39" s="18" t="s">
        <v>145</v>
      </c>
      <c r="D39" s="18" t="s">
        <v>26</v>
      </c>
      <c r="E39" s="18" t="s">
        <v>145</v>
      </c>
      <c r="F39" s="17">
        <v>4</v>
      </c>
      <c r="G39" s="18" t="s">
        <v>18</v>
      </c>
      <c r="H39" s="18" t="s">
        <v>146</v>
      </c>
      <c r="I39" s="15">
        <v>4</v>
      </c>
      <c r="J39" s="16" t="s">
        <v>277</v>
      </c>
      <c r="K39" s="1" t="s">
        <v>277</v>
      </c>
      <c r="L39" s="1"/>
    </row>
    <row r="40" spans="1:13" x14ac:dyDescent="0.25">
      <c r="A40" s="17" t="s">
        <v>147</v>
      </c>
      <c r="B40" s="17"/>
      <c r="C40" s="18" t="s">
        <v>148</v>
      </c>
      <c r="D40" s="18" t="s">
        <v>142</v>
      </c>
      <c r="E40" s="18" t="s">
        <v>148</v>
      </c>
      <c r="F40" s="17">
        <v>1</v>
      </c>
      <c r="G40" s="18" t="s">
        <v>13</v>
      </c>
      <c r="H40" s="18" t="s">
        <v>149</v>
      </c>
      <c r="I40" s="15">
        <v>1</v>
      </c>
      <c r="J40" s="16" t="s">
        <v>277</v>
      </c>
      <c r="K40" s="1" t="s">
        <v>277</v>
      </c>
      <c r="L40" s="1"/>
    </row>
    <row r="41" spans="1:13" x14ac:dyDescent="0.25">
      <c r="A41" s="17" t="s">
        <v>150</v>
      </c>
      <c r="B41" s="17"/>
      <c r="C41" s="18" t="s">
        <v>30</v>
      </c>
      <c r="D41" s="18" t="s">
        <v>31</v>
      </c>
      <c r="E41" s="18" t="s">
        <v>30</v>
      </c>
      <c r="F41" s="17">
        <v>1</v>
      </c>
      <c r="G41" s="18" t="s">
        <v>18</v>
      </c>
      <c r="H41" s="18" t="s">
        <v>32</v>
      </c>
      <c r="I41" s="9"/>
      <c r="J41" s="9" t="s">
        <v>286</v>
      </c>
      <c r="K41" s="1" t="s">
        <v>277</v>
      </c>
      <c r="L41" s="1"/>
    </row>
    <row r="42" spans="1:13" s="23" customFormat="1" x14ac:dyDescent="0.25">
      <c r="A42" s="24" t="s">
        <v>151</v>
      </c>
      <c r="B42" s="24"/>
      <c r="C42" s="25" t="s">
        <v>152</v>
      </c>
      <c r="D42" s="25" t="s">
        <v>43</v>
      </c>
      <c r="E42" s="25" t="s">
        <v>153</v>
      </c>
      <c r="F42" s="24">
        <v>1</v>
      </c>
      <c r="G42" s="25" t="s">
        <v>13</v>
      </c>
      <c r="H42" s="25" t="s">
        <v>154</v>
      </c>
      <c r="I42" s="26">
        <v>2</v>
      </c>
      <c r="J42" s="27" t="s">
        <v>277</v>
      </c>
      <c r="K42" s="27" t="s">
        <v>291</v>
      </c>
      <c r="L42" s="27"/>
      <c r="M42" s="23" t="s">
        <v>293</v>
      </c>
    </row>
    <row r="43" spans="1:13" x14ac:dyDescent="0.25">
      <c r="A43" s="17" t="s">
        <v>155</v>
      </c>
      <c r="B43" s="17"/>
      <c r="C43" s="18" t="s">
        <v>156</v>
      </c>
      <c r="D43" s="18" t="s">
        <v>90</v>
      </c>
      <c r="E43" s="18" t="s">
        <v>156</v>
      </c>
      <c r="F43" s="17">
        <v>1</v>
      </c>
      <c r="G43" s="18" t="s">
        <v>18</v>
      </c>
      <c r="H43" s="18" t="s">
        <v>157</v>
      </c>
      <c r="I43" s="15">
        <v>2</v>
      </c>
      <c r="J43" s="16" t="s">
        <v>277</v>
      </c>
      <c r="K43" s="1" t="s">
        <v>277</v>
      </c>
      <c r="L43" s="1"/>
    </row>
    <row r="44" spans="1:13" x14ac:dyDescent="0.25">
      <c r="A44" s="17" t="s">
        <v>158</v>
      </c>
      <c r="B44" s="17"/>
      <c r="C44" s="18" t="s">
        <v>159</v>
      </c>
      <c r="D44" s="18" t="s">
        <v>160</v>
      </c>
      <c r="E44" s="18" t="s">
        <v>159</v>
      </c>
      <c r="F44" s="17">
        <v>1</v>
      </c>
      <c r="G44" s="18" t="s">
        <v>18</v>
      </c>
      <c r="H44" s="18" t="s">
        <v>161</v>
      </c>
      <c r="I44" s="15">
        <v>2</v>
      </c>
      <c r="J44" s="16" t="s">
        <v>277</v>
      </c>
      <c r="K44" s="1" t="s">
        <v>277</v>
      </c>
      <c r="L44" s="1"/>
    </row>
    <row r="45" spans="1:13" x14ac:dyDescent="0.25">
      <c r="A45" s="17" t="s">
        <v>37</v>
      </c>
      <c r="B45" s="17"/>
      <c r="C45" s="18" t="s">
        <v>38</v>
      </c>
      <c r="D45" s="18" t="s">
        <v>162</v>
      </c>
      <c r="E45" s="18" t="s">
        <v>163</v>
      </c>
      <c r="F45" s="17">
        <v>2</v>
      </c>
      <c r="G45" s="18" t="s">
        <v>114</v>
      </c>
      <c r="H45" s="18" t="s">
        <v>164</v>
      </c>
      <c r="I45" s="15"/>
      <c r="J45" s="16" t="s">
        <v>277</v>
      </c>
      <c r="K45" s="1" t="s">
        <v>277</v>
      </c>
      <c r="L45" s="1"/>
    </row>
    <row r="46" spans="1:13" x14ac:dyDescent="0.25">
      <c r="A46" s="17" t="s">
        <v>165</v>
      </c>
      <c r="B46" s="17"/>
      <c r="C46" s="18" t="s">
        <v>166</v>
      </c>
      <c r="D46" s="18" t="s">
        <v>162</v>
      </c>
      <c r="E46" s="18" t="s">
        <v>167</v>
      </c>
      <c r="F46" s="17">
        <v>2</v>
      </c>
      <c r="G46" s="18" t="s">
        <v>13</v>
      </c>
      <c r="H46" s="18" t="s">
        <v>168</v>
      </c>
      <c r="I46" s="15">
        <v>2</v>
      </c>
      <c r="J46" s="16" t="s">
        <v>277</v>
      </c>
      <c r="K46" s="1" t="s">
        <v>289</v>
      </c>
      <c r="L46" s="1"/>
    </row>
    <row r="47" spans="1:13" x14ac:dyDescent="0.25">
      <c r="A47" s="17" t="s">
        <v>169</v>
      </c>
      <c r="B47" s="17"/>
      <c r="C47" s="18" t="s">
        <v>170</v>
      </c>
      <c r="D47" s="18" t="s">
        <v>162</v>
      </c>
      <c r="E47" s="18" t="s">
        <v>171</v>
      </c>
      <c r="F47" s="17">
        <v>1</v>
      </c>
      <c r="G47" s="18" t="s">
        <v>13</v>
      </c>
      <c r="H47" s="18" t="s">
        <v>172</v>
      </c>
      <c r="I47" s="15">
        <f>2*Tableau2[[#This Row],[Quantity]]</f>
        <v>2</v>
      </c>
      <c r="J47" s="16" t="s">
        <v>277</v>
      </c>
      <c r="K47" s="1" t="s">
        <v>277</v>
      </c>
      <c r="L47" s="1"/>
    </row>
    <row r="48" spans="1:13" x14ac:dyDescent="0.25">
      <c r="A48" s="17" t="s">
        <v>41</v>
      </c>
      <c r="B48" s="17">
        <v>560</v>
      </c>
      <c r="C48" s="18" t="s">
        <v>173</v>
      </c>
      <c r="D48" s="18" t="s">
        <v>11</v>
      </c>
      <c r="E48" s="18" t="s">
        <v>174</v>
      </c>
      <c r="F48" s="17">
        <v>1</v>
      </c>
      <c r="G48" s="18" t="s">
        <v>175</v>
      </c>
      <c r="H48" s="18" t="s">
        <v>176</v>
      </c>
      <c r="I48" s="15">
        <f>2*Tableau2[[#This Row],[Quantity]]</f>
        <v>2</v>
      </c>
      <c r="J48" s="9" t="s">
        <v>282</v>
      </c>
      <c r="K48" s="9" t="s">
        <v>282</v>
      </c>
      <c r="L48" s="1"/>
    </row>
    <row r="49" spans="1:12" x14ac:dyDescent="0.25">
      <c r="A49" s="17" t="s">
        <v>177</v>
      </c>
      <c r="B49" s="17" t="s">
        <v>178</v>
      </c>
      <c r="C49" s="18" t="s">
        <v>179</v>
      </c>
      <c r="D49" s="18" t="s">
        <v>11</v>
      </c>
      <c r="E49" s="18" t="s">
        <v>180</v>
      </c>
      <c r="F49" s="17">
        <v>2</v>
      </c>
      <c r="G49" s="18" t="s">
        <v>18</v>
      </c>
      <c r="H49" s="18" t="s">
        <v>181</v>
      </c>
      <c r="I49" s="15">
        <f>2*Tableau2[[#This Row],[Quantity]]</f>
        <v>4</v>
      </c>
      <c r="J49" s="9" t="s">
        <v>282</v>
      </c>
      <c r="K49" s="9" t="s">
        <v>282</v>
      </c>
      <c r="L49" s="1"/>
    </row>
    <row r="50" spans="1:12" x14ac:dyDescent="0.25">
      <c r="A50" s="17" t="s">
        <v>182</v>
      </c>
      <c r="B50" s="17">
        <v>680</v>
      </c>
      <c r="C50" s="18" t="s">
        <v>183</v>
      </c>
      <c r="D50" s="18" t="s">
        <v>11</v>
      </c>
      <c r="E50" s="18" t="s">
        <v>184</v>
      </c>
      <c r="F50" s="17">
        <v>1</v>
      </c>
      <c r="G50" s="18" t="s">
        <v>175</v>
      </c>
      <c r="H50" s="18" t="s">
        <v>185</v>
      </c>
      <c r="I50" s="15">
        <f>2*Tableau2[[#This Row],[Quantity]]</f>
        <v>2</v>
      </c>
      <c r="J50" s="9" t="s">
        <v>282</v>
      </c>
      <c r="K50" s="9" t="s">
        <v>282</v>
      </c>
      <c r="L50" s="1"/>
    </row>
    <row r="51" spans="1:12" ht="26.25" x14ac:dyDescent="0.25">
      <c r="A51" s="17" t="s">
        <v>186</v>
      </c>
      <c r="B51" s="17" t="s">
        <v>187</v>
      </c>
      <c r="C51" s="18" t="s">
        <v>187</v>
      </c>
      <c r="D51" s="18" t="s">
        <v>11</v>
      </c>
      <c r="E51" s="18" t="s">
        <v>188</v>
      </c>
      <c r="F51" s="17">
        <v>6</v>
      </c>
      <c r="G51" s="18" t="s">
        <v>18</v>
      </c>
      <c r="H51" s="18" t="s">
        <v>189</v>
      </c>
      <c r="I51" s="15"/>
      <c r="J51" s="9" t="s">
        <v>282</v>
      </c>
      <c r="K51" s="9" t="s">
        <v>282</v>
      </c>
      <c r="L51" s="1"/>
    </row>
    <row r="52" spans="1:12" x14ac:dyDescent="0.25">
      <c r="A52" s="17" t="s">
        <v>190</v>
      </c>
      <c r="B52" s="17">
        <v>100</v>
      </c>
      <c r="C52" s="18" t="s">
        <v>62</v>
      </c>
      <c r="D52" s="18" t="s">
        <v>11</v>
      </c>
      <c r="E52" s="18" t="s">
        <v>63</v>
      </c>
      <c r="F52" s="17">
        <v>1</v>
      </c>
      <c r="G52" s="18" t="s">
        <v>191</v>
      </c>
      <c r="H52" s="18" t="s">
        <v>192</v>
      </c>
      <c r="I52" s="15"/>
      <c r="J52" s="9" t="s">
        <v>282</v>
      </c>
      <c r="K52" s="9" t="s">
        <v>282</v>
      </c>
      <c r="L52" s="1"/>
    </row>
    <row r="53" spans="1:12" ht="26.25" x14ac:dyDescent="0.25">
      <c r="A53" s="17" t="s">
        <v>193</v>
      </c>
      <c r="B53" s="17">
        <v>47</v>
      </c>
      <c r="C53" s="18" t="s">
        <v>194</v>
      </c>
      <c r="D53" s="18" t="s">
        <v>11</v>
      </c>
      <c r="E53" s="18" t="s">
        <v>195</v>
      </c>
      <c r="F53" s="17">
        <v>6</v>
      </c>
      <c r="G53" s="18" t="s">
        <v>114</v>
      </c>
      <c r="H53" s="18" t="s">
        <v>196</v>
      </c>
      <c r="I53" s="15">
        <v>10</v>
      </c>
      <c r="J53" s="9" t="s">
        <v>282</v>
      </c>
      <c r="K53" s="9" t="s">
        <v>282</v>
      </c>
      <c r="L53" s="1"/>
    </row>
    <row r="54" spans="1:12" x14ac:dyDescent="0.25">
      <c r="A54" s="17" t="s">
        <v>197</v>
      </c>
      <c r="B54" s="17"/>
      <c r="C54" s="18" t="s">
        <v>198</v>
      </c>
      <c r="D54" s="18" t="s">
        <v>11</v>
      </c>
      <c r="E54" s="18" t="s">
        <v>199</v>
      </c>
      <c r="F54" s="17">
        <v>1</v>
      </c>
      <c r="G54" s="18" t="s">
        <v>13</v>
      </c>
      <c r="H54" s="18" t="s">
        <v>200</v>
      </c>
      <c r="I54" s="15"/>
      <c r="J54" s="9" t="s">
        <v>282</v>
      </c>
      <c r="K54" s="9" t="s">
        <v>282</v>
      </c>
      <c r="L54" s="1"/>
    </row>
    <row r="55" spans="1:12" x14ac:dyDescent="0.25">
      <c r="A55" s="17" t="s">
        <v>201</v>
      </c>
      <c r="B55" s="17"/>
      <c r="C55" s="18" t="s">
        <v>202</v>
      </c>
      <c r="D55" s="18" t="s">
        <v>11</v>
      </c>
      <c r="E55" s="18" t="s">
        <v>203</v>
      </c>
      <c r="F55" s="17">
        <v>1</v>
      </c>
      <c r="G55" s="18" t="s">
        <v>18</v>
      </c>
      <c r="H55" s="18" t="s">
        <v>204</v>
      </c>
      <c r="I55" s="15"/>
      <c r="J55" s="9" t="s">
        <v>282</v>
      </c>
      <c r="K55" s="9" t="s">
        <v>282</v>
      </c>
      <c r="L55" s="1"/>
    </row>
    <row r="56" spans="1:12" x14ac:dyDescent="0.25">
      <c r="A56" s="17" t="s">
        <v>205</v>
      </c>
      <c r="B56" s="17"/>
      <c r="C56" s="18" t="s">
        <v>206</v>
      </c>
      <c r="D56" s="18" t="s">
        <v>11</v>
      </c>
      <c r="E56" s="18" t="s">
        <v>188</v>
      </c>
      <c r="F56" s="17">
        <v>1</v>
      </c>
      <c r="G56" s="18" t="s">
        <v>13</v>
      </c>
      <c r="H56" s="18" t="s">
        <v>207</v>
      </c>
      <c r="I56" s="15"/>
      <c r="J56" s="9" t="s">
        <v>282</v>
      </c>
      <c r="K56" s="9" t="s">
        <v>282</v>
      </c>
      <c r="L56" s="1"/>
    </row>
    <row r="57" spans="1:12" x14ac:dyDescent="0.25">
      <c r="A57" s="17" t="s">
        <v>208</v>
      </c>
      <c r="B57" s="17"/>
      <c r="C57" s="18" t="s">
        <v>209</v>
      </c>
      <c r="D57" s="18" t="s">
        <v>11</v>
      </c>
      <c r="E57" s="18" t="s">
        <v>210</v>
      </c>
      <c r="F57" s="17">
        <v>1</v>
      </c>
      <c r="G57" s="18" t="s">
        <v>13</v>
      </c>
      <c r="H57" s="18" t="s">
        <v>211</v>
      </c>
      <c r="I57" s="15"/>
      <c r="J57" s="9" t="s">
        <v>282</v>
      </c>
      <c r="K57" s="9" t="s">
        <v>282</v>
      </c>
      <c r="L57" s="1"/>
    </row>
    <row r="58" spans="1:12" x14ac:dyDescent="0.25">
      <c r="A58" s="17" t="s">
        <v>212</v>
      </c>
      <c r="B58" s="17" t="s">
        <v>213</v>
      </c>
      <c r="C58" s="18" t="s">
        <v>213</v>
      </c>
      <c r="D58" s="18" t="s">
        <v>11</v>
      </c>
      <c r="E58" s="18" t="s">
        <v>214</v>
      </c>
      <c r="F58" s="17">
        <v>2</v>
      </c>
      <c r="G58" s="18" t="s">
        <v>175</v>
      </c>
      <c r="H58" s="18" t="s">
        <v>215</v>
      </c>
      <c r="I58" s="15"/>
      <c r="J58" s="9" t="s">
        <v>282</v>
      </c>
      <c r="K58" s="9" t="s">
        <v>282</v>
      </c>
      <c r="L58" s="1"/>
    </row>
    <row r="59" spans="1:12" x14ac:dyDescent="0.25">
      <c r="A59" s="17" t="s">
        <v>216</v>
      </c>
      <c r="B59" s="17" t="s">
        <v>217</v>
      </c>
      <c r="C59" s="18" t="s">
        <v>218</v>
      </c>
      <c r="D59" s="18" t="s">
        <v>11</v>
      </c>
      <c r="E59" s="18" t="s">
        <v>219</v>
      </c>
      <c r="F59" s="17">
        <v>2</v>
      </c>
      <c r="G59" s="18" t="s">
        <v>175</v>
      </c>
      <c r="H59" s="18" t="s">
        <v>220</v>
      </c>
      <c r="I59" s="15"/>
      <c r="J59" s="9" t="s">
        <v>282</v>
      </c>
      <c r="K59" s="9" t="s">
        <v>282</v>
      </c>
      <c r="L59" s="1"/>
    </row>
    <row r="60" spans="1:12" x14ac:dyDescent="0.25">
      <c r="A60" s="17" t="s">
        <v>221</v>
      </c>
      <c r="B60" s="17" t="s">
        <v>222</v>
      </c>
      <c r="C60" s="18" t="s">
        <v>222</v>
      </c>
      <c r="D60" s="18" t="s">
        <v>11</v>
      </c>
      <c r="E60" s="18" t="s">
        <v>223</v>
      </c>
      <c r="F60" s="17">
        <v>2</v>
      </c>
      <c r="G60" s="18" t="s">
        <v>175</v>
      </c>
      <c r="H60" s="18" t="s">
        <v>224</v>
      </c>
      <c r="I60" s="15"/>
      <c r="J60" s="9" t="s">
        <v>282</v>
      </c>
      <c r="K60" s="9" t="s">
        <v>282</v>
      </c>
      <c r="L60" s="1"/>
    </row>
    <row r="61" spans="1:12" x14ac:dyDescent="0.25">
      <c r="A61" s="17" t="s">
        <v>225</v>
      </c>
      <c r="B61" s="17">
        <v>0</v>
      </c>
      <c r="C61" s="18" t="s">
        <v>66</v>
      </c>
      <c r="D61" s="18" t="s">
        <v>67</v>
      </c>
      <c r="E61" s="18" t="s">
        <v>68</v>
      </c>
      <c r="F61" s="17">
        <v>3</v>
      </c>
      <c r="G61" s="18" t="s">
        <v>114</v>
      </c>
      <c r="H61" s="18" t="s">
        <v>226</v>
      </c>
      <c r="I61" s="15" t="s">
        <v>287</v>
      </c>
      <c r="J61" s="16" t="s">
        <v>277</v>
      </c>
      <c r="K61" s="16" t="s">
        <v>277</v>
      </c>
      <c r="L61" s="1"/>
    </row>
    <row r="62" spans="1:12" x14ac:dyDescent="0.25">
      <c r="A62" s="17" t="s">
        <v>227</v>
      </c>
      <c r="B62" s="17" t="s">
        <v>71</v>
      </c>
      <c r="C62" s="18" t="s">
        <v>71</v>
      </c>
      <c r="D62" s="18" t="s">
        <v>11</v>
      </c>
      <c r="E62" s="18" t="s">
        <v>72</v>
      </c>
      <c r="F62" s="17">
        <v>1</v>
      </c>
      <c r="G62" s="18" t="s">
        <v>114</v>
      </c>
      <c r="H62" s="18" t="s">
        <v>228</v>
      </c>
      <c r="I62" s="15"/>
      <c r="J62" s="9" t="s">
        <v>282</v>
      </c>
      <c r="K62" s="9" t="s">
        <v>282</v>
      </c>
      <c r="L62" s="1"/>
    </row>
    <row r="63" spans="1:12" x14ac:dyDescent="0.25">
      <c r="A63" s="17" t="s">
        <v>229</v>
      </c>
      <c r="B63" s="17"/>
      <c r="C63" s="18" t="s">
        <v>230</v>
      </c>
      <c r="D63" s="18" t="s">
        <v>11</v>
      </c>
      <c r="E63" s="18" t="s">
        <v>231</v>
      </c>
      <c r="F63" s="17">
        <v>1</v>
      </c>
      <c r="G63" s="18" t="s">
        <v>13</v>
      </c>
      <c r="H63" s="18" t="s">
        <v>232</v>
      </c>
      <c r="I63" s="15"/>
      <c r="J63" s="9" t="s">
        <v>282</v>
      </c>
      <c r="K63" s="9" t="s">
        <v>282</v>
      </c>
      <c r="L63" s="1"/>
    </row>
    <row r="64" spans="1:12" x14ac:dyDescent="0.25">
      <c r="A64" s="17" t="s">
        <v>233</v>
      </c>
      <c r="B64" s="17" t="s">
        <v>234</v>
      </c>
      <c r="C64" s="18" t="s">
        <v>234</v>
      </c>
      <c r="D64" s="18" t="s">
        <v>235</v>
      </c>
      <c r="E64" s="18" t="s">
        <v>236</v>
      </c>
      <c r="F64" s="17">
        <v>1</v>
      </c>
      <c r="G64" s="18" t="s">
        <v>175</v>
      </c>
      <c r="H64" s="18" t="s">
        <v>237</v>
      </c>
      <c r="I64" s="15"/>
      <c r="J64" s="16" t="s">
        <v>277</v>
      </c>
      <c r="K64" s="1" t="s">
        <v>277</v>
      </c>
      <c r="L64" s="1"/>
    </row>
    <row r="65" spans="1:13" s="23" customFormat="1" x14ac:dyDescent="0.25">
      <c r="A65" s="24" t="s">
        <v>238</v>
      </c>
      <c r="B65" s="24"/>
      <c r="C65" s="25" t="s">
        <v>239</v>
      </c>
      <c r="D65" s="25" t="s">
        <v>90</v>
      </c>
      <c r="E65" s="25" t="s">
        <v>239</v>
      </c>
      <c r="F65" s="24">
        <v>1</v>
      </c>
      <c r="G65" s="25" t="s">
        <v>13</v>
      </c>
      <c r="H65" s="25" t="s">
        <v>240</v>
      </c>
      <c r="I65" s="26"/>
      <c r="J65" s="27" t="s">
        <v>277</v>
      </c>
      <c r="K65" s="27" t="s">
        <v>277</v>
      </c>
      <c r="L65" s="27"/>
      <c r="M65" s="23" t="s">
        <v>294</v>
      </c>
    </row>
    <row r="66" spans="1:13" x14ac:dyDescent="0.25">
      <c r="A66" s="17" t="s">
        <v>241</v>
      </c>
      <c r="B66" s="17"/>
      <c r="C66" s="18" t="s">
        <v>75</v>
      </c>
      <c r="D66" s="18" t="s">
        <v>31</v>
      </c>
      <c r="E66" s="18" t="s">
        <v>75</v>
      </c>
      <c r="F66" s="17">
        <v>4</v>
      </c>
      <c r="G66" s="18" t="s">
        <v>175</v>
      </c>
      <c r="H66" s="18" t="s">
        <v>242</v>
      </c>
      <c r="I66" s="15"/>
      <c r="J66" s="9" t="s">
        <v>282</v>
      </c>
      <c r="K66" s="9" t="s">
        <v>282</v>
      </c>
      <c r="L66" s="1"/>
    </row>
    <row r="67" spans="1:13" x14ac:dyDescent="0.25">
      <c r="A67" s="17" t="s">
        <v>243</v>
      </c>
      <c r="B67" s="17"/>
      <c r="C67" s="18" t="s">
        <v>78</v>
      </c>
      <c r="D67" s="18" t="s">
        <v>31</v>
      </c>
      <c r="E67" s="18" t="s">
        <v>78</v>
      </c>
      <c r="F67" s="17">
        <v>3</v>
      </c>
      <c r="G67" s="18" t="s">
        <v>175</v>
      </c>
      <c r="H67" s="18" t="s">
        <v>244</v>
      </c>
      <c r="I67" s="15"/>
      <c r="J67" s="9" t="s">
        <v>282</v>
      </c>
      <c r="K67" s="9" t="s">
        <v>282</v>
      </c>
      <c r="L67" s="1"/>
    </row>
    <row r="68" spans="1:13" x14ac:dyDescent="0.25">
      <c r="A68" s="17" t="s">
        <v>245</v>
      </c>
      <c r="B68" s="17"/>
      <c r="C68" s="18" t="s">
        <v>246</v>
      </c>
      <c r="D68" s="18" t="s">
        <v>247</v>
      </c>
      <c r="E68" s="18" t="s">
        <v>246</v>
      </c>
      <c r="F68" s="17">
        <v>2</v>
      </c>
      <c r="G68" s="18" t="s">
        <v>18</v>
      </c>
      <c r="H68" s="18" t="s">
        <v>248</v>
      </c>
      <c r="I68" s="15">
        <v>6</v>
      </c>
      <c r="J68" s="16" t="s">
        <v>277</v>
      </c>
      <c r="K68" s="19" t="s">
        <v>277</v>
      </c>
      <c r="L68" s="1"/>
    </row>
    <row r="69" spans="1:13" ht="26.25" x14ac:dyDescent="0.25">
      <c r="A69" s="17" t="s">
        <v>84</v>
      </c>
      <c r="B69" s="17"/>
      <c r="C69" s="18" t="s">
        <v>249</v>
      </c>
      <c r="D69" s="18" t="s">
        <v>250</v>
      </c>
      <c r="E69" s="18" t="s">
        <v>251</v>
      </c>
      <c r="F69" s="17">
        <v>1</v>
      </c>
      <c r="G69" s="18" t="s">
        <v>18</v>
      </c>
      <c r="H69" s="18" t="s">
        <v>252</v>
      </c>
      <c r="I69" s="15"/>
      <c r="J69" s="16" t="s">
        <v>277</v>
      </c>
      <c r="K69" s="1" t="s">
        <v>277</v>
      </c>
      <c r="L69" s="1"/>
    </row>
    <row r="70" spans="1:13" ht="26.25" x14ac:dyDescent="0.25">
      <c r="A70" s="17" t="s">
        <v>253</v>
      </c>
      <c r="B70" s="17"/>
      <c r="C70" s="18" t="s">
        <v>254</v>
      </c>
      <c r="D70" s="18" t="s">
        <v>250</v>
      </c>
      <c r="E70" s="18" t="s">
        <v>251</v>
      </c>
      <c r="F70" s="17">
        <v>1</v>
      </c>
      <c r="G70" s="18" t="s">
        <v>18</v>
      </c>
      <c r="H70" s="18" t="s">
        <v>252</v>
      </c>
      <c r="I70" s="15"/>
      <c r="J70" s="16" t="s">
        <v>277</v>
      </c>
      <c r="K70" s="1" t="s">
        <v>277</v>
      </c>
      <c r="L70" s="1"/>
    </row>
    <row r="71" spans="1:13" x14ac:dyDescent="0.25">
      <c r="A71" s="17" t="s">
        <v>255</v>
      </c>
      <c r="B71" s="17"/>
      <c r="C71" s="18" t="s">
        <v>256</v>
      </c>
      <c r="D71" s="18" t="s">
        <v>257</v>
      </c>
      <c r="E71" s="18" t="s">
        <v>258</v>
      </c>
      <c r="F71" s="17">
        <v>1</v>
      </c>
      <c r="G71" s="18" t="s">
        <v>175</v>
      </c>
      <c r="H71" s="18" t="s">
        <v>259</v>
      </c>
      <c r="I71" s="15"/>
      <c r="J71" s="16" t="s">
        <v>288</v>
      </c>
      <c r="K71" s="16" t="s">
        <v>288</v>
      </c>
      <c r="L71" s="1"/>
    </row>
    <row r="72" spans="1:13" x14ac:dyDescent="0.25">
      <c r="A72" s="17" t="s">
        <v>260</v>
      </c>
      <c r="B72" s="17"/>
      <c r="C72" s="18" t="s">
        <v>261</v>
      </c>
      <c r="D72" s="18" t="s">
        <v>247</v>
      </c>
      <c r="E72" s="18" t="s">
        <v>261</v>
      </c>
      <c r="F72" s="17">
        <v>1</v>
      </c>
      <c r="G72" s="18" t="s">
        <v>18</v>
      </c>
      <c r="H72" s="18" t="s">
        <v>262</v>
      </c>
      <c r="I72" s="15"/>
      <c r="J72" s="16" t="s">
        <v>277</v>
      </c>
      <c r="K72" s="1" t="s">
        <v>277</v>
      </c>
      <c r="L72" s="1"/>
    </row>
    <row r="73" spans="1:13" x14ac:dyDescent="0.25">
      <c r="A73" s="17" t="s">
        <v>263</v>
      </c>
      <c r="B73" s="17"/>
      <c r="C73" s="18" t="s">
        <v>264</v>
      </c>
      <c r="D73" s="18" t="s">
        <v>247</v>
      </c>
      <c r="E73" s="18" t="s">
        <v>264</v>
      </c>
      <c r="F73" s="17">
        <v>1</v>
      </c>
      <c r="G73" s="18" t="s">
        <v>114</v>
      </c>
      <c r="H73" s="18" t="s">
        <v>265</v>
      </c>
      <c r="I73" s="15"/>
      <c r="J73" s="16" t="s">
        <v>277</v>
      </c>
      <c r="K73" s="1" t="s">
        <v>277</v>
      </c>
      <c r="L73" s="1"/>
    </row>
    <row r="74" spans="1:13" x14ac:dyDescent="0.25">
      <c r="A74" s="17" t="s">
        <v>266</v>
      </c>
      <c r="B74" s="17"/>
      <c r="C74" s="18" t="s">
        <v>267</v>
      </c>
      <c r="D74" s="18" t="s">
        <v>247</v>
      </c>
      <c r="E74" s="18" t="s">
        <v>267</v>
      </c>
      <c r="F74" s="17">
        <v>1</v>
      </c>
      <c r="G74" s="18" t="s">
        <v>18</v>
      </c>
      <c r="H74" s="18" t="s">
        <v>268</v>
      </c>
      <c r="I74" s="15"/>
      <c r="J74" s="16" t="s">
        <v>277</v>
      </c>
      <c r="K74" s="1" t="s">
        <v>277</v>
      </c>
      <c r="L74" s="1"/>
    </row>
    <row r="75" spans="1:13" x14ac:dyDescent="0.25">
      <c r="A75" s="17" t="s">
        <v>269</v>
      </c>
      <c r="B75" s="17"/>
      <c r="C75" s="18" t="s">
        <v>270</v>
      </c>
      <c r="D75" s="18" t="s">
        <v>247</v>
      </c>
      <c r="E75" s="18" t="s">
        <v>270</v>
      </c>
      <c r="F75" s="17">
        <v>1</v>
      </c>
      <c r="G75" s="18" t="s">
        <v>114</v>
      </c>
      <c r="H75" s="18" t="s">
        <v>271</v>
      </c>
      <c r="I75" s="15"/>
      <c r="J75" s="16" t="s">
        <v>277</v>
      </c>
      <c r="K75" s="1" t="s">
        <v>277</v>
      </c>
      <c r="L75" s="1"/>
    </row>
    <row r="76" spans="1:13" x14ac:dyDescent="0.25">
      <c r="A76" s="17" t="s">
        <v>272</v>
      </c>
      <c r="B76" s="17">
        <v>2.54</v>
      </c>
      <c r="C76" s="18" t="s">
        <v>89</v>
      </c>
      <c r="D76" s="18" t="s">
        <v>90</v>
      </c>
      <c r="E76" s="18" t="s">
        <v>273</v>
      </c>
      <c r="F76" s="17">
        <v>3</v>
      </c>
      <c r="G76" s="18" t="s">
        <v>13</v>
      </c>
      <c r="H76" s="18" t="s">
        <v>274</v>
      </c>
      <c r="I76" s="15"/>
      <c r="J76" s="9" t="s">
        <v>282</v>
      </c>
      <c r="K76" s="9" t="s">
        <v>282</v>
      </c>
      <c r="L76" s="1"/>
    </row>
    <row r="77" spans="1:13" x14ac:dyDescent="0.25">
      <c r="A77" s="10" t="s">
        <v>275</v>
      </c>
      <c r="B77" s="11">
        <v>2.54</v>
      </c>
      <c r="C77" s="12" t="s">
        <v>89</v>
      </c>
      <c r="D77" s="12" t="s">
        <v>90</v>
      </c>
      <c r="E77" s="12" t="s">
        <v>91</v>
      </c>
      <c r="F77" s="11">
        <v>2</v>
      </c>
      <c r="G77" s="13" t="s">
        <v>114</v>
      </c>
      <c r="H77" s="12" t="s">
        <v>276</v>
      </c>
      <c r="I77" s="14"/>
      <c r="J77" s="9" t="s">
        <v>282</v>
      </c>
      <c r="K77" s="9" t="s">
        <v>282</v>
      </c>
    </row>
  </sheetData>
  <mergeCells count="1">
    <mergeCell ref="A1:D1"/>
  </mergeCells>
  <conditionalFormatting sqref="A27:H77">
    <cfRule type="expression" dxfId="19" priority="1">
      <formula>$A27="not fitted"</formula>
    </cfRule>
  </conditionalFormatting>
  <pageMargins left="0.25" right="0.25" top="0.75" bottom="0.75" header="0.3" footer="0.3"/>
  <pageSetup paperSize="8" scale="58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cp:lastPrinted>2025-09-10T11:20:37Z</cp:lastPrinted>
  <dcterms:created xsi:type="dcterms:W3CDTF">2025-09-02T11:00:23Z</dcterms:created>
  <dcterms:modified xsi:type="dcterms:W3CDTF">2025-09-10T17:24:26Z</dcterms:modified>
</cp:coreProperties>
</file>