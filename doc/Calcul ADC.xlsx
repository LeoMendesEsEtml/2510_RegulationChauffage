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"/>
    </mc:Choice>
  </mc:AlternateContent>
  <xr:revisionPtr revIDLastSave="551" documentId="8_{EB378B1F-4AD4-45B2-A3E5-B2D383129B0F}" xr6:coauthVersionLast="45" xr6:coauthVersionMax="45" xr10:uidLastSave="{FAA24151-1B33-48D6-8C4C-9D7BFAAE03EC}"/>
  <bookViews>
    <workbookView xWindow="-120" yWindow="-120" windowWidth="29040" windowHeight="15840" xr2:uid="{C7CBEF2D-FEC4-4B4A-9AFE-A1A2A210ABB8}"/>
  </bookViews>
  <sheets>
    <sheet name="Feuil1" sheetId="1" r:id="rId1"/>
    <sheet name="Feuil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6" i="1" l="1"/>
  <c r="C17" i="1"/>
  <c r="C18" i="1"/>
  <c r="C19" i="1"/>
  <c r="C20" i="1"/>
  <c r="C21" i="1"/>
  <c r="C22" i="1"/>
  <c r="C23" i="1"/>
  <c r="C24" i="1"/>
  <c r="C15" i="1"/>
  <c r="I2" i="1"/>
  <c r="J2" i="1"/>
  <c r="J3" i="1"/>
  <c r="J4" i="1"/>
  <c r="J5" i="1"/>
  <c r="J6" i="1"/>
  <c r="J7" i="1"/>
  <c r="J8" i="1"/>
  <c r="J9" i="1"/>
  <c r="J10" i="1"/>
  <c r="J11" i="1"/>
  <c r="I3" i="1"/>
  <c r="I4" i="1"/>
  <c r="I5" i="1"/>
  <c r="I6" i="1"/>
  <c r="I7" i="1"/>
  <c r="I8" i="1"/>
  <c r="I9" i="1"/>
  <c r="I10" i="1"/>
  <c r="I11" i="1"/>
  <c r="M3" i="1" l="1"/>
  <c r="O3" i="1" s="1"/>
  <c r="M4" i="1"/>
  <c r="O4" i="1" s="1"/>
  <c r="M5" i="1"/>
  <c r="O5" i="1" s="1"/>
  <c r="M6" i="1"/>
  <c r="O6" i="1" s="1"/>
  <c r="M7" i="1"/>
  <c r="O7" i="1" s="1"/>
  <c r="M8" i="1"/>
  <c r="O8" i="1" s="1"/>
  <c r="M9" i="1"/>
  <c r="O9" i="1" s="1"/>
  <c r="M10" i="1"/>
  <c r="O10" i="1" s="1"/>
  <c r="M11" i="1"/>
  <c r="O11" i="1" s="1"/>
  <c r="M2" i="1"/>
  <c r="O2" i="1" s="1"/>
  <c r="L8" i="1"/>
  <c r="L11" i="1" l="1"/>
  <c r="N11" i="1" s="1"/>
  <c r="L10" i="1"/>
  <c r="N10" i="1" s="1"/>
  <c r="L7" i="1"/>
  <c r="N7" i="1" s="1"/>
  <c r="L3" i="1"/>
  <c r="N3" i="1" s="1"/>
  <c r="L5" i="1"/>
  <c r="N5" i="1" s="1"/>
  <c r="L2" i="1"/>
  <c r="N2" i="1" s="1"/>
  <c r="L9" i="1"/>
  <c r="N9" i="1" s="1"/>
  <c r="L6" i="1"/>
  <c r="N6" i="1" s="1"/>
  <c r="L4" i="1"/>
  <c r="N4" i="1" s="1"/>
  <c r="K8" i="1"/>
  <c r="P8" i="1" s="1"/>
  <c r="N8" i="1"/>
  <c r="K3" i="1"/>
  <c r="P3" i="1" s="1"/>
  <c r="K11" i="1"/>
  <c r="P11" i="1" s="1"/>
  <c r="K10" i="1"/>
  <c r="P10" i="1" s="1"/>
  <c r="K9" i="1"/>
  <c r="P9" i="1" s="1"/>
  <c r="K7" i="1"/>
  <c r="P7" i="1" s="1"/>
  <c r="Q7" i="1" s="1"/>
  <c r="K6" i="1"/>
  <c r="P6" i="1" s="1"/>
  <c r="K5" i="1"/>
  <c r="P5" i="1" s="1"/>
  <c r="K4" i="1"/>
  <c r="P4" i="1" s="1"/>
  <c r="K2" i="1"/>
  <c r="P2" i="1" s="1"/>
  <c r="Q2" i="1" s="1"/>
  <c r="Q11" i="1" l="1"/>
  <c r="R11" i="1" s="1"/>
  <c r="Q10" i="1"/>
  <c r="R10" i="1" s="1"/>
  <c r="Q9" i="1"/>
  <c r="R9" i="1" s="1"/>
  <c r="Q8" i="1"/>
  <c r="R8" i="1" s="1"/>
  <c r="Q6" i="1"/>
  <c r="R6" i="1" s="1"/>
  <c r="Q5" i="1"/>
  <c r="R5" i="1" s="1"/>
  <c r="Q4" i="1"/>
  <c r="R4" i="1" s="1"/>
  <c r="Q3" i="1"/>
  <c r="R3" i="1" s="1"/>
  <c r="T2" i="1"/>
  <c r="S2" i="1" s="1"/>
  <c r="T7" i="1"/>
  <c r="S7" i="1" s="1"/>
  <c r="R7" i="1"/>
  <c r="T11" i="1" l="1"/>
  <c r="S11" i="1" s="1"/>
  <c r="T10" i="1"/>
  <c r="S10" i="1" s="1"/>
  <c r="T9" i="1"/>
  <c r="S9" i="1" s="1"/>
  <c r="T8" i="1"/>
  <c r="S8" i="1" s="1"/>
  <c r="T6" i="1"/>
  <c r="S6" i="1" s="1"/>
  <c r="T5" i="1"/>
  <c r="S5" i="1" s="1"/>
  <c r="T4" i="1"/>
  <c r="S4" i="1" s="1"/>
  <c r="T3" i="1"/>
  <c r="S3" i="1" s="1"/>
  <c r="R2" i="1"/>
</calcChain>
</file>

<file path=xl/sharedStrings.xml><?xml version="1.0" encoding="utf-8"?>
<sst xmlns="http://schemas.openxmlformats.org/spreadsheetml/2006/main" count="38" uniqueCount="38">
  <si>
    <t>De Dietrich AF60</t>
  </si>
  <si>
    <t>Siemens QAC32</t>
  </si>
  <si>
    <t>PT1000</t>
  </si>
  <si>
    <t>Ni1000 TK5000</t>
  </si>
  <si>
    <t>Ni1000 TK6180</t>
  </si>
  <si>
    <t>NTC 1k 3528</t>
  </si>
  <si>
    <t>KTY81-210</t>
  </si>
  <si>
    <t>NTC 2k 3390</t>
  </si>
  <si>
    <t>NTC 2.2K 3528</t>
  </si>
  <si>
    <t>NTC 10K 3977</t>
  </si>
  <si>
    <t>R à -15[°C]</t>
  </si>
  <si>
    <t>IDAC[uA]</t>
  </si>
  <si>
    <t>IDAC possible</t>
  </si>
  <si>
    <t xml:space="preserve">Gain </t>
  </si>
  <si>
    <t>Gain</t>
  </si>
  <si>
    <t>Vref</t>
  </si>
  <si>
    <t>DT</t>
  </si>
  <si>
    <t>NADC</t>
  </si>
  <si>
    <t xml:space="preserve">DV </t>
  </si>
  <si>
    <t>Amplitude numérique exploitable [codes ADC]</t>
  </si>
  <si>
    <t>Taux de variation numérique par °C</t>
  </si>
  <si>
    <t>Dvout</t>
  </si>
  <si>
    <t>Utilisation de la plage ADC [%]</t>
  </si>
  <si>
    <t>Colonne1</t>
  </si>
  <si>
    <t>Résolution réelle en °C :</t>
  </si>
  <si>
    <t>Colonne2</t>
  </si>
  <si>
    <t>Colonne3</t>
  </si>
  <si>
    <r>
      <t>Nom Son</t>
    </r>
    <r>
      <rPr>
        <sz val="12"/>
        <color theme="1"/>
        <rFont val="Calibri"/>
        <family val="2"/>
        <scheme val="minor"/>
      </rPr>
      <t>de</t>
    </r>
  </si>
  <si>
    <t>R à +40[°C]</t>
  </si>
  <si>
    <t>Déviation min en [°C]/mW</t>
  </si>
  <si>
    <t>Déviation max en [°C]/mW2</t>
  </si>
  <si>
    <t>V @ Tmin mesurée</t>
  </si>
  <si>
    <t>V @ Tmax mesurée</t>
  </si>
  <si>
    <t>P @ Tmin mesurée</t>
  </si>
  <si>
    <t>P @ Tmax mesurée2</t>
  </si>
  <si>
    <t>Pas supérieur a 0.5 C</t>
  </si>
  <si>
    <t>Pas supérieur  à 100%</t>
  </si>
  <si>
    <t>– Borne compliance =AVDD - Vheadroom - Vbias = 3.3 - 0.4 - 1.5 = 1.4 V
– Borne ADC/PGA = 2.5 /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</si>
</sst>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79998168889431442"/>
        <bgColor theme="6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EACBA-B697-45AD-B598-7BFF85B99439}" name="Tableau1" displayName="Tableau1" ref="A1:T11" totalsRowShown="0" headerRowDxfId="11" dataDxfId="10">
  <autoFilter ref="A1:T11" xr:uid="{91D3FC81-9045-4072-B8E1-4915BB818F21}"/>
  <tableColumns count="20">
    <tableColumn id="1" xr3:uid="{78FAAED5-1074-4F7B-A23B-D9EC5620BEF4}" name="Nom Sonde" dataDxfId="27"/>
    <tableColumn id="2" xr3:uid="{001E4DC4-73D9-4E79-94D5-0F698ECB6197}" name="R à -15[°C]" dataDxfId="26"/>
    <tableColumn id="3" xr3:uid="{48DF81B5-56DE-463D-83E7-A17EB617C320}" name="R à +40[°C]" dataDxfId="25"/>
    <tableColumn id="4" xr3:uid="{3EB0C67F-5EDC-4083-8D79-5662AEAF686E}" name="IDAC[uA]" dataDxfId="24"/>
    <tableColumn id="5" xr3:uid="{590AD5B4-2EF7-4CF6-9782-7E7D354AECAD}" name="Gain" dataDxfId="23"/>
    <tableColumn id="6" xr3:uid="{C8EDF5C4-B029-4D7A-8116-CF3CAFAC1935}" name="Colonne1" dataDxfId="22"/>
    <tableColumn id="7" xr3:uid="{DB91F6E2-5DD5-4FB1-9B54-ED9369CA0DF5}" name="Colonne2" dataDxfId="21"/>
    <tableColumn id="8" xr3:uid="{0539B10E-F0FD-4B3E-9CB1-289C9074BA0F}" name="Colonne3" dataDxfId="20"/>
    <tableColumn id="9" xr3:uid="{B4AB9489-2723-4938-BB44-C2C28617A0EA}" name="V @ Tmin mesurée" dataDxfId="8">
      <calculatedColumnFormula>D2*10^-6*Tableau1[[#This Row],[R à -15'[°C']]]</calculatedColumnFormula>
    </tableColumn>
    <tableColumn id="10" xr3:uid="{56F5E7DF-4DE7-4AE6-8041-00322518C317}" name="V @ Tmax mesurée" dataDxfId="7">
      <calculatedColumnFormula>D2*10^-6*Tableau1[[#This Row],[R à +40'[°C']]]</calculatedColumnFormula>
    </tableColumn>
    <tableColumn id="11" xr3:uid="{3B342486-7B29-488C-B26A-AAA26556E2F2}" name="DV " dataDxfId="19">
      <calculatedColumnFormula>ABS(J2-I2)</calculatedColumnFormula>
    </tableColumn>
    <tableColumn id="13" xr3:uid="{0FD3D800-795C-4AD3-AE2F-ACB72DBB3891}" name="P @ Tmin mesurée" dataDxfId="9">
      <calculatedColumnFormula>I2*D2*10^-3</calculatedColumnFormula>
    </tableColumn>
    <tableColumn id="19" xr3:uid="{6395DA67-538A-4FA0-B269-7DEEA55BE227}" name="P @ Tmax mesurée2" dataDxfId="18">
      <calculatedColumnFormula>D2*J2*10^-3</calculatedColumnFormula>
    </tableColumn>
    <tableColumn id="20" xr3:uid="{11B24E40-FE61-4D21-9595-CF00B67D7050}" name="Déviation min en [°C]/mW" dataDxfId="17">
      <calculatedColumnFormula>L2*0.5</calculatedColumnFormula>
    </tableColumn>
    <tableColumn id="21" xr3:uid="{E47F2378-5047-4DCE-A664-8E2D3479E9AD}" name="Déviation max en [°C]/mW2" dataDxfId="16">
      <calculatedColumnFormula>M2*0.5</calculatedColumnFormula>
    </tableColumn>
    <tableColumn id="12" xr3:uid="{BF0F981E-C1EC-4EE3-8CCA-C2F367034044}" name="Dvout" dataDxfId="15">
      <calculatedColumnFormula>K2*E2</calculatedColumnFormula>
    </tableColumn>
    <tableColumn id="14" xr3:uid="{C065171C-54EE-41DC-8423-E2C3F85EB3C0}" name="Amplitude numérique exploitable [codes ADC]" dataDxfId="6">
      <calculatedColumnFormula>((P2)/A15)*C15</calculatedColumnFormula>
    </tableColumn>
    <tableColumn id="16" xr3:uid="{0D288CDD-5C43-4D92-9433-089CF353390E}" name="Utilisation de la plage ADC [%]" dataDxfId="14">
      <calculatedColumnFormula>(Q2/C15)*100</calculatedColumnFormula>
    </tableColumn>
    <tableColumn id="17" xr3:uid="{8DC26F04-8521-4B3B-BF80-56D405E7CEFC}" name="Résolution réelle en °C :" dataDxfId="13">
      <calculatedColumnFormula>1/Tableau1[[#This Row],[Taux de variation numérique par °C]]</calculatedColumnFormula>
    </tableColumn>
    <tableColumn id="15" xr3:uid="{D8E86357-3BC7-4395-9DAA-C03BC52411A4}" name="Taux de variation numérique par °C" dataDxfId="12">
      <calculatedColumnFormula>Q2/B15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EC708-356A-4A29-8EAD-83D69F918667}">
  <dimension ref="A1:T24"/>
  <sheetViews>
    <sheetView tabSelected="1" zoomScale="70" zoomScaleNormal="70" workbookViewId="0">
      <selection activeCell="I21" sqref="I21"/>
    </sheetView>
  </sheetViews>
  <sheetFormatPr baseColWidth="10" defaultRowHeight="15" x14ac:dyDescent="0.25"/>
  <cols>
    <col min="1" max="1" width="16.42578125" style="1" customWidth="1"/>
    <col min="2" max="2" width="15.7109375" style="1" customWidth="1"/>
    <col min="3" max="3" width="15.42578125" style="1" customWidth="1"/>
    <col min="4" max="4" width="18.85546875" style="1" customWidth="1"/>
    <col min="5" max="5" width="11.42578125" style="1"/>
    <col min="6" max="8" width="0" style="1" hidden="1" customWidth="1"/>
    <col min="9" max="9" width="24.85546875" style="1" customWidth="1"/>
    <col min="10" max="10" width="28" style="1" customWidth="1"/>
    <col min="11" max="11" width="20.5703125" style="1" customWidth="1"/>
    <col min="12" max="12" width="21.85546875" style="1" customWidth="1"/>
    <col min="13" max="13" width="25.5703125" style="1" customWidth="1"/>
    <col min="14" max="14" width="29.28515625" style="1" customWidth="1"/>
    <col min="15" max="15" width="25.28515625" style="1" customWidth="1"/>
    <col min="16" max="16" width="17.5703125" style="1" customWidth="1"/>
    <col min="17" max="17" width="59.7109375" style="1" customWidth="1"/>
    <col min="18" max="18" width="31.7109375" style="1" customWidth="1"/>
    <col min="19" max="19" width="31.140625" style="1" customWidth="1"/>
    <col min="20" max="20" width="44.42578125" style="1" customWidth="1"/>
    <col min="21" max="16384" width="11.42578125" style="1"/>
  </cols>
  <sheetData>
    <row r="1" spans="1:20" ht="15.75" x14ac:dyDescent="0.25">
      <c r="A1" s="1" t="s">
        <v>27</v>
      </c>
      <c r="B1" s="1" t="s">
        <v>10</v>
      </c>
      <c r="C1" s="1" t="s">
        <v>28</v>
      </c>
      <c r="D1" s="1" t="s">
        <v>11</v>
      </c>
      <c r="E1" s="1" t="s">
        <v>14</v>
      </c>
      <c r="F1" s="1" t="s">
        <v>23</v>
      </c>
      <c r="G1" s="1" t="s">
        <v>25</v>
      </c>
      <c r="H1" s="1" t="s">
        <v>26</v>
      </c>
      <c r="I1" s="1" t="s">
        <v>31</v>
      </c>
      <c r="J1" s="1" t="s">
        <v>32</v>
      </c>
      <c r="K1" s="1" t="s">
        <v>18</v>
      </c>
      <c r="L1" s="1" t="s">
        <v>33</v>
      </c>
      <c r="M1" s="1" t="s">
        <v>34</v>
      </c>
      <c r="N1" s="1" t="s">
        <v>29</v>
      </c>
      <c r="O1" s="1" t="s">
        <v>30</v>
      </c>
      <c r="P1" s="1" t="s">
        <v>21</v>
      </c>
      <c r="Q1" s="1" t="s">
        <v>19</v>
      </c>
      <c r="R1" s="1" t="s">
        <v>22</v>
      </c>
      <c r="S1" s="1" t="s">
        <v>24</v>
      </c>
      <c r="T1" s="1" t="s">
        <v>20</v>
      </c>
    </row>
    <row r="2" spans="1:20" x14ac:dyDescent="0.25">
      <c r="A2" s="1" t="s">
        <v>0</v>
      </c>
      <c r="B2" s="1">
        <v>2015.54</v>
      </c>
      <c r="C2" s="1">
        <v>251.37</v>
      </c>
      <c r="D2" s="1">
        <v>250</v>
      </c>
      <c r="E2" s="1">
        <v>4</v>
      </c>
      <c r="I2" s="1">
        <f>D2*10^-6*Tableau1[[#This Row],[R à -15'[°C']]]</f>
        <v>0.50388500000000003</v>
      </c>
      <c r="J2" s="1">
        <f>D2*10^-6*Tableau1[[#This Row],[R à +40'[°C']]]</f>
        <v>6.2842499999999996E-2</v>
      </c>
      <c r="K2" s="1">
        <f t="shared" ref="K2:K11" si="0">ABS(J2-I2)</f>
        <v>0.4410425</v>
      </c>
      <c r="L2" s="1">
        <f t="shared" ref="L2:L11" si="1">I2*D2*10^-3</f>
        <v>0.12597125000000001</v>
      </c>
      <c r="M2" s="1">
        <f>D2*J2*10^-3</f>
        <v>1.5710624999999999E-2</v>
      </c>
      <c r="N2" s="1">
        <f t="shared" ref="N2:N11" si="2">L2*0.5</f>
        <v>6.2985625000000003E-2</v>
      </c>
      <c r="O2" s="1">
        <f t="shared" ref="O2:O11" si="3">M2*0.5</f>
        <v>7.8553124999999994E-3</v>
      </c>
      <c r="P2" s="1">
        <f>K2*E2</f>
        <v>1.76417</v>
      </c>
      <c r="Q2" s="1">
        <f>((P2)/A15)*C15</f>
        <v>5919572.2301439997</v>
      </c>
      <c r="R2" s="1">
        <f>(Q2/C15)*100</f>
        <v>70.566800000000001</v>
      </c>
      <c r="S2" s="1">
        <f>1/Tableau1[[#This Row],[Taux de variation numérique par °C]]</f>
        <v>7.8552973411169689E-6</v>
      </c>
      <c r="T2" s="1">
        <f>Q2/B15</f>
        <v>127302.6286052473</v>
      </c>
    </row>
    <row r="3" spans="1:20" x14ac:dyDescent="0.25">
      <c r="A3" s="1" t="s">
        <v>1</v>
      </c>
      <c r="B3" s="1">
        <v>653</v>
      </c>
      <c r="C3" s="1">
        <v>525</v>
      </c>
      <c r="D3" s="1">
        <v>1000</v>
      </c>
      <c r="E3" s="1">
        <v>16</v>
      </c>
      <c r="I3" s="1">
        <f>D3*10^-6*Tableau1[[#This Row],[R à -15'[°C']]]</f>
        <v>0.65300000000000002</v>
      </c>
      <c r="J3" s="1">
        <f>D3*10^-6*Tableau1[[#This Row],[R à +40'[°C']]]</f>
        <v>0.52500000000000002</v>
      </c>
      <c r="K3" s="1">
        <f t="shared" si="0"/>
        <v>0.128</v>
      </c>
      <c r="L3" s="1">
        <f t="shared" si="1"/>
        <v>0.65300000000000002</v>
      </c>
      <c r="M3" s="1">
        <f>D3*J3*10^-3</f>
        <v>0.52500000000000002</v>
      </c>
      <c r="N3" s="1">
        <f t="shared" si="2"/>
        <v>0.32650000000000001</v>
      </c>
      <c r="O3" s="1">
        <f t="shared" si="3"/>
        <v>0.26250000000000001</v>
      </c>
      <c r="P3" s="1">
        <f>K3*E3</f>
        <v>2.048</v>
      </c>
      <c r="Q3" s="1">
        <f t="shared" ref="Q2:Q11" si="4">((P3)/A16)*C16</f>
        <v>6871947.6736000003</v>
      </c>
      <c r="R3" s="1">
        <f>(Q3/C16)*100</f>
        <v>81.92</v>
      </c>
      <c r="S3" s="1">
        <f>1/Tableau1[[#This Row],[Taux de variation numérique par °C]]</f>
        <v>6.7666405811905861E-6</v>
      </c>
      <c r="T3" s="1">
        <f>Q3/B16</f>
        <v>147783.82093763442</v>
      </c>
    </row>
    <row r="4" spans="1:20" x14ac:dyDescent="0.25">
      <c r="A4" s="1" t="s">
        <v>2</v>
      </c>
      <c r="B4" s="1">
        <v>942</v>
      </c>
      <c r="C4" s="1">
        <v>1155.5</v>
      </c>
      <c r="D4" s="1">
        <v>750</v>
      </c>
      <c r="E4" s="1">
        <v>8</v>
      </c>
      <c r="I4" s="1">
        <f>D4*10^-6*Tableau1[[#This Row],[R à -15'[°C']]]</f>
        <v>0.70650000000000002</v>
      </c>
      <c r="J4" s="1">
        <f>D4*10^-6*Tableau1[[#This Row],[R à +40'[°C']]]</f>
        <v>0.86662499999999998</v>
      </c>
      <c r="K4" s="1">
        <f t="shared" si="0"/>
        <v>0.16012499999999996</v>
      </c>
      <c r="L4" s="1">
        <f t="shared" si="1"/>
        <v>0.52987499999999998</v>
      </c>
      <c r="M4" s="1">
        <f>D4*J4*10^-3</f>
        <v>0.64996874999999998</v>
      </c>
      <c r="N4" s="1">
        <f t="shared" si="2"/>
        <v>0.26493749999999999</v>
      </c>
      <c r="O4" s="1">
        <f t="shared" si="3"/>
        <v>0.32498437499999999</v>
      </c>
      <c r="P4" s="1">
        <f>K4*E4</f>
        <v>1.2809999999999997</v>
      </c>
      <c r="Q4" s="1">
        <f t="shared" si="4"/>
        <v>4298322.7391999988</v>
      </c>
      <c r="R4" s="1">
        <f>(Q4/C17)*100</f>
        <v>51.239999999999988</v>
      </c>
      <c r="S4" s="1">
        <f>1/Tableau1[[#This Row],[Taux de variation numérique par °C]]</f>
        <v>1.0818173232067387E-5</v>
      </c>
      <c r="T4" s="1">
        <f>Q4/B17</f>
        <v>92437.048154838689</v>
      </c>
    </row>
    <row r="5" spans="1:20" x14ac:dyDescent="0.25">
      <c r="A5" s="1" t="s">
        <v>3</v>
      </c>
      <c r="B5" s="1">
        <v>935</v>
      </c>
      <c r="C5" s="1">
        <v>1185.71</v>
      </c>
      <c r="D5" s="1">
        <v>750</v>
      </c>
      <c r="E5" s="1">
        <v>8</v>
      </c>
      <c r="I5" s="1">
        <f>D5*10^-6*Tableau1[[#This Row],[R à -15'[°C']]]</f>
        <v>0.70125000000000004</v>
      </c>
      <c r="J5" s="1">
        <f>D5*10^-6*Tableau1[[#This Row],[R à +40'[°C']]]</f>
        <v>0.88928250000000009</v>
      </c>
      <c r="K5" s="1">
        <f t="shared" si="0"/>
        <v>0.18803250000000005</v>
      </c>
      <c r="L5" s="1">
        <f t="shared" si="1"/>
        <v>0.52593750000000006</v>
      </c>
      <c r="M5" s="1">
        <f>D5*J5*10^-3</f>
        <v>0.66696187500000004</v>
      </c>
      <c r="N5" s="1">
        <f t="shared" si="2"/>
        <v>0.26296875000000003</v>
      </c>
      <c r="O5" s="1">
        <f t="shared" si="3"/>
        <v>0.33348093750000002</v>
      </c>
      <c r="P5" s="1">
        <f>K5*E5</f>
        <v>1.5042600000000004</v>
      </c>
      <c r="Q5" s="1">
        <f t="shared" si="4"/>
        <v>5047458.9880320011</v>
      </c>
      <c r="R5" s="1">
        <f>(Q5/C18)*100</f>
        <v>60.170400000000015</v>
      </c>
      <c r="S5" s="1">
        <f>1/Tableau1[[#This Row],[Taux de variation numérique par °C]]</f>
        <v>9.2125562803493523E-6</v>
      </c>
      <c r="T5" s="1">
        <f>Q5/B18</f>
        <v>108547.50511896776</v>
      </c>
    </row>
    <row r="6" spans="1:20" x14ac:dyDescent="0.25">
      <c r="A6" s="1" t="s">
        <v>4</v>
      </c>
      <c r="B6" s="1">
        <v>919</v>
      </c>
      <c r="C6" s="1">
        <v>1230.7</v>
      </c>
      <c r="D6" s="1">
        <v>750</v>
      </c>
      <c r="E6" s="1">
        <v>8</v>
      </c>
      <c r="I6" s="1">
        <f>D6*10^-6*Tableau1[[#This Row],[R à -15'[°C']]]</f>
        <v>0.68925000000000003</v>
      </c>
      <c r="J6" s="1">
        <f>D6*10^-6*Tableau1[[#This Row],[R à +40'[°C']]]</f>
        <v>0.9230250000000001</v>
      </c>
      <c r="K6" s="1">
        <f t="shared" si="0"/>
        <v>0.23377500000000007</v>
      </c>
      <c r="L6" s="1">
        <f t="shared" si="1"/>
        <v>0.51693750000000005</v>
      </c>
      <c r="M6" s="1">
        <f>D6*J6*10^-3</f>
        <v>0.6922687500000001</v>
      </c>
      <c r="N6" s="1">
        <f t="shared" si="2"/>
        <v>0.25846875000000002</v>
      </c>
      <c r="O6" s="1">
        <f t="shared" si="3"/>
        <v>0.34613437500000005</v>
      </c>
      <c r="P6" s="1">
        <f>K6*E6</f>
        <v>1.8702000000000005</v>
      </c>
      <c r="Q6" s="1">
        <f t="shared" si="4"/>
        <v>6275349.8726400016</v>
      </c>
      <c r="R6" s="1">
        <f>(Q6/C19)*100</f>
        <v>74.808000000000021</v>
      </c>
      <c r="S6" s="1">
        <f>1/Tableau1[[#This Row],[Taux de variation numérique par °C]]</f>
        <v>7.4099454124041914E-6</v>
      </c>
      <c r="T6" s="1">
        <f>Q6/B19</f>
        <v>134953.76070193551</v>
      </c>
    </row>
    <row r="7" spans="1:20" x14ac:dyDescent="0.25">
      <c r="A7" s="1" t="s">
        <v>5</v>
      </c>
      <c r="B7" s="1">
        <v>5855</v>
      </c>
      <c r="C7" s="1">
        <v>1230.1099999999999</v>
      </c>
      <c r="D7" s="1">
        <v>100</v>
      </c>
      <c r="E7" s="1">
        <v>2</v>
      </c>
      <c r="I7" s="1">
        <f>D7*10^-6*Tableau1[[#This Row],[R à -15'[°C']]]</f>
        <v>0.58549999999999991</v>
      </c>
      <c r="J7" s="1">
        <f>D7*10^-6*Tableau1[[#This Row],[R à +40'[°C']]]</f>
        <v>0.12301099999999998</v>
      </c>
      <c r="K7" s="1">
        <f t="shared" si="0"/>
        <v>0.46248899999999993</v>
      </c>
      <c r="L7" s="1">
        <f t="shared" si="1"/>
        <v>5.8549999999999991E-2</v>
      </c>
      <c r="M7" s="1">
        <f>D7*J7*10^-3</f>
        <v>1.2301099999999999E-2</v>
      </c>
      <c r="N7" s="1">
        <f t="shared" si="2"/>
        <v>2.9274999999999995E-2</v>
      </c>
      <c r="O7" s="1">
        <f t="shared" si="3"/>
        <v>6.1505499999999994E-3</v>
      </c>
      <c r="P7" s="1">
        <f>K7*E7</f>
        <v>0.92497799999999986</v>
      </c>
      <c r="Q7" s="1">
        <f t="shared" si="4"/>
        <v>3103711.1402495997</v>
      </c>
      <c r="R7" s="1">
        <f>(Q7/C20)*100</f>
        <v>36.999119999999998</v>
      </c>
      <c r="S7" s="1">
        <f>1/Tableau1[[#This Row],[Taux de variation numérique par °C]]</f>
        <v>1.4982064341290625E-5</v>
      </c>
      <c r="T7" s="1">
        <f>Q7/B20</f>
        <v>66746.4761344</v>
      </c>
    </row>
    <row r="8" spans="1:20" x14ac:dyDescent="0.25">
      <c r="A8" s="1" t="s">
        <v>6</v>
      </c>
      <c r="B8" s="1">
        <v>1423</v>
      </c>
      <c r="C8" s="1">
        <v>2245</v>
      </c>
      <c r="D8" s="1">
        <v>250</v>
      </c>
      <c r="E8" s="1">
        <v>8</v>
      </c>
      <c r="I8" s="1">
        <f>D8*10^-6*Tableau1[[#This Row],[R à -15'[°C']]]</f>
        <v>0.35575000000000001</v>
      </c>
      <c r="J8" s="1">
        <f>D8*10^-6*Tableau1[[#This Row],[R à +40'[°C']]]</f>
        <v>0.56125000000000003</v>
      </c>
      <c r="K8" s="1">
        <f t="shared" si="0"/>
        <v>0.20550000000000002</v>
      </c>
      <c r="L8" s="1">
        <f t="shared" si="1"/>
        <v>8.8937500000000003E-2</v>
      </c>
      <c r="M8" s="1">
        <f>D8*J8*10^-3</f>
        <v>0.14031250000000001</v>
      </c>
      <c r="N8" s="1">
        <f t="shared" si="2"/>
        <v>4.4468750000000001E-2</v>
      </c>
      <c r="O8" s="1">
        <f t="shared" si="3"/>
        <v>7.0156250000000003E-2</v>
      </c>
      <c r="P8" s="1">
        <f>K8*E8</f>
        <v>1.6440000000000001</v>
      </c>
      <c r="Q8" s="1">
        <f t="shared" si="4"/>
        <v>5516348.6208000006</v>
      </c>
      <c r="R8" s="1">
        <f>(Q8/C21)*100</f>
        <v>65.760000000000005</v>
      </c>
      <c r="S8" s="1">
        <f>1/Tableau1[[#This Row],[Taux de variation numérique par °C]]</f>
        <v>8.4294889965196596E-6</v>
      </c>
      <c r="T8" s="1">
        <f>Q8/B21</f>
        <v>118631.15313548388</v>
      </c>
    </row>
    <row r="9" spans="1:20" x14ac:dyDescent="0.25">
      <c r="A9" s="1" t="s">
        <v>7</v>
      </c>
      <c r="B9" s="1">
        <v>11124</v>
      </c>
      <c r="C9" s="1">
        <v>1168.06</v>
      </c>
      <c r="D9" s="1">
        <v>100</v>
      </c>
      <c r="E9" s="1">
        <v>2</v>
      </c>
      <c r="I9" s="1">
        <f>D9*10^-6*Tableau1[[#This Row],[R à -15'[°C']]]</f>
        <v>1.1123999999999998</v>
      </c>
      <c r="J9" s="1">
        <f>D9*10^-6*Tableau1[[#This Row],[R à +40'[°C']]]</f>
        <v>0.11680599999999998</v>
      </c>
      <c r="K9" s="1">
        <f t="shared" si="0"/>
        <v>0.99559399999999987</v>
      </c>
      <c r="L9" s="1">
        <f t="shared" si="1"/>
        <v>0.11123999999999998</v>
      </c>
      <c r="M9" s="1">
        <f>D9*J9*10^-3</f>
        <v>1.1680599999999999E-2</v>
      </c>
      <c r="N9" s="1">
        <f t="shared" si="2"/>
        <v>5.5619999999999989E-2</v>
      </c>
      <c r="O9" s="1">
        <f t="shared" si="3"/>
        <v>5.8402999999999997E-3</v>
      </c>
      <c r="P9" s="1">
        <f>K9*E9</f>
        <v>1.9911879999999997</v>
      </c>
      <c r="Q9" s="1">
        <f t="shared" si="4"/>
        <v>6681318.2345215995</v>
      </c>
      <c r="R9" s="1">
        <f>(Q9/C22)*100</f>
        <v>79.64752</v>
      </c>
      <c r="S9" s="1">
        <f>1/Tableau1[[#This Row],[Taux de variation numérique par °C]]</f>
        <v>6.9597044127818774E-6</v>
      </c>
      <c r="T9" s="1">
        <f>Q9/B22</f>
        <v>143684.2631079914</v>
      </c>
    </row>
    <row r="10" spans="1:20" x14ac:dyDescent="0.25">
      <c r="A10" s="1" t="s">
        <v>8</v>
      </c>
      <c r="B10" s="1">
        <v>12881</v>
      </c>
      <c r="C10" s="1">
        <v>1173</v>
      </c>
      <c r="D10" s="1">
        <v>100</v>
      </c>
      <c r="E10" s="1">
        <v>2</v>
      </c>
      <c r="I10" s="1">
        <f>D10*10^-6*Tableau1[[#This Row],[R à -15'[°C']]]</f>
        <v>1.2880999999999998</v>
      </c>
      <c r="J10" s="1">
        <f>D10*10^-6*Tableau1[[#This Row],[R à +40'[°C']]]</f>
        <v>0.11729999999999999</v>
      </c>
      <c r="K10" s="1">
        <f t="shared" si="0"/>
        <v>1.1707999999999998</v>
      </c>
      <c r="L10" s="1">
        <f t="shared" si="1"/>
        <v>0.12880999999999998</v>
      </c>
      <c r="M10" s="1">
        <f>D10*J10*10^-3</f>
        <v>1.1729999999999999E-2</v>
      </c>
      <c r="N10" s="1">
        <f t="shared" si="2"/>
        <v>6.440499999999999E-2</v>
      </c>
      <c r="O10" s="1">
        <f t="shared" si="3"/>
        <v>5.8649999999999996E-3</v>
      </c>
      <c r="P10" s="1">
        <f>K10*E10</f>
        <v>2.3415999999999997</v>
      </c>
      <c r="Q10" s="1">
        <f t="shared" si="4"/>
        <v>7857105.7971199993</v>
      </c>
      <c r="R10" s="1">
        <f>(Q10/C23)*100</f>
        <v>93.663999999999987</v>
      </c>
      <c r="S10" s="1">
        <f>1/Tableau1[[#This Row],[Taux de variation numérique par °C]]</f>
        <v>5.9182097327802881E-6</v>
      </c>
      <c r="T10" s="1">
        <f>Q10/B23</f>
        <v>168970.01714236557</v>
      </c>
    </row>
    <row r="11" spans="1:20" x14ac:dyDescent="0.25">
      <c r="A11" s="1" t="s">
        <v>9</v>
      </c>
      <c r="B11" s="1">
        <v>72502</v>
      </c>
      <c r="C11" s="1">
        <v>5320</v>
      </c>
      <c r="D11" s="1">
        <v>10</v>
      </c>
      <c r="E11" s="1">
        <v>2</v>
      </c>
      <c r="I11" s="1">
        <f>D11*10^-6*Tableau1[[#This Row],[R à -15'[°C']]]</f>
        <v>0.72501999999999989</v>
      </c>
      <c r="J11" s="1">
        <f>D11*10^-6*Tableau1[[#This Row],[R à +40'[°C']]]</f>
        <v>5.3199999999999997E-2</v>
      </c>
      <c r="K11" s="1">
        <f t="shared" si="0"/>
        <v>0.67181999999999986</v>
      </c>
      <c r="L11" s="1">
        <f t="shared" si="1"/>
        <v>7.2501999999999992E-3</v>
      </c>
      <c r="M11" s="1">
        <f>D11*J11*10^-3</f>
        <v>5.3200000000000003E-4</v>
      </c>
      <c r="N11" s="1">
        <f t="shared" si="2"/>
        <v>3.6250999999999996E-3</v>
      </c>
      <c r="O11" s="1">
        <f t="shared" si="3"/>
        <v>2.6600000000000001E-4</v>
      </c>
      <c r="P11" s="1">
        <f>K11*E11</f>
        <v>1.3436399999999997</v>
      </c>
      <c r="Q11" s="1">
        <f t="shared" si="4"/>
        <v>4508507.7012479994</v>
      </c>
      <c r="R11" s="1">
        <f>(Q11/C24)*100</f>
        <v>53.745599999999996</v>
      </c>
      <c r="S11" s="1">
        <f>1/Tableau1[[#This Row],[Taux de variation numérique par °C]]</f>
        <v>1.0313833995920277E-5</v>
      </c>
      <c r="T11" s="1">
        <f>Q11/B24</f>
        <v>96957.154865548378</v>
      </c>
    </row>
    <row r="12" spans="1:20" ht="45.75" customHeight="1" x14ac:dyDescent="0.25">
      <c r="I12" s="6" t="s">
        <v>37</v>
      </c>
      <c r="J12" s="5"/>
      <c r="N12" s="1" t="s">
        <v>35</v>
      </c>
      <c r="R12" s="1" t="s">
        <v>36</v>
      </c>
    </row>
    <row r="14" spans="1:20" x14ac:dyDescent="0.25">
      <c r="A14" s="2" t="s">
        <v>15</v>
      </c>
      <c r="B14" s="2" t="s">
        <v>16</v>
      </c>
      <c r="C14" s="2" t="s">
        <v>17</v>
      </c>
    </row>
    <row r="15" spans="1:20" x14ac:dyDescent="0.25">
      <c r="A15" s="3">
        <v>2.5</v>
      </c>
      <c r="B15" s="3">
        <v>46.5</v>
      </c>
      <c r="C15" s="3">
        <f>2^23</f>
        <v>8388608</v>
      </c>
    </row>
    <row r="16" spans="1:20" x14ac:dyDescent="0.25">
      <c r="A16" s="3">
        <v>2.5</v>
      </c>
      <c r="B16" s="4">
        <v>46.5</v>
      </c>
      <c r="C16" s="3">
        <f t="shared" ref="C16:C24" si="5">2^23</f>
        <v>8388608</v>
      </c>
    </row>
    <row r="17" spans="1:3" x14ac:dyDescent="0.25">
      <c r="A17" s="3">
        <v>2.5</v>
      </c>
      <c r="B17" s="3">
        <v>46.5</v>
      </c>
      <c r="C17" s="3">
        <f t="shared" si="5"/>
        <v>8388608</v>
      </c>
    </row>
    <row r="18" spans="1:3" x14ac:dyDescent="0.25">
      <c r="A18" s="3">
        <v>2.5</v>
      </c>
      <c r="B18" s="4">
        <v>46.5</v>
      </c>
      <c r="C18" s="3">
        <f t="shared" si="5"/>
        <v>8388608</v>
      </c>
    </row>
    <row r="19" spans="1:3" x14ac:dyDescent="0.25">
      <c r="A19" s="3">
        <v>2.5</v>
      </c>
      <c r="B19" s="3">
        <v>46.5</v>
      </c>
      <c r="C19" s="3">
        <f t="shared" si="5"/>
        <v>8388608</v>
      </c>
    </row>
    <row r="20" spans="1:3" x14ac:dyDescent="0.25">
      <c r="A20" s="3">
        <v>2.5</v>
      </c>
      <c r="B20" s="4">
        <v>46.5</v>
      </c>
      <c r="C20" s="3">
        <f t="shared" si="5"/>
        <v>8388608</v>
      </c>
    </row>
    <row r="21" spans="1:3" x14ac:dyDescent="0.25">
      <c r="A21" s="3">
        <v>2.5</v>
      </c>
      <c r="B21" s="3">
        <v>46.5</v>
      </c>
      <c r="C21" s="3">
        <f t="shared" si="5"/>
        <v>8388608</v>
      </c>
    </row>
    <row r="22" spans="1:3" x14ac:dyDescent="0.25">
      <c r="A22" s="3">
        <v>2.5</v>
      </c>
      <c r="B22" s="4">
        <v>46.5</v>
      </c>
      <c r="C22" s="3">
        <f t="shared" si="5"/>
        <v>8388608</v>
      </c>
    </row>
    <row r="23" spans="1:3" x14ac:dyDescent="0.25">
      <c r="A23" s="3">
        <v>2.5</v>
      </c>
      <c r="B23" s="3">
        <v>46.5</v>
      </c>
      <c r="C23" s="3">
        <f t="shared" si="5"/>
        <v>8388608</v>
      </c>
    </row>
    <row r="24" spans="1:3" x14ac:dyDescent="0.25">
      <c r="A24" s="3">
        <v>2.5</v>
      </c>
      <c r="B24" s="4">
        <v>46.5</v>
      </c>
      <c r="C24" s="3">
        <f t="shared" si="5"/>
        <v>8388608</v>
      </c>
    </row>
  </sheetData>
  <mergeCells count="1">
    <mergeCell ref="I12:J12"/>
  </mergeCells>
  <conditionalFormatting sqref="R2:R11">
    <cfRule type="cellIs" dxfId="5" priority="5" operator="greaterThan">
      <formula>100</formula>
    </cfRule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{051FBA3E-BA4C-436F-924E-C9B01C233004}</x14:id>
        </ext>
      </extLst>
    </cfRule>
  </conditionalFormatting>
  <conditionalFormatting sqref="K11">
    <cfRule type="cellIs" dxfId="4" priority="6" operator="lessThan">
      <formula>0.3</formula>
    </cfRule>
  </conditionalFormatting>
  <conditionalFormatting sqref="K1:K11">
    <cfRule type="cellIs" dxfId="3" priority="4" operator="lessThan">
      <formula>0.3</formula>
    </cfRule>
  </conditionalFormatting>
  <conditionalFormatting sqref="N2:N11">
    <cfRule type="cellIs" dxfId="2" priority="3" operator="greaterThan">
      <formula>0.5</formula>
    </cfRule>
  </conditionalFormatting>
  <conditionalFormatting sqref="O2:O11">
    <cfRule type="cellIs" dxfId="1" priority="2" operator="greaterThan">
      <formula>0.5</formula>
    </cfRule>
  </conditionalFormatting>
  <conditionalFormatting sqref="I2:J11">
    <cfRule type="cellIs" dxfId="0" priority="1" operator="greaterThan">
      <formula>1.4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1FBA3E-BA4C-436F-924E-C9B01C23300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R2:R11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F5B73FA-64B4-453B-8EC1-8CE87671FC57}">
          <x14:formula1>
            <xm:f>Feuil2!$A$2:$A$9</xm:f>
          </x14:formula1>
          <xm:sqref>D2:D11</xm:sqref>
        </x14:dataValidation>
        <x14:dataValidation type="list" allowBlank="1" showInputMessage="1" showErrorMessage="1" xr:uid="{6F66D16F-C92E-426D-88F0-C71C08DB859E}">
          <x14:formula1>
            <xm:f>Feuil2!$B$2:$B$129</xm:f>
          </x14:formula1>
          <xm:sqref>E2:E11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4DC17-87D1-4A5A-A959-162ABB85E1D0}">
  <dimension ref="A1:B9"/>
  <sheetViews>
    <sheetView workbookViewId="0">
      <selection activeCell="B10" sqref="B10"/>
    </sheetView>
  </sheetViews>
  <sheetFormatPr baseColWidth="10" defaultRowHeight="15" x14ac:dyDescent="0.25"/>
  <cols>
    <col min="1" max="1" width="17.5703125" customWidth="1"/>
  </cols>
  <sheetData>
    <row r="1" spans="1:2" x14ac:dyDescent="0.25">
      <c r="A1" t="s">
        <v>12</v>
      </c>
      <c r="B1" t="s">
        <v>13</v>
      </c>
    </row>
    <row r="2" spans="1:2" x14ac:dyDescent="0.25">
      <c r="A2">
        <v>10</v>
      </c>
      <c r="B2">
        <v>1</v>
      </c>
    </row>
    <row r="3" spans="1:2" x14ac:dyDescent="0.25">
      <c r="A3">
        <v>50</v>
      </c>
      <c r="B3">
        <v>2</v>
      </c>
    </row>
    <row r="4" spans="1:2" x14ac:dyDescent="0.25">
      <c r="A4">
        <v>100</v>
      </c>
      <c r="B4">
        <v>4</v>
      </c>
    </row>
    <row r="5" spans="1:2" x14ac:dyDescent="0.25">
      <c r="A5">
        <v>250</v>
      </c>
      <c r="B5">
        <v>8</v>
      </c>
    </row>
    <row r="6" spans="1:2" x14ac:dyDescent="0.25">
      <c r="A6">
        <v>750</v>
      </c>
      <c r="B6">
        <v>16</v>
      </c>
    </row>
    <row r="7" spans="1:2" x14ac:dyDescent="0.25">
      <c r="A7">
        <v>1000</v>
      </c>
      <c r="B7">
        <v>32</v>
      </c>
    </row>
    <row r="8" spans="1:2" x14ac:dyDescent="0.25">
      <c r="A8">
        <v>1500</v>
      </c>
      <c r="B8">
        <v>64</v>
      </c>
    </row>
    <row r="9" spans="1:2" x14ac:dyDescent="0.25">
      <c r="A9">
        <v>2000</v>
      </c>
      <c r="B9">
        <v>128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>DGEP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Léo Mendes</dc:creator>
  <cp:lastModifiedBy>Léo Mendes</cp:lastModifiedBy>
  <dcterms:created xsi:type="dcterms:W3CDTF">2025-08-21T08:31:32Z</dcterms:created>
  <dcterms:modified xsi:type="dcterms:W3CDTF">2025-08-22T09:16:06Z</dcterms:modified>
</cp:coreProperties>
</file>