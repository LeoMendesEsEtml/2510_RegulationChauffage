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"/>
    </mc:Choice>
  </mc:AlternateContent>
  <xr:revisionPtr revIDLastSave="1033" documentId="8_{EB378B1F-4AD4-45B2-A3E5-B2D383129B0F}" xr6:coauthVersionLast="45" xr6:coauthVersionMax="45" xr10:uidLastSave="{510631CB-A72F-43BE-A682-0CE0A6160191}"/>
  <bookViews>
    <workbookView minimized="1" xWindow="6750" yWindow="1170" windowWidth="21600" windowHeight="11385" xr2:uid="{C7CBEF2D-FEC4-4B4A-9AFE-A1A2A210ABB8}"/>
  </bookViews>
  <sheets>
    <sheet name="Feuil1" sheetId="1" r:id="rId1"/>
    <sheet name="Feuil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6" i="1" l="1"/>
  <c r="F4" i="1"/>
  <c r="L4" i="1" s="1"/>
  <c r="N4" i="1" s="1"/>
  <c r="O4" i="1" s="1"/>
  <c r="F5" i="1"/>
  <c r="L5" i="1" s="1"/>
  <c r="N5" i="1" s="1"/>
  <c r="O5" i="1" s="1"/>
  <c r="F6" i="1"/>
  <c r="L6" i="1" s="1"/>
  <c r="N6" i="1" s="1"/>
  <c r="O6" i="1" s="1"/>
  <c r="F7" i="1"/>
  <c r="L7" i="1" s="1"/>
  <c r="N7" i="1" s="1"/>
  <c r="O7" i="1" s="1"/>
  <c r="F8" i="1"/>
  <c r="L8" i="1" s="1"/>
  <c r="N8" i="1" s="1"/>
  <c r="O8" i="1" s="1"/>
  <c r="F9" i="1"/>
  <c r="L9" i="1" s="1"/>
  <c r="N9" i="1" s="1"/>
  <c r="O9" i="1" s="1"/>
  <c r="F10" i="1"/>
  <c r="L10" i="1" s="1"/>
  <c r="N10" i="1" s="1"/>
  <c r="O10" i="1" s="1"/>
  <c r="F11" i="1"/>
  <c r="L11" i="1" s="1"/>
  <c r="N11" i="1" s="1"/>
  <c r="O11" i="1" s="1"/>
  <c r="F12" i="1"/>
  <c r="L12" i="1" s="1"/>
  <c r="N12" i="1" s="1"/>
  <c r="O12" i="1" s="1"/>
  <c r="F13" i="1"/>
  <c r="L13" i="1" s="1"/>
  <c r="N13" i="1" s="1"/>
  <c r="O13" i="1" s="1"/>
  <c r="M13" i="1" l="1"/>
  <c r="M12" i="1"/>
  <c r="M5" i="1"/>
  <c r="M11" i="1"/>
  <c r="M10" i="1"/>
  <c r="M9" i="1"/>
  <c r="M8" i="1"/>
  <c r="M7" i="1"/>
  <c r="M6" i="1"/>
  <c r="M4" i="1"/>
  <c r="B18" i="1"/>
  <c r="B19" i="1"/>
  <c r="B20" i="1"/>
  <c r="B21" i="1"/>
  <c r="B22" i="1"/>
  <c r="B23" i="1"/>
  <c r="B24" i="1"/>
  <c r="B25" i="1"/>
  <c r="B26" i="1"/>
  <c r="B17" i="1"/>
  <c r="J4" i="1"/>
  <c r="B31" i="1" s="1"/>
  <c r="K4" i="1"/>
  <c r="K5" i="1"/>
  <c r="K6" i="1"/>
  <c r="K7" i="1"/>
  <c r="K8" i="1"/>
  <c r="K9" i="1"/>
  <c r="K10" i="1"/>
  <c r="K11" i="1"/>
  <c r="K12" i="1"/>
  <c r="K13" i="1"/>
  <c r="J5" i="1"/>
  <c r="J7" i="1"/>
  <c r="J8" i="1"/>
  <c r="J9" i="1"/>
  <c r="J10" i="1"/>
  <c r="J11" i="1"/>
  <c r="J12" i="1"/>
  <c r="J13" i="1"/>
  <c r="P13" i="1" l="1"/>
  <c r="Q13" i="1" s="1"/>
  <c r="R13" i="1" s="1"/>
  <c r="P6" i="1"/>
  <c r="Q6" i="1" s="1"/>
  <c r="R6" i="1" s="1"/>
  <c r="P7" i="1"/>
  <c r="Q7" i="1" s="1"/>
  <c r="R7" i="1" s="1"/>
  <c r="P12" i="1"/>
  <c r="Q12" i="1" s="1"/>
  <c r="R12" i="1" s="1"/>
  <c r="P4" i="1"/>
  <c r="Q4" i="1" s="1"/>
  <c r="R4" i="1" s="1"/>
  <c r="U4" i="1" s="1"/>
  <c r="T4" i="1" s="1"/>
  <c r="P11" i="1"/>
  <c r="Q11" i="1" s="1"/>
  <c r="R11" i="1" s="1"/>
  <c r="P5" i="1"/>
  <c r="Q5" i="1" s="1"/>
  <c r="R5" i="1" s="1"/>
  <c r="P9" i="1"/>
  <c r="Q9" i="1" s="1"/>
  <c r="R9" i="1" s="1"/>
  <c r="P10" i="1"/>
  <c r="Q10" i="1" s="1"/>
  <c r="R10" i="1" s="1"/>
  <c r="P8" i="1"/>
  <c r="Q8" i="1" s="1"/>
  <c r="R8" i="1" s="1"/>
  <c r="C32" i="1"/>
  <c r="E32" i="1" s="1"/>
  <c r="C33" i="1"/>
  <c r="E33" i="1" s="1"/>
  <c r="C34" i="1"/>
  <c r="E34" i="1" s="1"/>
  <c r="C35" i="1"/>
  <c r="E35" i="1" s="1"/>
  <c r="C36" i="1"/>
  <c r="E36" i="1" s="1"/>
  <c r="C37" i="1"/>
  <c r="E37" i="1" s="1"/>
  <c r="C38" i="1"/>
  <c r="E38" i="1" s="1"/>
  <c r="C39" i="1"/>
  <c r="E39" i="1" s="1"/>
  <c r="C40" i="1"/>
  <c r="E40" i="1" s="1"/>
  <c r="C31" i="1"/>
  <c r="E31" i="1" s="1"/>
  <c r="B37" i="1"/>
  <c r="B40" i="1" l="1"/>
  <c r="D40" i="1" s="1"/>
  <c r="B39" i="1"/>
  <c r="D39" i="1" s="1"/>
  <c r="B36" i="1"/>
  <c r="D36" i="1" s="1"/>
  <c r="B32" i="1"/>
  <c r="D32" i="1" s="1"/>
  <c r="B34" i="1"/>
  <c r="D34" i="1" s="1"/>
  <c r="D31" i="1"/>
  <c r="B38" i="1"/>
  <c r="D38" i="1" s="1"/>
  <c r="B35" i="1"/>
  <c r="D35" i="1" s="1"/>
  <c r="B33" i="1"/>
  <c r="D33" i="1" s="1"/>
  <c r="D37" i="1"/>
  <c r="S7" i="1" l="1"/>
  <c r="S5" i="1"/>
  <c r="S12" i="1"/>
  <c r="S6" i="1"/>
  <c r="S11" i="1"/>
  <c r="S13" i="1"/>
  <c r="S8" i="1"/>
  <c r="S10" i="1"/>
  <c r="S9" i="1" l="1"/>
  <c r="U9" i="1"/>
  <c r="T9" i="1" s="1"/>
  <c r="U13" i="1"/>
  <c r="T13" i="1" s="1"/>
  <c r="U12" i="1"/>
  <c r="T12" i="1" s="1"/>
  <c r="U11" i="1"/>
  <c r="T11" i="1" s="1"/>
  <c r="U10" i="1"/>
  <c r="T10" i="1" s="1"/>
  <c r="U8" i="1"/>
  <c r="T8" i="1" s="1"/>
  <c r="U7" i="1"/>
  <c r="T7" i="1" s="1"/>
  <c r="U6" i="1"/>
  <c r="T6" i="1" s="1"/>
  <c r="U5" i="1"/>
  <c r="T5" i="1" s="1"/>
  <c r="S4" i="1"/>
</calcChain>
</file>

<file path=xl/sharedStrings.xml><?xml version="1.0" encoding="utf-8"?>
<sst xmlns="http://schemas.openxmlformats.org/spreadsheetml/2006/main" count="74" uniqueCount="63">
  <si>
    <t>De Dietrich AF60</t>
  </si>
  <si>
    <t>Siemens QAC32</t>
  </si>
  <si>
    <t>PT1000</t>
  </si>
  <si>
    <t>Ni1000 TK5000</t>
  </si>
  <si>
    <t>Ni1000 TK6180</t>
  </si>
  <si>
    <t>NTC 1k 3528</t>
  </si>
  <si>
    <t>KTY81-210</t>
  </si>
  <si>
    <t>NTC 2k 3390</t>
  </si>
  <si>
    <t>NTC 2.2K 3528</t>
  </si>
  <si>
    <t>NTC 10K 3977</t>
  </si>
  <si>
    <t>R à -15[°C]</t>
  </si>
  <si>
    <t>IDAC[uA]</t>
  </si>
  <si>
    <t>IDAC possible</t>
  </si>
  <si>
    <t xml:space="preserve">Gain </t>
  </si>
  <si>
    <t>Gain</t>
  </si>
  <si>
    <t>Utilisation de la plage ADC [%]</t>
  </si>
  <si>
    <t>Colonne2</t>
  </si>
  <si>
    <t>Colonne3</t>
  </si>
  <si>
    <r>
      <t>Nom Son</t>
    </r>
    <r>
      <rPr>
        <sz val="12"/>
        <color theme="1"/>
        <rFont val="Calibri"/>
        <family val="2"/>
        <scheme val="minor"/>
      </rPr>
      <t>de</t>
    </r>
  </si>
  <si>
    <t>R à +40[°C]</t>
  </si>
  <si>
    <t>Déviation min en [°C]/mW</t>
  </si>
  <si>
    <t>Déviation max en [°C]/mW2</t>
  </si>
  <si>
    <t>P @ Tmin mesurée</t>
  </si>
  <si>
    <t>P @ Tmax mesurée2</t>
  </si>
  <si>
    <t>FS_ADC</t>
  </si>
  <si>
    <t>IDAC[A]</t>
  </si>
  <si>
    <t>V @ Tmin mesurée [V]</t>
  </si>
  <si>
    <t>V @ Tmax mesurée [V]</t>
  </si>
  <si>
    <t>Vref [V]</t>
  </si>
  <si>
    <t>Vnode max [V]</t>
  </si>
  <si>
    <t>DV[V]</t>
  </si>
  <si>
    <t>Dvout[V]</t>
  </si>
  <si>
    <t>Amplitude numérique[V]</t>
  </si>
  <si>
    <t>Résolution réelle en [°C]</t>
  </si>
  <si>
    <t>Taux de variation numérique par [°C]</t>
  </si>
  <si>
    <t>Rref [Ω]</t>
  </si>
  <si>
    <t>DT[°C]</t>
  </si>
  <si>
    <t>NADC[bit]</t>
  </si>
  <si>
    <t>Vref cible[V]</t>
  </si>
  <si>
    <t>tension de référence 
appliquée à l’ADC (ratiométrique)</t>
  </si>
  <si>
    <t>0 &lt; Vref ≤ 2.5 V</t>
  </si>
  <si>
    <t>tension maximale au nœud d’injection IDAC 
(sommet sonde→Rref) au pire Rsonde</t>
  </si>
  <si>
    <t>demi-pleine échelle vue 
par le modulateur après PGA.</t>
  </si>
  <si>
    <t>FS_ADC &gt; 0</t>
  </si>
  <si>
    <t>Vnode max ≤ Avdd -0.4 = 2.9</t>
  </si>
  <si>
    <r>
      <t>Nom Son</t>
    </r>
    <r>
      <rPr>
        <sz val="12"/>
        <color theme="0"/>
        <rFont val="Calibri"/>
        <family val="2"/>
        <scheme val="minor"/>
      </rPr>
      <t>de</t>
    </r>
  </si>
  <si>
    <t>≤ FS_ADC</t>
  </si>
  <si>
    <t>amplitude de variation de tension
 sur l’intervalle considéré.</t>
  </si>
  <si>
    <t>0 ≤ DV ≤ 2 × FS_ADC</t>
  </si>
  <si>
    <t>FS ADC * 2</t>
  </si>
  <si>
    <t>DV normalisée 
à la demi-échelle</t>
  </si>
  <si>
    <t>nombre de codes réellement 
parcourus par l’amplitude DV.</t>
  </si>
  <si>
    <t>&lt;NDAC</t>
  </si>
  <si>
    <t>% de la pleine échelle numérique utilisé par DV.</t>
  </si>
  <si>
    <t>&lt;100[%] - recherché 60-95[%]</t>
  </si>
  <si>
    <t>codes ADC par °C 
(sensibilité numérique).</t>
  </si>
  <si>
    <t>taille d’un pas (°C par code) sur l’intervalle, théorique (sans bruit).</t>
  </si>
  <si>
    <t>&gt;0.5</t>
  </si>
  <si>
    <t>viser &gt; 80 000 codes/°C</t>
  </si>
  <si>
    <t>tension de 
la sonde à −15 °C</t>
  </si>
  <si>
    <t>tension de 
la sonde à +40 °C</t>
  </si>
  <si>
    <t>Description</t>
  </si>
  <si>
    <t>Limites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</si>
</sst>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3" borderId="2" xfId="0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1">
    <cellStyle name="Normal" xfId="0" builtinId="0"/>
  </cellStyles>
  <dxfs count="7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6"/>
          <bgColor theme="6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6" tint="0.79998168889431442"/>
          <bgColor theme="6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CEACBA-B697-45AD-B598-7BFF85B99439}" name="Tableau1" displayName="Tableau1" ref="A3:U13" totalsRowShown="0" headerRowDxfId="729" dataDxfId="728">
  <autoFilter ref="A3:U13" xr:uid="{91D3FC81-9045-4072-B8E1-4915BB818F21}"/>
  <tableColumns count="21">
    <tableColumn id="1" xr3:uid="{78FAAED5-1074-4F7B-A23B-D9EC5620BEF4}" name="Nom Sonde" dataDxfId="727"/>
    <tableColumn id="2" xr3:uid="{001E4DC4-73D9-4E79-94D5-0F698ECB6197}" name="R à -15[°C]" dataDxfId="726"/>
    <tableColumn id="3" xr3:uid="{48DF81B5-56DE-463D-83E7-A17EB617C320}" name="R à +40[°C]" dataDxfId="725"/>
    <tableColumn id="18" xr3:uid="{0B5D43DC-C3A4-4AE2-AD6A-E31FE2CBE14D}" name="Rref [Ω]" dataDxfId="724"/>
    <tableColumn id="4" xr3:uid="{3EB0C67F-5EDC-4083-8D79-5662AEAF686E}" name="IDAC[uA]" dataDxfId="723"/>
    <tableColumn id="6" xr3:uid="{C8EDF5C4-B029-4D7A-8116-CF3CAFAC1935}" name="IDAC[A]" dataDxfId="722">
      <calculatedColumnFormula>Tableau1[[#This Row],[IDAC'[uA']]]*0.000001</calculatedColumnFormula>
    </tableColumn>
    <tableColumn id="7" xr3:uid="{DB91F6E2-5DD5-4FB1-9B54-ED9369CA0DF5}" name="Colonne2" dataDxfId="721"/>
    <tableColumn id="8" xr3:uid="{0539B10E-F0FD-4B3E-9CB1-289C9074BA0F}" name="Colonne3" dataDxfId="720"/>
    <tableColumn id="5" xr3:uid="{590AD5B4-2EF7-4CF6-9782-7E7D354AECAD}" name="Gain" dataDxfId="719"/>
    <tableColumn id="9" xr3:uid="{B4AB9489-2723-4938-BB44-C2C28617A0EA}" name="V @ Tmin mesurée [V]" dataDxfId="718">
      <calculatedColumnFormula>E4*10^-6*Tableau1[[#This Row],[R à -15'[°C']]]</calculatedColumnFormula>
    </tableColumn>
    <tableColumn id="10" xr3:uid="{56F5E7DF-4DE7-4AE6-8041-00322518C317}" name="V @ Tmax mesurée [V]" dataDxfId="717">
      <calculatedColumnFormula>E4*10^-6*Tableau1[[#This Row],[R à +40'[°C']]]</calculatedColumnFormula>
    </tableColumn>
    <tableColumn id="22" xr3:uid="{8F654D58-BF14-4572-AB88-5FAD5300954A}" name="Vref [V]" dataDxfId="716">
      <calculatedColumnFormula>Tableau1[[#This Row],[Rref '[Ω']]]*Tableau1[[#This Row],[IDAC'[A']]]</calculatedColumnFormula>
    </tableColumn>
    <tableColumn id="25" xr3:uid="{A00B6F14-FE43-4D83-8C2E-918B05758BA9}" name="Vnode max [V]" dataDxfId="680">
      <calculatedColumnFormula>Tableau1[[#This Row],[IDAC'[A']]]*(Tableau1[[#This Row],[Rref '[Ω']]]+MAX(Tableau1[[#This Row],[R à -15'[°C']]],Tableau1[[#This Row],[R à +40'[°C']]]))</calculatedColumnFormula>
    </tableColumn>
    <tableColumn id="23" xr3:uid="{CB496117-9280-4680-BCDB-C3DC78A10892}" name="FS_ADC" dataDxfId="681">
      <calculatedColumnFormula>Tableau1[[#This Row],[Vref '[V']]]/Tableau1[[#This Row],[Gain]]</calculatedColumnFormula>
    </tableColumn>
    <tableColumn id="27" xr3:uid="{3631729A-6A8C-4F9B-A169-E64BC3D574F6}" name="FS ADC * 2" dataDxfId="679">
      <calculatedColumnFormula>Tableau1[[#This Row],[FS_ADC]]*2</calculatedColumnFormula>
    </tableColumn>
    <tableColumn id="11" xr3:uid="{3B342486-7B29-488C-B26A-AAA26556E2F2}" name="DV[V]" dataDxfId="715">
      <calculatedColumnFormula>ABS(Tableau1[[#This Row],[V @ Tmax mesurée '[V']]]-Tableau1[[#This Row],[V @ Tmin mesurée '[V']]])</calculatedColumnFormula>
    </tableColumn>
    <tableColumn id="12" xr3:uid="{BF0F981E-C1EC-4EE3-8CCA-C2F367034044}" name="Dvout[V]" dataDxfId="714">
      <calculatedColumnFormula>Tableau1[[#This Row],[DV'[V']]]/(Tableau1[[#This Row],[Vref '[V']]]/Tableau1[[#This Row],[Gain]])</calculatedColumnFormula>
    </tableColumn>
    <tableColumn id="14" xr3:uid="{C065171C-54EE-41DC-8423-E2C3F85EB3C0}" name="Amplitude numérique[V]" dataDxfId="713">
      <calculatedColumnFormula>(Tableau1[[#This Row],[Dvout'[V']]]/2)*B17</calculatedColumnFormula>
    </tableColumn>
    <tableColumn id="16" xr3:uid="{0D288CDD-5C43-4D92-9433-089CF353390E}" name="Utilisation de la plage ADC [%]" dataDxfId="712">
      <calculatedColumnFormula>(R4/B17)*100</calculatedColumnFormula>
    </tableColumn>
    <tableColumn id="17" xr3:uid="{8DC26F04-8521-4B3B-BF80-56D405E7CEFC}" name="Résolution réelle en [°C]" dataDxfId="711">
      <calculatedColumnFormula>1/Tableau1[[#This Row],[Taux de variation numérique par '[°C']]]</calculatedColumnFormula>
    </tableColumn>
    <tableColumn id="15" xr3:uid="{D8E86357-3BC7-4395-9DAA-C03BC52411A4}" name="Taux de variation numérique par [°C]" dataDxfId="710">
      <calculatedColumnFormula>R4/A17</calculatedColumnFormula>
    </tableColumn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DF4625C-92C7-4BDA-BF7A-660402901249}" name="Tableau3" displayName="Tableau3" ref="A16:C26" totalsRowShown="0" headerRowDxfId="730">
  <autoFilter ref="A16:C26" xr:uid="{9F1550E6-29D4-4AE1-9CB6-8AC8ED68010B}"/>
  <tableColumns count="3">
    <tableColumn id="2" xr3:uid="{9C5267E3-3DD7-4AED-A65E-33D10DAA37D7}" name="DT[°C]" dataDxfId="733"/>
    <tableColumn id="3" xr3:uid="{23865E73-2B78-4E70-9253-F8BDC4390BBE}" name="NADC[bit]" dataDxfId="732">
      <calculatedColumnFormula>2^23</calculatedColumnFormula>
    </tableColumn>
    <tableColumn id="4" xr3:uid="{E4EC39EB-7C82-4C60-BEC5-B153BC4E2D2C}" name="Vref cible[V]" dataDxfId="73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EC708-356A-4A29-8EAD-83D69F918667}">
  <dimension ref="A1:U40"/>
  <sheetViews>
    <sheetView tabSelected="1" zoomScale="70" zoomScaleNormal="70" workbookViewId="0">
      <selection activeCell="K17" sqref="K17"/>
    </sheetView>
  </sheetViews>
  <sheetFormatPr baseColWidth="10" defaultRowHeight="15" x14ac:dyDescent="0.25"/>
  <cols>
    <col min="1" max="1" width="30.28515625" style="1" customWidth="1"/>
    <col min="2" max="2" width="26.140625" style="1" customWidth="1"/>
    <col min="3" max="3" width="31.85546875" style="1" customWidth="1"/>
    <col min="4" max="4" width="33.42578125" style="5" customWidth="1"/>
    <col min="5" max="5" width="35.28515625" style="1" customWidth="1"/>
    <col min="6" max="6" width="0" hidden="1" customWidth="1"/>
    <col min="7" max="7" width="0" style="1" hidden="1" customWidth="1"/>
    <col min="8" max="8" width="11.85546875" style="1" hidden="1" customWidth="1"/>
    <col min="9" max="9" width="11.42578125" style="1" customWidth="1"/>
    <col min="10" max="10" width="26.140625" style="1" customWidth="1"/>
    <col min="11" max="11" width="26.5703125" style="1" customWidth="1"/>
    <col min="12" max="12" width="28" style="1" customWidth="1"/>
    <col min="13" max="14" width="28" style="5" customWidth="1"/>
    <col min="15" max="15" width="28" style="5" hidden="1" customWidth="1"/>
    <col min="16" max="16" width="28" style="5" customWidth="1"/>
    <col min="17" max="17" width="25.28515625" style="1" customWidth="1"/>
    <col min="18" max="18" width="29.85546875" style="1" customWidth="1"/>
    <col min="19" max="19" width="59.7109375" style="1" customWidth="1"/>
    <col min="20" max="20" width="31.7109375" style="1" customWidth="1"/>
    <col min="21" max="21" width="36.28515625" style="1" customWidth="1"/>
    <col min="22" max="22" width="44.42578125" style="1" customWidth="1"/>
    <col min="23" max="16384" width="11.42578125" style="1"/>
  </cols>
  <sheetData>
    <row r="1" spans="1:21" s="5" customFormat="1" ht="60" x14ac:dyDescent="0.25">
      <c r="A1" s="5" t="s">
        <v>61</v>
      </c>
      <c r="F1"/>
      <c r="J1" s="6" t="s">
        <v>59</v>
      </c>
      <c r="K1" s="6" t="s">
        <v>60</v>
      </c>
      <c r="L1" s="6" t="s">
        <v>39</v>
      </c>
      <c r="M1" s="6" t="s">
        <v>41</v>
      </c>
      <c r="N1" s="6" t="s">
        <v>42</v>
      </c>
      <c r="O1" s="6"/>
      <c r="P1" s="6" t="s">
        <v>47</v>
      </c>
      <c r="Q1" s="6" t="s">
        <v>50</v>
      </c>
      <c r="R1" s="6" t="s">
        <v>51</v>
      </c>
      <c r="S1" s="5" t="s">
        <v>53</v>
      </c>
      <c r="T1" s="6" t="s">
        <v>56</v>
      </c>
      <c r="U1" s="6" t="s">
        <v>55</v>
      </c>
    </row>
    <row r="2" spans="1:21" s="5" customFormat="1" ht="21" customHeight="1" x14ac:dyDescent="0.25">
      <c r="A2" s="5" t="s">
        <v>62</v>
      </c>
      <c r="F2"/>
      <c r="J2" s="5" t="s">
        <v>46</v>
      </c>
      <c r="K2" s="5" t="s">
        <v>46</v>
      </c>
      <c r="L2" s="5" t="s">
        <v>40</v>
      </c>
      <c r="M2" s="5" t="s">
        <v>44</v>
      </c>
      <c r="N2" s="5" t="s">
        <v>43</v>
      </c>
      <c r="P2" s="5" t="s">
        <v>48</v>
      </c>
      <c r="R2" s="5" t="s">
        <v>52</v>
      </c>
      <c r="S2" s="5" t="s">
        <v>54</v>
      </c>
      <c r="T2" s="5" t="s">
        <v>57</v>
      </c>
      <c r="U2" s="5" t="s">
        <v>58</v>
      </c>
    </row>
    <row r="3" spans="1:21" ht="15.75" x14ac:dyDescent="0.25">
      <c r="A3" s="1" t="s">
        <v>18</v>
      </c>
      <c r="B3" s="1" t="s">
        <v>10</v>
      </c>
      <c r="C3" s="1" t="s">
        <v>19</v>
      </c>
      <c r="D3" s="5" t="s">
        <v>35</v>
      </c>
      <c r="E3" s="1" t="s">
        <v>11</v>
      </c>
      <c r="F3" s="1" t="s">
        <v>25</v>
      </c>
      <c r="G3" s="1" t="s">
        <v>16</v>
      </c>
      <c r="H3" s="1" t="s">
        <v>17</v>
      </c>
      <c r="I3" s="1" t="s">
        <v>14</v>
      </c>
      <c r="J3" s="1" t="s">
        <v>26</v>
      </c>
      <c r="K3" s="1" t="s">
        <v>27</v>
      </c>
      <c r="L3" s="5" t="s">
        <v>28</v>
      </c>
      <c r="M3" s="5" t="s">
        <v>29</v>
      </c>
      <c r="N3" s="5" t="s">
        <v>24</v>
      </c>
      <c r="O3" s="5" t="s">
        <v>49</v>
      </c>
      <c r="P3" s="1" t="s">
        <v>30</v>
      </c>
      <c r="Q3" s="1" t="s">
        <v>31</v>
      </c>
      <c r="R3" s="1" t="s">
        <v>32</v>
      </c>
      <c r="S3" s="1" t="s">
        <v>15</v>
      </c>
      <c r="T3" s="1" t="s">
        <v>33</v>
      </c>
      <c r="U3" s="1" t="s">
        <v>34</v>
      </c>
    </row>
    <row r="4" spans="1:21" x14ac:dyDescent="0.25">
      <c r="A4" s="1" t="s">
        <v>0</v>
      </c>
      <c r="B4" s="1">
        <v>2015.54</v>
      </c>
      <c r="C4" s="1">
        <v>251.37</v>
      </c>
      <c r="D4" s="5">
        <v>2200</v>
      </c>
      <c r="E4" s="1">
        <v>250</v>
      </c>
      <c r="F4" s="1">
        <f>Tableau1[[#This Row],[IDAC'[uA']]]*0.000001</f>
        <v>2.5000000000000001E-4</v>
      </c>
      <c r="I4" s="1">
        <v>1</v>
      </c>
      <c r="J4" s="1">
        <f>E4*10^-6*Tableau1[[#This Row],[R à -15'[°C']]]</f>
        <v>0.50388500000000003</v>
      </c>
      <c r="K4" s="1">
        <f>E4*10^-6*Tableau1[[#This Row],[R à +40'[°C']]]</f>
        <v>6.2842499999999996E-2</v>
      </c>
      <c r="L4" s="5">
        <f>Tableau1[[#This Row],[Rref '[Ω']]]*Tableau1[[#This Row],[IDAC'[A']]]</f>
        <v>0.55000000000000004</v>
      </c>
      <c r="M4" s="5">
        <f>Tableau1[[#This Row],[IDAC'[A']]]*(Tableau1[[#This Row],[Rref '[Ω']]]+MAX(Tableau1[[#This Row],[R à -15'[°C']]],Tableau1[[#This Row],[R à +40'[°C']]]))</f>
        <v>1.053885</v>
      </c>
      <c r="N4" s="5">
        <f>Tableau1[[#This Row],[Vref '[V']]]/Tableau1[[#This Row],[Gain]]</f>
        <v>0.55000000000000004</v>
      </c>
      <c r="O4" s="5">
        <f>Tableau1[[#This Row],[FS_ADC]]*2</f>
        <v>1.1000000000000001</v>
      </c>
      <c r="P4" s="1">
        <f>ABS(Tableau1[[#This Row],[V @ Tmax mesurée '[V']]]-Tableau1[[#This Row],[V @ Tmin mesurée '[V']]])</f>
        <v>0.4410425</v>
      </c>
      <c r="Q4" s="1">
        <f>Tableau1[[#This Row],[DV'[V']]]/(Tableau1[[#This Row],[Vref '[V']]]/Tableau1[[#This Row],[Gain]])</f>
        <v>0.80189545454545452</v>
      </c>
      <c r="R4" s="1">
        <f>(Tableau1[[#This Row],[Dvout'[V']]]/2)*B17</f>
        <v>3363393.3125818181</v>
      </c>
      <c r="S4" s="1">
        <f>(R4/B17)*100</f>
        <v>40.094772727272726</v>
      </c>
      <c r="T4" s="1">
        <f>1/Tableau1[[#This Row],[Taux de variation numérique par '[°C']]]</f>
        <v>1.3825323320365864E-5</v>
      </c>
      <c r="U4" s="1">
        <f>R4/A17</f>
        <v>72331.038980254147</v>
      </c>
    </row>
    <row r="5" spans="1:21" x14ac:dyDescent="0.25">
      <c r="A5" s="1" t="s">
        <v>1</v>
      </c>
      <c r="B5" s="1">
        <v>653</v>
      </c>
      <c r="C5" s="1">
        <v>525</v>
      </c>
      <c r="D5" s="5">
        <v>2700</v>
      </c>
      <c r="E5" s="1">
        <v>250</v>
      </c>
      <c r="F5" s="1">
        <f>Tableau1[[#This Row],[IDAC'[uA']]]*0.000001</f>
        <v>2.5000000000000001E-4</v>
      </c>
      <c r="I5" s="1">
        <v>4</v>
      </c>
      <c r="J5" s="1">
        <f>E5*10^-6*Tableau1[[#This Row],[R à -15'[°C']]]</f>
        <v>0.16325000000000001</v>
      </c>
      <c r="K5" s="1">
        <f>E5*10^-6*Tableau1[[#This Row],[R à +40'[°C']]]</f>
        <v>0.13125000000000001</v>
      </c>
      <c r="L5" s="5">
        <f>Tableau1[[#This Row],[Rref '[Ω']]]*Tableau1[[#This Row],[IDAC'[A']]]</f>
        <v>0.67500000000000004</v>
      </c>
      <c r="M5" s="5">
        <f>Tableau1[[#This Row],[IDAC'[A']]]*(Tableau1[[#This Row],[Rref '[Ω']]]+MAX(Tableau1[[#This Row],[R à -15'[°C']]],Tableau1[[#This Row],[R à +40'[°C']]]))</f>
        <v>0.83825000000000005</v>
      </c>
      <c r="N5" s="5">
        <f>Tableau1[[#This Row],[Vref '[V']]]/Tableau1[[#This Row],[Gain]]</f>
        <v>0.16875000000000001</v>
      </c>
      <c r="O5" s="5">
        <f>Tableau1[[#This Row],[FS_ADC]]*2</f>
        <v>0.33750000000000002</v>
      </c>
      <c r="P5" s="1">
        <f>ABS(Tableau1[[#This Row],[V @ Tmax mesurée '[V']]]-Tableau1[[#This Row],[V @ Tmin mesurée '[V']]])</f>
        <v>3.2000000000000001E-2</v>
      </c>
      <c r="Q5" s="1">
        <f>Tableau1[[#This Row],[DV'[V']]]/(Tableau1[[#This Row],[Vref '[V']]]/Tableau1[[#This Row],[Gain]])</f>
        <v>0.18962962962962962</v>
      </c>
      <c r="R5" s="1">
        <f>(Tableau1[[#This Row],[Dvout'[V']]]/2)*B18</f>
        <v>795364.31407407403</v>
      </c>
      <c r="S5" s="1">
        <f>(R5/B18)*100</f>
        <v>9.481481481481481</v>
      </c>
      <c r="T5" s="1">
        <f>1/Tableau1[[#This Row],[Taux de variation numérique par '[°C']]]</f>
        <v>5.8463774621486664E-5</v>
      </c>
      <c r="U5" s="1">
        <f>R5/A18</f>
        <v>17104.608904818797</v>
      </c>
    </row>
    <row r="6" spans="1:21" x14ac:dyDescent="0.25">
      <c r="A6" s="1" t="s">
        <v>2</v>
      </c>
      <c r="B6" s="1">
        <v>942</v>
      </c>
      <c r="C6" s="1">
        <v>1155.5</v>
      </c>
      <c r="D6" s="5">
        <v>10000</v>
      </c>
      <c r="E6" s="1">
        <v>100</v>
      </c>
      <c r="F6" s="1">
        <f>Tableau1[[#This Row],[IDAC'[uA']]]*0.000001</f>
        <v>9.9999999999999991E-5</v>
      </c>
      <c r="I6" s="1">
        <v>8</v>
      </c>
      <c r="J6" s="1">
        <f>E6*10^-6*Tableau1[[#This Row],[R à -15'[°C']]]</f>
        <v>9.4199999999999992E-2</v>
      </c>
      <c r="K6" s="1">
        <f>E6*10^-6*Tableau1[[#This Row],[R à +40'[°C']]]</f>
        <v>0.11554999999999999</v>
      </c>
      <c r="L6" s="5">
        <f>Tableau1[[#This Row],[Rref '[Ω']]]*Tableau1[[#This Row],[IDAC'[A']]]</f>
        <v>0.99999999999999989</v>
      </c>
      <c r="M6" s="5">
        <f>Tableau1[[#This Row],[IDAC'[A']]]*(Tableau1[[#This Row],[Rref '[Ω']]]+MAX(Tableau1[[#This Row],[R à -15'[°C']]],Tableau1[[#This Row],[R à +40'[°C']]]))</f>
        <v>1.1155499999999998</v>
      </c>
      <c r="N6" s="5">
        <f>Tableau1[[#This Row],[Vref '[V']]]/Tableau1[[#This Row],[Gain]]</f>
        <v>0.12499999999999999</v>
      </c>
      <c r="O6" s="5">
        <f>Tableau1[[#This Row],[FS_ADC]]*2</f>
        <v>0.24999999999999997</v>
      </c>
      <c r="P6" s="1">
        <f>ABS(Tableau1[[#This Row],[V @ Tmax mesurée '[V']]]-Tableau1[[#This Row],[V @ Tmin mesurée '[V']]])</f>
        <v>2.1349999999999994E-2</v>
      </c>
      <c r="Q6" s="1">
        <f>Tableau1[[#This Row],[DV'[V']]]/(Tableau1[[#This Row],[Vref '[V']]]/Tableau1[[#This Row],[Gain]])</f>
        <v>0.17079999999999998</v>
      </c>
      <c r="R6" s="1">
        <f>(Tableau1[[#This Row],[Dvout'[V']]]/2)*B19</f>
        <v>716387.12319999991</v>
      </c>
      <c r="S6" s="1">
        <f>(R6/B19)*100</f>
        <v>8.5399999999999991</v>
      </c>
      <c r="T6" s="1">
        <f>1/Tableau1[[#This Row],[Taux de variation numérique par '[°C']]]</f>
        <v>6.4909039392404321E-5</v>
      </c>
      <c r="U6" s="1">
        <f>R6/A19</f>
        <v>15406.174692473116</v>
      </c>
    </row>
    <row r="7" spans="1:21" x14ac:dyDescent="0.25">
      <c r="A7" s="1" t="s">
        <v>3</v>
      </c>
      <c r="B7" s="1">
        <v>935</v>
      </c>
      <c r="C7" s="1">
        <v>1185.71</v>
      </c>
      <c r="D7" s="5">
        <v>10000</v>
      </c>
      <c r="E7" s="1">
        <v>100</v>
      </c>
      <c r="F7" s="1">
        <f>Tableau1[[#This Row],[IDAC'[uA']]]*0.000001</f>
        <v>9.9999999999999991E-5</v>
      </c>
      <c r="I7" s="1">
        <v>8</v>
      </c>
      <c r="J7" s="1">
        <f>E7*10^-6*Tableau1[[#This Row],[R à -15'[°C']]]</f>
        <v>9.3499999999999986E-2</v>
      </c>
      <c r="K7" s="1">
        <f>E7*10^-6*Tableau1[[#This Row],[R à +40'[°C']]]</f>
        <v>0.118571</v>
      </c>
      <c r="L7" s="5">
        <f>Tableau1[[#This Row],[Rref '[Ω']]]*Tableau1[[#This Row],[IDAC'[A']]]</f>
        <v>0.99999999999999989</v>
      </c>
      <c r="M7" s="5">
        <f>Tableau1[[#This Row],[IDAC'[A']]]*(Tableau1[[#This Row],[Rref '[Ω']]]+MAX(Tableau1[[#This Row],[R à -15'[°C']]],Tableau1[[#This Row],[R à +40'[°C']]]))</f>
        <v>1.1185709999999998</v>
      </c>
      <c r="N7" s="5">
        <f>Tableau1[[#This Row],[Vref '[V']]]/Tableau1[[#This Row],[Gain]]</f>
        <v>0.12499999999999999</v>
      </c>
      <c r="O7" s="5">
        <f>Tableau1[[#This Row],[FS_ADC]]*2</f>
        <v>0.24999999999999997</v>
      </c>
      <c r="P7" s="1">
        <f>ABS(Tableau1[[#This Row],[V @ Tmax mesurée '[V']]]-Tableau1[[#This Row],[V @ Tmin mesurée '[V']]])</f>
        <v>2.507100000000001E-2</v>
      </c>
      <c r="Q7" s="1">
        <f>Tableau1[[#This Row],[DV'[V']]]/(Tableau1[[#This Row],[Vref '[V']]]/Tableau1[[#This Row],[Gain]])</f>
        <v>0.20056800000000011</v>
      </c>
      <c r="R7" s="1">
        <f>(Tableau1[[#This Row],[Dvout'[V']]]/2)*B20</f>
        <v>841243.16467200045</v>
      </c>
      <c r="S7" s="1">
        <f>(R7/B20)*100</f>
        <v>10.028400000000005</v>
      </c>
      <c r="T7" s="1">
        <f>1/Tableau1[[#This Row],[Taux de variation numérique par '[°C']]]</f>
        <v>5.52753376820961E-5</v>
      </c>
      <c r="U7" s="1">
        <f>R7/A20</f>
        <v>18091.250853161298</v>
      </c>
    </row>
    <row r="8" spans="1:21" x14ac:dyDescent="0.25">
      <c r="A8" s="1" t="s">
        <v>4</v>
      </c>
      <c r="B8" s="1">
        <v>919</v>
      </c>
      <c r="C8" s="1">
        <v>1230.7</v>
      </c>
      <c r="D8" s="5">
        <v>10000</v>
      </c>
      <c r="E8" s="1">
        <v>50</v>
      </c>
      <c r="F8" s="1">
        <f>Tableau1[[#This Row],[IDAC'[uA']]]*0.000001</f>
        <v>4.9999999999999996E-5</v>
      </c>
      <c r="I8" s="1">
        <v>8</v>
      </c>
      <c r="J8" s="1">
        <f>E8*10^-6*Tableau1[[#This Row],[R à -15'[°C']]]</f>
        <v>4.5949999999999998E-2</v>
      </c>
      <c r="K8" s="1">
        <f>E8*10^-6*Tableau1[[#This Row],[R à +40'[°C']]]</f>
        <v>6.1534999999999999E-2</v>
      </c>
      <c r="L8" s="5">
        <f>Tableau1[[#This Row],[Rref '[Ω']]]*Tableau1[[#This Row],[IDAC'[A']]]</f>
        <v>0.49999999999999994</v>
      </c>
      <c r="M8" s="5">
        <f>Tableau1[[#This Row],[IDAC'[A']]]*(Tableau1[[#This Row],[Rref '[Ω']]]+MAX(Tableau1[[#This Row],[R à -15'[°C']]],Tableau1[[#This Row],[R à +40'[°C']]]))</f>
        <v>0.56153500000000001</v>
      </c>
      <c r="N8" s="5">
        <f>Tableau1[[#This Row],[Vref '[V']]]/Tableau1[[#This Row],[Gain]]</f>
        <v>6.2499999999999993E-2</v>
      </c>
      <c r="O8" s="5">
        <f>Tableau1[[#This Row],[FS_ADC]]*2</f>
        <v>0.12499999999999999</v>
      </c>
      <c r="P8" s="1">
        <f>ABS(Tableau1[[#This Row],[V @ Tmax mesurée '[V']]]-Tableau1[[#This Row],[V @ Tmin mesurée '[V']]])</f>
        <v>1.5585000000000002E-2</v>
      </c>
      <c r="Q8" s="1">
        <f>Tableau1[[#This Row],[DV'[V']]]/(Tableau1[[#This Row],[Vref '[V']]]/Tableau1[[#This Row],[Gain]])</f>
        <v>0.24936000000000005</v>
      </c>
      <c r="R8" s="1">
        <f>(Tableau1[[#This Row],[Dvout'[V']]]/2)*B21</f>
        <v>1045891.6454400002</v>
      </c>
      <c r="S8" s="1">
        <f>(R8/B21)*100</f>
        <v>12.468000000000004</v>
      </c>
      <c r="T8" s="1">
        <f>1/Tableau1[[#This Row],[Taux de variation numérique par '[°C']]]</f>
        <v>4.4459672474425147E-5</v>
      </c>
      <c r="U8" s="1">
        <f>R8/A21</f>
        <v>22492.293450322584</v>
      </c>
    </row>
    <row r="9" spans="1:21" x14ac:dyDescent="0.25">
      <c r="A9" s="1" t="s">
        <v>5</v>
      </c>
      <c r="B9" s="1">
        <v>5855</v>
      </c>
      <c r="C9" s="1">
        <v>1230.1099999999999</v>
      </c>
      <c r="D9" s="5">
        <v>10000</v>
      </c>
      <c r="E9" s="1">
        <v>100</v>
      </c>
      <c r="F9" s="1">
        <f>Tableau1[[#This Row],[IDAC'[uA']]]*0.000001</f>
        <v>9.9999999999999991E-5</v>
      </c>
      <c r="I9" s="1">
        <v>1</v>
      </c>
      <c r="J9" s="1">
        <f>E9*10^-6*Tableau1[[#This Row],[R à -15'[°C']]]</f>
        <v>0.58549999999999991</v>
      </c>
      <c r="K9" s="1">
        <f>E9*10^-6*Tableau1[[#This Row],[R à +40'[°C']]]</f>
        <v>0.12301099999999998</v>
      </c>
      <c r="L9" s="5">
        <f>Tableau1[[#This Row],[Rref '[Ω']]]*Tableau1[[#This Row],[IDAC'[A']]]</f>
        <v>0.99999999999999989</v>
      </c>
      <c r="M9" s="5">
        <f>Tableau1[[#This Row],[IDAC'[A']]]*(Tableau1[[#This Row],[Rref '[Ω']]]+MAX(Tableau1[[#This Row],[R à -15'[°C']]],Tableau1[[#This Row],[R à +40'[°C']]]))</f>
        <v>1.5854999999999999</v>
      </c>
      <c r="N9" s="5">
        <f>Tableau1[[#This Row],[Vref '[V']]]/Tableau1[[#This Row],[Gain]]</f>
        <v>0.99999999999999989</v>
      </c>
      <c r="O9" s="5">
        <f>Tableau1[[#This Row],[FS_ADC]]*2</f>
        <v>1.9999999999999998</v>
      </c>
      <c r="P9" s="1">
        <f>ABS(Tableau1[[#This Row],[V @ Tmax mesurée '[V']]]-Tableau1[[#This Row],[V @ Tmin mesurée '[V']]])</f>
        <v>0.46248899999999993</v>
      </c>
      <c r="Q9" s="1">
        <f>Tableau1[[#This Row],[DV'[V']]]/(Tableau1[[#This Row],[Vref '[V']]]/Tableau1[[#This Row],[Gain]])</f>
        <v>0.46248899999999998</v>
      </c>
      <c r="R9" s="1">
        <f>(Tableau1[[#This Row],[Dvout'[V']]]/2)*B22</f>
        <v>1939819.4626559999</v>
      </c>
      <c r="S9" s="1">
        <f>(R9/B22)*100</f>
        <v>23.12445</v>
      </c>
      <c r="T9" s="1">
        <f>1/Tableau1[[#This Row],[Taux de variation numérique par '[°C']]]</f>
        <v>2.3971302946065001E-5</v>
      </c>
      <c r="U9" s="1">
        <f>R9/A22</f>
        <v>41716.547584</v>
      </c>
    </row>
    <row r="10" spans="1:21" x14ac:dyDescent="0.25">
      <c r="A10" s="1" t="s">
        <v>6</v>
      </c>
      <c r="B10" s="1">
        <v>1423</v>
      </c>
      <c r="C10" s="1">
        <v>2245</v>
      </c>
      <c r="D10" s="5">
        <v>10000</v>
      </c>
      <c r="E10" s="1">
        <v>100</v>
      </c>
      <c r="F10" s="1">
        <f>Tableau1[[#This Row],[IDAC'[uA']]]*0.000001</f>
        <v>9.9999999999999991E-5</v>
      </c>
      <c r="I10" s="1">
        <v>4</v>
      </c>
      <c r="J10" s="1">
        <f>E10*10^-6*Tableau1[[#This Row],[R à -15'[°C']]]</f>
        <v>0.14229999999999998</v>
      </c>
      <c r="K10" s="1">
        <f>E10*10^-6*Tableau1[[#This Row],[R à +40'[°C']]]</f>
        <v>0.22449999999999998</v>
      </c>
      <c r="L10" s="5">
        <f>Tableau1[[#This Row],[Rref '[Ω']]]*Tableau1[[#This Row],[IDAC'[A']]]</f>
        <v>0.99999999999999989</v>
      </c>
      <c r="M10" s="5">
        <f>Tableau1[[#This Row],[IDAC'[A']]]*(Tableau1[[#This Row],[Rref '[Ω']]]+MAX(Tableau1[[#This Row],[R à -15'[°C']]],Tableau1[[#This Row],[R à +40'[°C']]]))</f>
        <v>1.2244999999999999</v>
      </c>
      <c r="N10" s="5">
        <f>Tableau1[[#This Row],[Vref '[V']]]/Tableau1[[#This Row],[Gain]]</f>
        <v>0.24999999999999997</v>
      </c>
      <c r="O10" s="5">
        <f>Tableau1[[#This Row],[FS_ADC]]*2</f>
        <v>0.49999999999999994</v>
      </c>
      <c r="P10" s="1">
        <f>ABS(Tableau1[[#This Row],[V @ Tmax mesurée '[V']]]-Tableau1[[#This Row],[V @ Tmin mesurée '[V']]])</f>
        <v>8.2199999999999995E-2</v>
      </c>
      <c r="Q10" s="1">
        <f>Tableau1[[#This Row],[DV'[V']]]/(Tableau1[[#This Row],[Vref '[V']]]/Tableau1[[#This Row],[Gain]])</f>
        <v>0.32880000000000004</v>
      </c>
      <c r="R10" s="1">
        <f>(Tableau1[[#This Row],[Dvout'[V']]]/2)*B23</f>
        <v>1379087.1552000002</v>
      </c>
      <c r="S10" s="1">
        <f>(R10/B23)*100</f>
        <v>16.440000000000001</v>
      </c>
      <c r="T10" s="1">
        <f>1/Tableau1[[#This Row],[Taux de variation numérique par '[°C']]]</f>
        <v>3.3717955986078638E-5</v>
      </c>
      <c r="U10" s="1">
        <f>R10/A23</f>
        <v>29657.78828387097</v>
      </c>
    </row>
    <row r="11" spans="1:21" x14ac:dyDescent="0.25">
      <c r="A11" s="1" t="s">
        <v>7</v>
      </c>
      <c r="B11" s="1">
        <v>11124</v>
      </c>
      <c r="C11" s="1">
        <v>1168.06</v>
      </c>
      <c r="D11" s="5">
        <v>100000</v>
      </c>
      <c r="E11" s="1">
        <v>10</v>
      </c>
      <c r="F11" s="1">
        <f>Tableau1[[#This Row],[IDAC'[uA']]]*0.000001</f>
        <v>9.9999999999999991E-6</v>
      </c>
      <c r="I11" s="1">
        <v>8</v>
      </c>
      <c r="J11" s="1">
        <f>E11*10^-6*Tableau1[[#This Row],[R à -15'[°C']]]</f>
        <v>0.11123999999999999</v>
      </c>
      <c r="K11" s="1">
        <f>E11*10^-6*Tableau1[[#This Row],[R à +40'[°C']]]</f>
        <v>1.1680599999999998E-2</v>
      </c>
      <c r="L11" s="5">
        <f>Tableau1[[#This Row],[Rref '[Ω']]]*Tableau1[[#This Row],[IDAC'[A']]]</f>
        <v>0.99999999999999989</v>
      </c>
      <c r="M11" s="5">
        <f>Tableau1[[#This Row],[IDAC'[A']]]*(Tableau1[[#This Row],[Rref '[Ω']]]+MAX(Tableau1[[#This Row],[R à -15'[°C']]],Tableau1[[#This Row],[R à +40'[°C']]]))</f>
        <v>1.11124</v>
      </c>
      <c r="N11" s="5">
        <f>Tableau1[[#This Row],[Vref '[V']]]/Tableau1[[#This Row],[Gain]]</f>
        <v>0.12499999999999999</v>
      </c>
      <c r="O11" s="5">
        <f>Tableau1[[#This Row],[FS_ADC]]*2</f>
        <v>0.24999999999999997</v>
      </c>
      <c r="P11" s="1">
        <f>ABS(Tableau1[[#This Row],[V @ Tmax mesurée '[V']]]-Tableau1[[#This Row],[V @ Tmin mesurée '[V']]])</f>
        <v>9.9559399999999992E-2</v>
      </c>
      <c r="Q11" s="1">
        <f>Tableau1[[#This Row],[DV'[V']]]/(Tableau1[[#This Row],[Vref '[V']]]/Tableau1[[#This Row],[Gain]])</f>
        <v>0.79647520000000005</v>
      </c>
      <c r="R11" s="1">
        <f>(Tableau1[[#This Row],[Dvout'[V']]]/2)*B24</f>
        <v>3340659.1172608002</v>
      </c>
      <c r="S11" s="1">
        <f>(R11/B24)*100</f>
        <v>39.82376</v>
      </c>
      <c r="T11" s="1">
        <f>1/Tableau1[[#This Row],[Taux de variation numérique par '[°C']]]</f>
        <v>1.3919408825563755E-5</v>
      </c>
      <c r="U11" s="1">
        <f>R11/A24</f>
        <v>71842.1315539957</v>
      </c>
    </row>
    <row r="12" spans="1:21" x14ac:dyDescent="0.25">
      <c r="A12" s="1" t="s">
        <v>8</v>
      </c>
      <c r="B12" s="1">
        <v>12881</v>
      </c>
      <c r="C12" s="1">
        <v>1173</v>
      </c>
      <c r="D12" s="5">
        <v>100000</v>
      </c>
      <c r="E12" s="1">
        <v>10</v>
      </c>
      <c r="F12" s="1">
        <f>Tableau1[[#This Row],[IDAC'[uA']]]*0.000001</f>
        <v>9.9999999999999991E-6</v>
      </c>
      <c r="I12" s="1">
        <v>4</v>
      </c>
      <c r="J12" s="1">
        <f>E12*10^-6*Tableau1[[#This Row],[R à -15'[°C']]]</f>
        <v>0.12880999999999998</v>
      </c>
      <c r="K12" s="1">
        <f>E12*10^-6*Tableau1[[#This Row],[R à +40'[°C']]]</f>
        <v>1.1729999999999999E-2</v>
      </c>
      <c r="L12" s="5">
        <f>Tableau1[[#This Row],[Rref '[Ω']]]*Tableau1[[#This Row],[IDAC'[A']]]</f>
        <v>0.99999999999999989</v>
      </c>
      <c r="M12" s="5">
        <f>Tableau1[[#This Row],[IDAC'[A']]]*(Tableau1[[#This Row],[Rref '[Ω']]]+MAX(Tableau1[[#This Row],[R à -15'[°C']]],Tableau1[[#This Row],[R à +40'[°C']]]))</f>
        <v>1.1288099999999999</v>
      </c>
      <c r="N12" s="5">
        <f>Tableau1[[#This Row],[Vref '[V']]]/Tableau1[[#This Row],[Gain]]</f>
        <v>0.24999999999999997</v>
      </c>
      <c r="O12" s="5">
        <f>Tableau1[[#This Row],[FS_ADC]]*2</f>
        <v>0.49999999999999994</v>
      </c>
      <c r="P12" s="1">
        <f>ABS(Tableau1[[#This Row],[V @ Tmax mesurée '[V']]]-Tableau1[[#This Row],[V @ Tmin mesurée '[V']]])</f>
        <v>0.11707999999999998</v>
      </c>
      <c r="Q12" s="1">
        <f>Tableau1[[#This Row],[DV'[V']]]/(Tableau1[[#This Row],[Vref '[V']]]/Tableau1[[#This Row],[Gain]])</f>
        <v>0.46831999999999996</v>
      </c>
      <c r="R12" s="1">
        <f>(Tableau1[[#This Row],[Dvout'[V']]]/2)*B25</f>
        <v>1964276.4492799998</v>
      </c>
      <c r="S12" s="1">
        <f>(R12/B25)*100</f>
        <v>23.415999999999997</v>
      </c>
      <c r="T12" s="1">
        <f>1/Tableau1[[#This Row],[Taux de variation numérique par '[°C']]]</f>
        <v>2.3672838931121152E-5</v>
      </c>
      <c r="U12" s="1">
        <f>R12/A25</f>
        <v>42242.504285591393</v>
      </c>
    </row>
    <row r="13" spans="1:21" x14ac:dyDescent="0.25">
      <c r="A13" s="1" t="s">
        <v>9</v>
      </c>
      <c r="B13" s="1">
        <v>72502</v>
      </c>
      <c r="C13" s="1">
        <v>5320</v>
      </c>
      <c r="D13" s="5">
        <v>100000</v>
      </c>
      <c r="E13" s="1">
        <v>10</v>
      </c>
      <c r="F13" s="1">
        <f>Tableau1[[#This Row],[IDAC'[uA']]]*0.000001</f>
        <v>9.9999999999999991E-6</v>
      </c>
      <c r="I13" s="1">
        <v>1</v>
      </c>
      <c r="J13" s="1">
        <f>E13*10^-6*Tableau1[[#This Row],[R à -15'[°C']]]</f>
        <v>0.72501999999999989</v>
      </c>
      <c r="K13" s="1">
        <f>E13*10^-6*Tableau1[[#This Row],[R à +40'[°C']]]</f>
        <v>5.3199999999999997E-2</v>
      </c>
      <c r="L13" s="5">
        <f>Tableau1[[#This Row],[Rref '[Ω']]]*Tableau1[[#This Row],[IDAC'[A']]]</f>
        <v>0.99999999999999989</v>
      </c>
      <c r="M13" s="5">
        <f>Tableau1[[#This Row],[IDAC'[A']]]*(Tableau1[[#This Row],[Rref '[Ω']]]+MAX(Tableau1[[#This Row],[R à -15'[°C']]],Tableau1[[#This Row],[R à +40'[°C']]]))</f>
        <v>1.7250199999999998</v>
      </c>
      <c r="N13" s="5">
        <f>Tableau1[[#This Row],[Vref '[V']]]/Tableau1[[#This Row],[Gain]]</f>
        <v>0.99999999999999989</v>
      </c>
      <c r="O13" s="5">
        <f>Tableau1[[#This Row],[FS_ADC]]*2</f>
        <v>1.9999999999999998</v>
      </c>
      <c r="P13" s="1">
        <f>ABS(Tableau1[[#This Row],[V @ Tmax mesurée '[V']]]-Tableau1[[#This Row],[V @ Tmin mesurée '[V']]])</f>
        <v>0.67181999999999986</v>
      </c>
      <c r="Q13" s="1">
        <f>Tableau1[[#This Row],[DV'[V']]]/(Tableau1[[#This Row],[Vref '[V']]]/Tableau1[[#This Row],[Gain]])</f>
        <v>0.67181999999999997</v>
      </c>
      <c r="R13" s="1">
        <f>(Tableau1[[#This Row],[Dvout'[V']]]/2)*B26</f>
        <v>2817817.3132799999</v>
      </c>
      <c r="S13" s="1">
        <f>(R13/B26)*100</f>
        <v>33.591000000000001</v>
      </c>
      <c r="T13" s="1">
        <f>1/Tableau1[[#This Row],[Taux de variation numérique par '[°C']]]</f>
        <v>1.6502134393472441E-5</v>
      </c>
      <c r="U13" s="1">
        <f>R13/A26</f>
        <v>60598.221790967742</v>
      </c>
    </row>
    <row r="14" spans="1:21" x14ac:dyDescent="0.25">
      <c r="N14" s="10"/>
    </row>
    <row r="15" spans="1:21" s="5" customFormat="1" ht="36" customHeight="1" x14ac:dyDescent="0.25">
      <c r="E15" s="6"/>
      <c r="F15"/>
      <c r="N15" s="11"/>
    </row>
    <row r="16" spans="1:21" x14ac:dyDescent="0.25">
      <c r="A16" s="2" t="s">
        <v>36</v>
      </c>
      <c r="B16" s="2" t="s">
        <v>37</v>
      </c>
      <c r="C16" s="1" t="s">
        <v>38</v>
      </c>
      <c r="D16"/>
      <c r="F16" s="1"/>
      <c r="K16" s="5"/>
      <c r="L16" s="5"/>
      <c r="N16" s="11"/>
      <c r="P16" s="1"/>
    </row>
    <row r="17" spans="1:16" x14ac:dyDescent="0.25">
      <c r="A17" s="3">
        <v>46.5</v>
      </c>
      <c r="B17" s="3">
        <f>2^23</f>
        <v>8388608</v>
      </c>
      <c r="C17" s="1">
        <v>1</v>
      </c>
      <c r="D17"/>
      <c r="F17" s="1"/>
      <c r="K17" s="5"/>
      <c r="L17" s="5"/>
      <c r="N17" s="1"/>
      <c r="P17" s="1"/>
    </row>
    <row r="18" spans="1:16" hidden="1" x14ac:dyDescent="0.25">
      <c r="A18" s="4">
        <v>46.5</v>
      </c>
      <c r="B18" s="3">
        <f t="shared" ref="B18:B26" si="0">2^23</f>
        <v>8388608</v>
      </c>
      <c r="C18" s="5">
        <v>1</v>
      </c>
      <c r="D18"/>
      <c r="F18" s="1"/>
      <c r="K18" s="5"/>
      <c r="L18" s="5"/>
      <c r="N18" s="1"/>
      <c r="P18" s="1"/>
    </row>
    <row r="19" spans="1:16" hidden="1" x14ac:dyDescent="0.25">
      <c r="A19" s="3">
        <v>46.5</v>
      </c>
      <c r="B19" s="3">
        <f t="shared" si="0"/>
        <v>8388608</v>
      </c>
      <c r="C19" s="5">
        <v>1</v>
      </c>
      <c r="D19"/>
      <c r="F19" s="1"/>
      <c r="K19" s="5"/>
      <c r="L19" s="5"/>
      <c r="N19" s="1"/>
      <c r="P19" s="1"/>
    </row>
    <row r="20" spans="1:16" hidden="1" x14ac:dyDescent="0.25">
      <c r="A20" s="4">
        <v>46.5</v>
      </c>
      <c r="B20" s="3">
        <f t="shared" si="0"/>
        <v>8388608</v>
      </c>
      <c r="C20" s="5">
        <v>1</v>
      </c>
      <c r="D20"/>
      <c r="F20" s="1"/>
      <c r="K20" s="5"/>
      <c r="L20" s="5"/>
      <c r="N20" s="1"/>
      <c r="P20" s="1"/>
    </row>
    <row r="21" spans="1:16" hidden="1" x14ac:dyDescent="0.25">
      <c r="A21" s="3">
        <v>46.5</v>
      </c>
      <c r="B21" s="3">
        <f t="shared" si="0"/>
        <v>8388608</v>
      </c>
      <c r="C21" s="5">
        <v>1</v>
      </c>
      <c r="D21"/>
      <c r="F21" s="1"/>
      <c r="K21" s="5"/>
      <c r="L21" s="5"/>
      <c r="N21" s="1"/>
      <c r="P21" s="1"/>
    </row>
    <row r="22" spans="1:16" hidden="1" x14ac:dyDescent="0.25">
      <c r="A22" s="4">
        <v>46.5</v>
      </c>
      <c r="B22" s="3">
        <f t="shared" si="0"/>
        <v>8388608</v>
      </c>
      <c r="C22" s="5">
        <v>1</v>
      </c>
      <c r="D22"/>
      <c r="F22" s="1"/>
      <c r="K22" s="5"/>
      <c r="L22" s="5"/>
      <c r="N22" s="1"/>
      <c r="P22" s="1"/>
    </row>
    <row r="23" spans="1:16" hidden="1" x14ac:dyDescent="0.25">
      <c r="A23" s="3">
        <v>46.5</v>
      </c>
      <c r="B23" s="3">
        <f t="shared" si="0"/>
        <v>8388608</v>
      </c>
      <c r="C23" s="5">
        <v>1</v>
      </c>
      <c r="D23"/>
      <c r="F23" s="1"/>
      <c r="K23" s="5"/>
      <c r="L23" s="5"/>
      <c r="N23" s="1"/>
      <c r="P23" s="1"/>
    </row>
    <row r="24" spans="1:16" hidden="1" x14ac:dyDescent="0.25">
      <c r="A24" s="4">
        <v>46.5</v>
      </c>
      <c r="B24" s="3">
        <f t="shared" si="0"/>
        <v>8388608</v>
      </c>
      <c r="C24" s="5">
        <v>1</v>
      </c>
      <c r="D24"/>
      <c r="F24" s="1"/>
      <c r="K24" s="5"/>
      <c r="L24" s="5"/>
      <c r="N24" s="1"/>
      <c r="P24" s="1"/>
    </row>
    <row r="25" spans="1:16" hidden="1" x14ac:dyDescent="0.25">
      <c r="A25" s="3">
        <v>46.5</v>
      </c>
      <c r="B25" s="3">
        <f t="shared" si="0"/>
        <v>8388608</v>
      </c>
      <c r="C25" s="5">
        <v>1</v>
      </c>
      <c r="D25"/>
      <c r="F25" s="1"/>
      <c r="K25" s="5"/>
      <c r="L25" s="5"/>
      <c r="N25" s="1"/>
      <c r="P25" s="1"/>
    </row>
    <row r="26" spans="1:16" hidden="1" x14ac:dyDescent="0.25">
      <c r="A26" s="4">
        <v>46.5</v>
      </c>
      <c r="B26" s="3">
        <f t="shared" si="0"/>
        <v>8388608</v>
      </c>
      <c r="C26" s="5">
        <v>1</v>
      </c>
      <c r="D26"/>
      <c r="F26" s="1"/>
      <c r="K26" s="5"/>
      <c r="L26" s="5"/>
      <c r="N26" s="1"/>
      <c r="P26" s="1"/>
    </row>
    <row r="30" spans="1:16" ht="15.75" x14ac:dyDescent="0.25">
      <c r="A30" s="9" t="s">
        <v>45</v>
      </c>
      <c r="B30" s="2" t="s">
        <v>22</v>
      </c>
      <c r="C30" s="2" t="s">
        <v>23</v>
      </c>
      <c r="D30" s="2" t="s">
        <v>20</v>
      </c>
      <c r="E30" s="2" t="s">
        <v>21</v>
      </c>
    </row>
    <row r="31" spans="1:16" x14ac:dyDescent="0.25">
      <c r="A31" s="7" t="s">
        <v>0</v>
      </c>
      <c r="B31" s="3">
        <f>J4*E4*10^-3</f>
        <v>0.12597125000000001</v>
      </c>
      <c r="C31" s="3">
        <f>E4*K4*10^-3</f>
        <v>1.5710624999999999E-2</v>
      </c>
      <c r="D31" s="3">
        <f t="shared" ref="D31:D40" si="1">B31*0.5</f>
        <v>6.2985625000000003E-2</v>
      </c>
      <c r="E31" s="3">
        <f t="shared" ref="E31:E40" si="2">C31*0.5</f>
        <v>7.8553124999999994E-3</v>
      </c>
    </row>
    <row r="32" spans="1:16" x14ac:dyDescent="0.25">
      <c r="A32" s="8" t="s">
        <v>1</v>
      </c>
      <c r="B32" s="4">
        <f>J5*E5*10^-3</f>
        <v>4.0812500000000002E-2</v>
      </c>
      <c r="C32" s="4">
        <f>E5*K5*10^-3</f>
        <v>3.2812500000000001E-2</v>
      </c>
      <c r="D32" s="4">
        <f t="shared" si="1"/>
        <v>2.0406250000000001E-2</v>
      </c>
      <c r="E32" s="4">
        <f t="shared" si="2"/>
        <v>1.6406250000000001E-2</v>
      </c>
    </row>
    <row r="33" spans="1:5" x14ac:dyDescent="0.25">
      <c r="A33" s="7" t="s">
        <v>2</v>
      </c>
      <c r="B33" s="3">
        <f>J6*E6*10^-3</f>
        <v>9.4199999999999996E-3</v>
      </c>
      <c r="C33" s="3">
        <f>E6*K6*10^-3</f>
        <v>1.1554999999999998E-2</v>
      </c>
      <c r="D33" s="3">
        <f t="shared" si="1"/>
        <v>4.7099999999999998E-3</v>
      </c>
      <c r="E33" s="3">
        <f t="shared" si="2"/>
        <v>5.7774999999999988E-3</v>
      </c>
    </row>
    <row r="34" spans="1:5" x14ac:dyDescent="0.25">
      <c r="A34" s="8" t="s">
        <v>3</v>
      </c>
      <c r="B34" s="4">
        <f>J7*E7*10^-3</f>
        <v>9.3499999999999972E-3</v>
      </c>
      <c r="C34" s="4">
        <f>E7*K7*10^-3</f>
        <v>1.1857099999999999E-2</v>
      </c>
      <c r="D34" s="4">
        <f t="shared" si="1"/>
        <v>4.6749999999999986E-3</v>
      </c>
      <c r="E34" s="4">
        <f t="shared" si="2"/>
        <v>5.9285499999999994E-3</v>
      </c>
    </row>
    <row r="35" spans="1:5" x14ac:dyDescent="0.25">
      <c r="A35" s="7" t="s">
        <v>4</v>
      </c>
      <c r="B35" s="3">
        <f>J8*E8*10^-3</f>
        <v>2.2975000000000001E-3</v>
      </c>
      <c r="C35" s="3">
        <f>E8*K8*10^-3</f>
        <v>3.0767500000000001E-3</v>
      </c>
      <c r="D35" s="3">
        <f t="shared" si="1"/>
        <v>1.14875E-3</v>
      </c>
      <c r="E35" s="3">
        <f t="shared" si="2"/>
        <v>1.538375E-3</v>
      </c>
    </row>
    <row r="36" spans="1:5" x14ac:dyDescent="0.25">
      <c r="A36" s="8" t="s">
        <v>5</v>
      </c>
      <c r="B36" s="4">
        <f>J9*E9*10^-3</f>
        <v>5.8549999999999991E-2</v>
      </c>
      <c r="C36" s="4">
        <f>E9*K9*10^-3</f>
        <v>1.2301099999999999E-2</v>
      </c>
      <c r="D36" s="4">
        <f t="shared" si="1"/>
        <v>2.9274999999999995E-2</v>
      </c>
      <c r="E36" s="4">
        <f t="shared" si="2"/>
        <v>6.1505499999999994E-3</v>
      </c>
    </row>
    <row r="37" spans="1:5" x14ac:dyDescent="0.25">
      <c r="A37" s="7" t="s">
        <v>6</v>
      </c>
      <c r="B37" s="3">
        <f>J10*E10*10^-3</f>
        <v>1.423E-2</v>
      </c>
      <c r="C37" s="3">
        <f>E10*K10*10^-3</f>
        <v>2.2450000000000001E-2</v>
      </c>
      <c r="D37" s="3">
        <f t="shared" si="1"/>
        <v>7.1149999999999998E-3</v>
      </c>
      <c r="E37" s="3">
        <f t="shared" si="2"/>
        <v>1.1225000000000001E-2</v>
      </c>
    </row>
    <row r="38" spans="1:5" x14ac:dyDescent="0.25">
      <c r="A38" s="8" t="s">
        <v>7</v>
      </c>
      <c r="B38" s="4">
        <f>J11*E11*10^-3</f>
        <v>1.1123999999999999E-3</v>
      </c>
      <c r="C38" s="4">
        <f>E11*K11*10^-3</f>
        <v>1.1680599999999998E-4</v>
      </c>
      <c r="D38" s="4">
        <f t="shared" si="1"/>
        <v>5.5619999999999997E-4</v>
      </c>
      <c r="E38" s="4">
        <f t="shared" si="2"/>
        <v>5.840299999999999E-5</v>
      </c>
    </row>
    <row r="39" spans="1:5" x14ac:dyDescent="0.25">
      <c r="A39" s="7" t="s">
        <v>8</v>
      </c>
      <c r="B39" s="3">
        <f>J12*E12*10^-3</f>
        <v>1.2880999999999999E-3</v>
      </c>
      <c r="C39" s="3">
        <f>E12*K12*10^-3</f>
        <v>1.1729999999999999E-4</v>
      </c>
      <c r="D39" s="3">
        <f t="shared" si="1"/>
        <v>6.4404999999999996E-4</v>
      </c>
      <c r="E39" s="3">
        <f t="shared" si="2"/>
        <v>5.8649999999999996E-5</v>
      </c>
    </row>
    <row r="40" spans="1:5" x14ac:dyDescent="0.25">
      <c r="A40" s="8" t="s">
        <v>9</v>
      </c>
      <c r="B40" s="4">
        <f>J13*E13*10^-3</f>
        <v>7.2501999999999992E-3</v>
      </c>
      <c r="C40" s="4">
        <f>E13*K13*10^-3</f>
        <v>5.3200000000000003E-4</v>
      </c>
      <c r="D40" s="4">
        <f t="shared" si="1"/>
        <v>3.6250999999999996E-3</v>
      </c>
      <c r="E40" s="4">
        <f t="shared" si="2"/>
        <v>2.6600000000000001E-4</v>
      </c>
    </row>
  </sheetData>
  <conditionalFormatting sqref="P3">
    <cfRule type="cellIs" dxfId="80" priority="81" operator="lessThan">
      <formula>0.3</formula>
    </cfRule>
  </conditionalFormatting>
  <conditionalFormatting sqref="D31:D40">
    <cfRule type="cellIs" dxfId="79" priority="80" operator="greaterThan">
      <formula>0.5</formula>
    </cfRule>
  </conditionalFormatting>
  <conditionalFormatting sqref="E31:E40">
    <cfRule type="cellIs" dxfId="78" priority="79" operator="greaterThan">
      <formula>0.5</formula>
    </cfRule>
  </conditionalFormatting>
  <conditionalFormatting sqref="N4:N13 L4:L13">
    <cfRule type="cellIs" dxfId="77" priority="78" operator="greaterThan">
      <formula>1.4</formula>
    </cfRule>
  </conditionalFormatting>
  <conditionalFormatting sqref="L4:L13">
    <cfRule type="cellIs" dxfId="76" priority="76" operator="greaterThan">
      <formula>2.5</formula>
    </cfRule>
  </conditionalFormatting>
  <conditionalFormatting sqref="S4:S13">
    <cfRule type="cellIs" dxfId="75" priority="85" operator="greaterThan">
      <formula>100</formula>
    </cfRule>
    <cfRule type="dataBar" priority="8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{051FBA3E-BA4C-436F-924E-C9B01C233004}</x14:id>
        </ext>
      </extLst>
    </cfRule>
  </conditionalFormatting>
  <conditionalFormatting sqref="P4">
    <cfRule type="cellIs" dxfId="74" priority="49" operator="greaterThan">
      <formula>$O$4</formula>
    </cfRule>
  </conditionalFormatting>
  <conditionalFormatting sqref="P5">
    <cfRule type="cellIs" dxfId="73" priority="48" operator="greaterThan">
      <formula>$O$5</formula>
    </cfRule>
  </conditionalFormatting>
  <conditionalFormatting sqref="P6">
    <cfRule type="cellIs" dxfId="72" priority="47" operator="greaterThan">
      <formula>$O$6</formula>
    </cfRule>
  </conditionalFormatting>
  <conditionalFormatting sqref="P7">
    <cfRule type="cellIs" dxfId="71" priority="46" operator="greaterThan">
      <formula>$O$7</formula>
    </cfRule>
  </conditionalFormatting>
  <conditionalFormatting sqref="P8">
    <cfRule type="cellIs" dxfId="70" priority="45" operator="greaterThan">
      <formula>$O$8</formula>
    </cfRule>
  </conditionalFormatting>
  <conditionalFormatting sqref="P9">
    <cfRule type="cellIs" dxfId="69" priority="44" operator="greaterThan">
      <formula>$O$9</formula>
    </cfRule>
  </conditionalFormatting>
  <conditionalFormatting sqref="P10">
    <cfRule type="cellIs" dxfId="68" priority="43" operator="greaterThan">
      <formula>$O$10</formula>
    </cfRule>
  </conditionalFormatting>
  <conditionalFormatting sqref="P11">
    <cfRule type="cellIs" dxfId="67" priority="42" operator="greaterThan">
      <formula>$O$11</formula>
    </cfRule>
  </conditionalFormatting>
  <conditionalFormatting sqref="P12">
    <cfRule type="cellIs" dxfId="66" priority="41" operator="greaterThan">
      <formula>$O$12</formula>
    </cfRule>
  </conditionalFormatting>
  <conditionalFormatting sqref="P13">
    <cfRule type="cellIs" dxfId="65" priority="40" operator="greaterThan">
      <formula>$O$13</formula>
    </cfRule>
  </conditionalFormatting>
  <conditionalFormatting sqref="R4:R13">
    <cfRule type="cellIs" dxfId="64" priority="39" operator="greaterThan">
      <formula>$B$17</formula>
    </cfRule>
  </conditionalFormatting>
  <conditionalFormatting sqref="T4:T13">
    <cfRule type="cellIs" dxfId="63" priority="36" operator="greaterThan">
      <formula>0.5</formula>
    </cfRule>
  </conditionalFormatting>
  <conditionalFormatting sqref="U4:U13">
    <cfRule type="colorScale" priority="34">
      <colorScale>
        <cfvo type="min"/>
        <cfvo type="max"/>
        <color rgb="FFFF7128"/>
        <color rgb="FFFFEF9C"/>
      </colorScale>
    </cfRule>
  </conditionalFormatting>
  <conditionalFormatting sqref="Q4:Q13">
    <cfRule type="cellIs" dxfId="62" priority="33" operator="greaterThan">
      <formula>2</formula>
    </cfRule>
  </conditionalFormatting>
  <conditionalFormatting sqref="M4:M13">
    <cfRule type="cellIs" dxfId="61" priority="32" operator="greaterThan">
      <formula>2.9</formula>
    </cfRule>
  </conditionalFormatting>
  <conditionalFormatting sqref="J4">
    <cfRule type="cellIs" dxfId="60" priority="21" operator="greaterThan">
      <formula>$N$4</formula>
    </cfRule>
  </conditionalFormatting>
  <conditionalFormatting sqref="J5">
    <cfRule type="cellIs" dxfId="59" priority="20" operator="greaterThan">
      <formula>$N$5</formula>
    </cfRule>
    <cfRule type="cellIs" dxfId="58" priority="18" operator="greaterThan">
      <formula>$N$5</formula>
    </cfRule>
  </conditionalFormatting>
  <conditionalFormatting sqref="K4">
    <cfRule type="cellIs" dxfId="57" priority="19" operator="greaterThan">
      <formula>$N$4</formula>
    </cfRule>
  </conditionalFormatting>
  <conditionalFormatting sqref="K5">
    <cfRule type="cellIs" dxfId="56" priority="17" operator="greaterThan">
      <formula>$N$5</formula>
    </cfRule>
  </conditionalFormatting>
  <conditionalFormatting sqref="J6">
    <cfRule type="cellIs" dxfId="55" priority="16" operator="greaterThan">
      <formula>$N$6</formula>
    </cfRule>
  </conditionalFormatting>
  <conditionalFormatting sqref="K6">
    <cfRule type="cellIs" dxfId="54" priority="15" operator="greaterThan">
      <formula>$N$6</formula>
    </cfRule>
  </conditionalFormatting>
  <conditionalFormatting sqref="J7">
    <cfRule type="cellIs" dxfId="53" priority="14" operator="greaterThan">
      <formula>$N$7</formula>
    </cfRule>
  </conditionalFormatting>
  <conditionalFormatting sqref="K7">
    <cfRule type="cellIs" dxfId="52" priority="13" operator="greaterThan">
      <formula>$N$7</formula>
    </cfRule>
  </conditionalFormatting>
  <conditionalFormatting sqref="J8">
    <cfRule type="cellIs" dxfId="51" priority="12" operator="greaterThan">
      <formula>$N$8</formula>
    </cfRule>
  </conditionalFormatting>
  <conditionalFormatting sqref="K8">
    <cfRule type="cellIs" dxfId="50" priority="11" operator="greaterThan">
      <formula>$N$8</formula>
    </cfRule>
  </conditionalFormatting>
  <conditionalFormatting sqref="J9">
    <cfRule type="cellIs" dxfId="49" priority="10" operator="greaterThan">
      <formula>$N$9</formula>
    </cfRule>
  </conditionalFormatting>
  <conditionalFormatting sqref="K9">
    <cfRule type="cellIs" dxfId="48" priority="9" operator="greaterThan">
      <formula>$N$9</formula>
    </cfRule>
  </conditionalFormatting>
  <conditionalFormatting sqref="J10">
    <cfRule type="cellIs" dxfId="47" priority="8" operator="greaterThan">
      <formula>$N$10</formula>
    </cfRule>
  </conditionalFormatting>
  <conditionalFormatting sqref="K10">
    <cfRule type="cellIs" dxfId="46" priority="7" operator="greaterThan">
      <formula>$N$10</formula>
    </cfRule>
  </conditionalFormatting>
  <conditionalFormatting sqref="J11">
    <cfRule type="cellIs" dxfId="45" priority="6" operator="greaterThan">
      <formula>$N$11</formula>
    </cfRule>
  </conditionalFormatting>
  <conditionalFormatting sqref="K11">
    <cfRule type="cellIs" dxfId="44" priority="5" operator="greaterThan">
      <formula>$N$11</formula>
    </cfRule>
  </conditionalFormatting>
  <conditionalFormatting sqref="J12">
    <cfRule type="cellIs" dxfId="43" priority="4" operator="greaterThan">
      <formula>$N$12</formula>
    </cfRule>
  </conditionalFormatting>
  <conditionalFormatting sqref="K12">
    <cfRule type="cellIs" dxfId="42" priority="3" operator="greaterThan">
      <formula>$N$12</formula>
    </cfRule>
  </conditionalFormatting>
  <conditionalFormatting sqref="J13">
    <cfRule type="cellIs" dxfId="41" priority="2" operator="greaterThan">
      <formula>$N$13</formula>
    </cfRule>
  </conditionalFormatting>
  <conditionalFormatting sqref="K13">
    <cfRule type="cellIs" dxfId="0" priority="1" operator="greaterThan">
      <formula>$N$13</formula>
    </cfRule>
  </conditionalFormatting>
  <pageMargins left="0.7" right="0.7" top="0.75" bottom="0.75" header="0.3" footer="0.3"/>
  <pageSetup paperSize="9" orientation="portrait"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1FBA3E-BA4C-436F-924E-C9B01C23300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S4:S13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EF5B73FA-64B4-453B-8EC1-8CE87671FC57}">
          <x14:formula1>
            <xm:f>Feuil2!$A$2:$A$9</xm:f>
          </x14:formula1>
          <xm:sqref>E4:E13</xm:sqref>
        </x14:dataValidation>
        <x14:dataValidation type="list" allowBlank="1" showInputMessage="1" showErrorMessage="1" xr:uid="{6F66D16F-C92E-426D-88F0-C71C08DB859E}">
          <x14:formula1>
            <xm:f>Feuil2!$B$2:$B$129</xm:f>
          </x14:formula1>
          <xm:sqref>I4:I13</xm:sqref>
        </x14:dataValidation>
        <x14:dataValidation type="list" allowBlank="1" showInputMessage="1" showErrorMessage="1" xr:uid="{90179D26-9902-45C2-9501-F46156193809}">
          <x14:formula1>
            <xm:f>Feuil2!$C$2:$C$5</xm:f>
          </x14:formula1>
          <xm:sqref>D4:D13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4DC17-87D1-4A5A-A959-162ABB85E1D0}">
  <dimension ref="A1:C9"/>
  <sheetViews>
    <sheetView workbookViewId="0">
      <selection activeCell="C6" sqref="C6"/>
    </sheetView>
  </sheetViews>
  <sheetFormatPr baseColWidth="10" defaultRowHeight="15" x14ac:dyDescent="0.25"/>
  <cols>
    <col min="1" max="1" width="17.5703125" customWidth="1"/>
  </cols>
  <sheetData>
    <row r="1" spans="1:3" x14ac:dyDescent="0.25">
      <c r="A1" t="s">
        <v>12</v>
      </c>
      <c r="B1" t="s">
        <v>13</v>
      </c>
    </row>
    <row r="2" spans="1:3" x14ac:dyDescent="0.25">
      <c r="A2">
        <v>10</v>
      </c>
      <c r="B2">
        <v>1</v>
      </c>
      <c r="C2">
        <v>2200</v>
      </c>
    </row>
    <row r="3" spans="1:3" x14ac:dyDescent="0.25">
      <c r="A3">
        <v>50</v>
      </c>
      <c r="B3">
        <v>2</v>
      </c>
      <c r="C3">
        <v>2700</v>
      </c>
    </row>
    <row r="4" spans="1:3" x14ac:dyDescent="0.25">
      <c r="A4">
        <v>100</v>
      </c>
      <c r="B4">
        <v>4</v>
      </c>
      <c r="C4">
        <v>10000</v>
      </c>
    </row>
    <row r="5" spans="1:3" x14ac:dyDescent="0.25">
      <c r="A5">
        <v>250</v>
      </c>
      <c r="B5">
        <v>8</v>
      </c>
      <c r="C5">
        <v>100000</v>
      </c>
    </row>
    <row r="6" spans="1:3" x14ac:dyDescent="0.25">
      <c r="A6">
        <v>750</v>
      </c>
      <c r="B6">
        <v>16</v>
      </c>
    </row>
    <row r="7" spans="1:3" x14ac:dyDescent="0.25">
      <c r="A7">
        <v>1000</v>
      </c>
      <c r="B7">
        <v>32</v>
      </c>
    </row>
    <row r="8" spans="1:3" x14ac:dyDescent="0.25">
      <c r="A8">
        <v>1500</v>
      </c>
      <c r="B8">
        <v>64</v>
      </c>
    </row>
    <row r="9" spans="1:3" x14ac:dyDescent="0.25">
      <c r="A9">
        <v>2000</v>
      </c>
      <c r="B9">
        <v>128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>DGEP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Léo Mendes</dc:creator>
  <cp:lastModifiedBy>Léo Mendes</cp:lastModifiedBy>
  <dcterms:created xsi:type="dcterms:W3CDTF">2025-08-21T08:31:32Z</dcterms:created>
  <dcterms:modified xsi:type="dcterms:W3CDTF">2025-08-26T10:59:08Z</dcterms:modified>
</cp:coreProperties>
</file>