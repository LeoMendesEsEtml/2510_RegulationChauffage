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2.Document Annexe/"/>
    </mc:Choice>
  </mc:AlternateContent>
  <xr:revisionPtr revIDLastSave="191" documentId="8_{4277F192-9065-4C14-9BEA-4A138BE84FE7}" xr6:coauthVersionLast="45" xr6:coauthVersionMax="47" xr10:uidLastSave="{25F40E88-8733-4112-BEE4-EDF2C692EE88}"/>
  <bookViews>
    <workbookView xWindow="-120" yWindow="-120" windowWidth="29040" windowHeight="15840" tabRatio="500" xr2:uid="{00000000-000D-0000-FFFF-FFFF00000000}"/>
  </bookViews>
  <sheets>
    <sheet name="Journal de travail hebdomadaire" sheetId="1" r:id="rId1"/>
  </sheets>
  <definedNames>
    <definedName name="Interval">'Journal de travail hebdomadaire'!#REF!</definedName>
    <definedName name="ScheduleStart">'Journal de travail hebdomadaire'!#REF!</definedName>
    <definedName name="_xlnm.Print_Area" localSheetId="0">'Journal de travail hebdomadaire'!$B$1:$I$23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" l="1"/>
  <c r="I5" i="1" l="1"/>
  <c r="H5" i="1"/>
  <c r="G5" i="1"/>
  <c r="F5" i="1"/>
  <c r="E5" i="1"/>
  <c r="I57" i="1"/>
  <c r="H57" i="1"/>
  <c r="G57" i="1"/>
  <c r="F57" i="1"/>
  <c r="E57" i="1"/>
  <c r="D57" i="1"/>
  <c r="C57" i="1"/>
  <c r="I53" i="1"/>
  <c r="H53" i="1"/>
  <c r="G53" i="1"/>
  <c r="F53" i="1"/>
  <c r="E53" i="1"/>
  <c r="D53" i="1"/>
  <c r="C53" i="1"/>
  <c r="C52" i="1" s="1"/>
  <c r="D52" i="1" s="1"/>
  <c r="E52" i="1" s="1"/>
  <c r="F52" i="1" s="1"/>
  <c r="G52" i="1" s="1"/>
  <c r="H52" i="1" s="1"/>
  <c r="I52" i="1" s="1"/>
  <c r="I48" i="1"/>
  <c r="H48" i="1"/>
  <c r="G48" i="1"/>
  <c r="F48" i="1"/>
  <c r="E48" i="1"/>
  <c r="D48" i="1"/>
  <c r="C48" i="1"/>
  <c r="I44" i="1"/>
  <c r="H44" i="1"/>
  <c r="G44" i="1"/>
  <c r="F44" i="1"/>
  <c r="E44" i="1"/>
  <c r="D44" i="1"/>
  <c r="C44" i="1"/>
  <c r="C43" i="1" s="1"/>
  <c r="D43" i="1" s="1"/>
  <c r="E43" i="1" s="1"/>
  <c r="F43" i="1" s="1"/>
  <c r="G43" i="1" s="1"/>
  <c r="H43" i="1" s="1"/>
  <c r="I43" i="1" s="1"/>
  <c r="I39" i="1"/>
  <c r="H39" i="1"/>
  <c r="G39" i="1"/>
  <c r="F39" i="1"/>
  <c r="E39" i="1"/>
  <c r="D39" i="1"/>
  <c r="C39" i="1"/>
  <c r="I35" i="1"/>
  <c r="H35" i="1"/>
  <c r="G35" i="1"/>
  <c r="F35" i="1"/>
  <c r="E35" i="1"/>
  <c r="D35" i="1"/>
  <c r="C35" i="1"/>
  <c r="C34" i="1"/>
  <c r="D34" i="1" s="1"/>
  <c r="E34" i="1" s="1"/>
  <c r="F34" i="1" s="1"/>
  <c r="G34" i="1" s="1"/>
  <c r="H34" i="1" s="1"/>
  <c r="I34" i="1" s="1"/>
  <c r="I30" i="1"/>
  <c r="H30" i="1"/>
  <c r="G30" i="1"/>
  <c r="F30" i="1"/>
  <c r="E30" i="1"/>
  <c r="D30" i="1"/>
  <c r="C30" i="1"/>
  <c r="I26" i="1"/>
  <c r="H26" i="1"/>
  <c r="G26" i="1"/>
  <c r="F26" i="1"/>
  <c r="E26" i="1"/>
  <c r="D26" i="1"/>
  <c r="C26" i="1"/>
  <c r="C25" i="1" s="1"/>
  <c r="D25" i="1" s="1"/>
  <c r="E25" i="1" s="1"/>
  <c r="F25" i="1" s="1"/>
  <c r="G25" i="1" s="1"/>
  <c r="H25" i="1" s="1"/>
  <c r="I25" i="1" s="1"/>
  <c r="D21" i="1"/>
  <c r="E21" i="1"/>
  <c r="F21" i="1"/>
  <c r="G21" i="1"/>
  <c r="H21" i="1"/>
  <c r="I21" i="1"/>
  <c r="C21" i="1"/>
  <c r="E12" i="1"/>
  <c r="F12" i="1"/>
  <c r="G12" i="1"/>
  <c r="H12" i="1"/>
  <c r="I12" i="1"/>
  <c r="C12" i="1"/>
  <c r="D5" i="1" l="1"/>
  <c r="J5" i="1" s="1"/>
  <c r="C7" i="1"/>
  <c r="D7" i="1" s="1"/>
  <c r="E7" i="1" s="1"/>
  <c r="F7" i="1" s="1"/>
  <c r="G7" i="1" s="1"/>
  <c r="H7" i="1" s="1"/>
  <c r="I7" i="1" s="1"/>
  <c r="D8" i="1"/>
  <c r="F8" i="1"/>
  <c r="I8" i="1"/>
  <c r="H8" i="1"/>
  <c r="G8" i="1"/>
  <c r="E8" i="1"/>
  <c r="C8" i="1"/>
  <c r="C17" i="1" l="1"/>
  <c r="C16" i="1" s="1"/>
  <c r="D16" i="1" s="1"/>
  <c r="E16" i="1" s="1"/>
  <c r="F16" i="1" s="1"/>
  <c r="G16" i="1" s="1"/>
  <c r="H16" i="1" s="1"/>
  <c r="I16" i="1" s="1"/>
  <c r="I17" i="1"/>
  <c r="D17" i="1"/>
  <c r="H17" i="1"/>
  <c r="E17" i="1"/>
  <c r="F17" i="1"/>
  <c r="G17" i="1"/>
</calcChain>
</file>

<file path=xl/sharedStrings.xml><?xml version="1.0" encoding="utf-8"?>
<sst xmlns="http://schemas.openxmlformats.org/spreadsheetml/2006/main" count="48" uniqueCount="18">
  <si>
    <t>NOTES</t>
  </si>
  <si>
    <t>DATE DE DÉBUT</t>
  </si>
  <si>
    <t xml:space="preserve">HEURE D’ENTRÉE </t>
  </si>
  <si>
    <t>HEURE DE SORTIE</t>
  </si>
  <si>
    <t>TOTAL DES HEURES</t>
  </si>
  <si>
    <t>ACTIVITÉ</t>
  </si>
  <si>
    <t>JOURNAL DE TRAVAIL HEBDOMADAIRE - 2510 Regulation Chauffage</t>
  </si>
  <si>
    <t>Léo Mendes</t>
  </si>
  <si>
    <t>Pause</t>
  </si>
  <si>
    <t>SEMAINE 2</t>
  </si>
  <si>
    <t>SEMAINE 3</t>
  </si>
  <si>
    <t>SEMAINE 4</t>
  </si>
  <si>
    <t>SEMAINE 5</t>
  </si>
  <si>
    <t>SEMAINE 6</t>
  </si>
  <si>
    <t>TOTAL</t>
  </si>
  <si>
    <t>SEMAINE 1</t>
  </si>
  <si>
    <t>Reception Cahier des charges et consignes. 
Meeting avec M.Graf et M. Bovet.  Présenrtation du cahier des charges, questions et réponses. 
Création des documentations.
Pré-études avec schéma bloc</t>
  </si>
  <si>
    <t>Mise en place de scéance Jeudi 21 et Lundi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</si>
</sst>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m/dd/yyyy"/>
    <numFmt numFmtId="166" formatCode="[$-40C]dddd"/>
  </numFmts>
  <fonts count="10" x14ac:knownFonts="1">
    <font>
      <sz val="12"/>
      <color theme="1"/>
      <name val="Corbel"/>
      <family val="2"/>
      <scheme val="minor"/>
    </font>
    <font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26"/>
      <color theme="1" tint="0.34998626667073579"/>
      <name val="Century Gothic"/>
      <family val="2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sz val="8"/>
      <name val="Corbel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2"/>
    </font>
    <font>
      <b/>
      <sz val="11"/>
      <color theme="1"/>
      <name val="Corbe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165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20" fontId="5" fillId="4" borderId="1" xfId="0" applyNumberFormat="1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0" fontId="5" fillId="2" borderId="0" xfId="0" applyNumberFormat="1" applyFont="1" applyFill="1" applyBorder="1" applyAlignment="1">
      <alignment horizontal="center" vertical="center" wrapText="1"/>
    </xf>
    <xf numFmtId="166" fontId="7" fillId="6" borderId="3" xfId="0" applyNumberFormat="1" applyFont="1" applyFill="1" applyBorder="1" applyAlignment="1">
      <alignment horizontal="center" vertical="center" wrapText="1"/>
    </xf>
    <xf numFmtId="14" fontId="7" fillId="6" borderId="3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right" vertical="center" wrapText="1" indent="1"/>
    </xf>
    <xf numFmtId="18" fontId="5" fillId="2" borderId="3" xfId="0" applyNumberFormat="1" applyFont="1" applyFill="1" applyBorder="1" applyAlignment="1">
      <alignment horizontal="center" vertical="center" wrapText="1"/>
    </xf>
    <xf numFmtId="20" fontId="5" fillId="2" borderId="3" xfId="0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right" vertical="center" wrapText="1" indent="1"/>
    </xf>
    <xf numFmtId="20" fontId="5" fillId="4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9" fillId="5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4C523388-AF8A-8544-85BA-5907B44DF7F1}"/>
  </cellStyles>
  <dxfs count="0"/>
  <tableStyles count="0" defaultTableStyle="TableStyleMedium9" defaultPivotStyle="PivotStyleMedium7"/>
  <colors>
    <mruColors>
      <color rgb="FFEAEEF3"/>
      <color rgb="FFE1E6FF"/>
      <color rgb="FFFFFFE4"/>
      <color rgb="FFACCEED"/>
      <color rgb="FFFAF3E6"/>
      <color rgb="FFFFF2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52918</xdr:colOff>
      <xdr:row>0</xdr:row>
      <xdr:rowOff>0</xdr:rowOff>
    </xdr:from>
    <xdr:to>
      <xdr:col>1</xdr:col>
      <xdr:colOff>955416</xdr:colOff>
      <xdr:row>0</xdr:row>
      <xdr:rowOff>608542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857AA28-341D-4886-8837-D8F07237F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535" t="29713" r="29325" b="29519"/>
        <a:stretch/>
      </xdr:blipFill>
      <xdr:spPr>
        <a:xfrm>
          <a:off x="304272" y="0"/>
          <a:ext cx="902498" cy="60854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0</xdr:row>
      <xdr:rowOff>132291</xdr:rowOff>
    </xdr:from>
    <xdr:to>
      <xdr:col>7</xdr:col>
      <xdr:colOff>196011</xdr:colOff>
      <xdr:row>0</xdr:row>
      <xdr:rowOff>541923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48B4017-7540-4A20-ACAF-C2AA6419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2292" y="132291"/>
          <a:ext cx="1571844" cy="409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Depth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Depth">
      <a:maj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AF59"/>
  <sheetViews>
    <sheetView showGridLines="0" tabSelected="1" zoomScale="55" zoomScaleNormal="55" workbookViewId="0">
      <pane ySplit="1" topLeftCell="A2" activePane="bottomLeft" state="frozen"/>
      <selection pane="bottomLeft" activeCell="D13" sqref="D13"/>
    </sheetView>
  </sheetViews>
  <sheetFormatPr baseColWidth="10" defaultColWidth="10.625" defaultRowHeight="15.75" x14ac:dyDescent="0.25"/>
  <cols>
    <col min="1" max="1" width="3.375" customWidth="1"/>
    <col min="2" max="2" width="30.375" customWidth="1"/>
    <col min="3" max="3" width="30.625" customWidth="1"/>
    <col min="4" max="4" width="37.875" customWidth="1"/>
    <col min="5" max="5" width="45" customWidth="1"/>
    <col min="6" max="9" width="30.625" customWidth="1"/>
    <col min="10" max="10" width="29" customWidth="1"/>
  </cols>
  <sheetData>
    <row r="1" spans="1:32" ht="51" customHeight="1" x14ac:dyDescent="0.25">
      <c r="A1" s="26" t="s">
        <v>6</v>
      </c>
      <c r="B1" s="26"/>
      <c r="C1" s="26"/>
      <c r="D1" s="26"/>
      <c r="E1" s="26"/>
      <c r="F1" s="26"/>
      <c r="G1" s="26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51" customHeight="1" x14ac:dyDescent="0.25">
      <c r="B2" s="13" t="s">
        <v>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5" customFormat="1" ht="11.25" customHeight="1" thickBot="1" x14ac:dyDescent="0.3">
      <c r="B3" s="29"/>
      <c r="C3" s="29"/>
      <c r="D3" s="29"/>
      <c r="E3" s="29"/>
      <c r="F3" s="29"/>
      <c r="G3" s="6"/>
      <c r="H3" s="6"/>
      <c r="I3" s="6"/>
    </row>
    <row r="4" spans="1:32" s="3" customFormat="1" ht="33" customHeight="1" thickTop="1" x14ac:dyDescent="0.25">
      <c r="B4" s="27" t="s">
        <v>1</v>
      </c>
      <c r="C4" s="27"/>
      <c r="D4" s="23" t="s">
        <v>15</v>
      </c>
      <c r="E4" s="23" t="s">
        <v>9</v>
      </c>
      <c r="F4" s="23" t="s">
        <v>10</v>
      </c>
      <c r="G4" s="23" t="s">
        <v>11</v>
      </c>
      <c r="H4" s="23" t="s">
        <v>12</v>
      </c>
      <c r="I4" s="23" t="s">
        <v>13</v>
      </c>
      <c r="J4" s="23" t="s">
        <v>14</v>
      </c>
    </row>
    <row r="5" spans="1:32" s="4" customFormat="1" ht="30" customHeight="1" x14ac:dyDescent="0.25">
      <c r="B5" s="28">
        <v>45887</v>
      </c>
      <c r="C5" s="28"/>
      <c r="D5" s="11">
        <f>SUM(C12:I12)</f>
        <v>0.60416666666666663</v>
      </c>
      <c r="E5" s="12">
        <f>SUM(C21:I21)</f>
        <v>0</v>
      </c>
      <c r="F5" s="12">
        <f>SUM(D30:I30)</f>
        <v>0</v>
      </c>
      <c r="G5" s="12">
        <f>SUM(D39:I39)</f>
        <v>0</v>
      </c>
      <c r="H5" s="12">
        <f>SUM(D48:I48)</f>
        <v>0</v>
      </c>
      <c r="I5" s="12">
        <f>SUM(D57:I57)</f>
        <v>0</v>
      </c>
      <c r="J5" s="12">
        <f>SUM(D5:I5)</f>
        <v>0.60416666666666663</v>
      </c>
      <c r="K5" s="3"/>
    </row>
    <row r="6" spans="1:32" s="4" customFormat="1" ht="15" customHeight="1" x14ac:dyDescent="0.25">
      <c r="B6" s="7"/>
      <c r="C6" s="7"/>
      <c r="D6" s="7"/>
      <c r="E6" s="7"/>
      <c r="F6" s="8"/>
      <c r="G6" s="9"/>
    </row>
    <row r="7" spans="1:32" s="4" customFormat="1" ht="21" customHeight="1" x14ac:dyDescent="0.25">
      <c r="B7" s="25">
        <v>1</v>
      </c>
      <c r="C7" s="15">
        <f>B5</f>
        <v>45887</v>
      </c>
      <c r="D7" s="15">
        <f>C7+1</f>
        <v>45888</v>
      </c>
      <c r="E7" s="15">
        <f t="shared" ref="E7:I7" si="0">D7+1</f>
        <v>45889</v>
      </c>
      <c r="F7" s="15">
        <f t="shared" si="0"/>
        <v>45890</v>
      </c>
      <c r="G7" s="15">
        <f t="shared" si="0"/>
        <v>45891</v>
      </c>
      <c r="H7" s="15">
        <f t="shared" si="0"/>
        <v>45892</v>
      </c>
      <c r="I7" s="15">
        <f t="shared" si="0"/>
        <v>45893</v>
      </c>
    </row>
    <row r="8" spans="1:32" ht="21" customHeight="1" x14ac:dyDescent="0.25">
      <c r="B8" s="25"/>
      <c r="C8" s="16">
        <f>B5</f>
        <v>45887</v>
      </c>
      <c r="D8" s="16">
        <f>B5+1</f>
        <v>45888</v>
      </c>
      <c r="E8" s="16">
        <f>B5+2</f>
        <v>45889</v>
      </c>
      <c r="F8" s="16">
        <f>B5+3</f>
        <v>45890</v>
      </c>
      <c r="G8" s="16">
        <f>B5+4</f>
        <v>45891</v>
      </c>
      <c r="H8" s="16">
        <f>B5+5</f>
        <v>45892</v>
      </c>
      <c r="I8" s="16">
        <f>B5+6</f>
        <v>45893</v>
      </c>
    </row>
    <row r="9" spans="1:32" ht="30" customHeight="1" x14ac:dyDescent="0.25">
      <c r="B9" s="17" t="s">
        <v>2</v>
      </c>
      <c r="C9" s="18">
        <v>0.41666666666666669</v>
      </c>
      <c r="D9" s="18">
        <v>0.33333333333333331</v>
      </c>
      <c r="E9" s="18"/>
      <c r="F9" s="18"/>
      <c r="G9" s="18"/>
      <c r="H9" s="18"/>
      <c r="I9" s="18"/>
    </row>
    <row r="10" spans="1:32" ht="30" customHeight="1" x14ac:dyDescent="0.25">
      <c r="B10" s="17" t="s">
        <v>3</v>
      </c>
      <c r="C10" s="18">
        <v>0.72916666666666663</v>
      </c>
      <c r="D10" s="18">
        <v>0.70833333333333337</v>
      </c>
      <c r="E10" s="18"/>
      <c r="F10" s="18"/>
      <c r="G10" s="18"/>
      <c r="H10" s="18"/>
      <c r="I10" s="18"/>
    </row>
    <row r="11" spans="1:32" ht="30" customHeight="1" x14ac:dyDescent="0.25">
      <c r="B11" s="17" t="s">
        <v>8</v>
      </c>
      <c r="C11" s="19">
        <v>4.1666666666666664E-2</v>
      </c>
      <c r="D11" s="19">
        <v>4.1666666666666664E-2</v>
      </c>
      <c r="E11" s="19"/>
      <c r="F11" s="19"/>
      <c r="G11" s="19"/>
      <c r="H11" s="19"/>
      <c r="I11" s="19"/>
      <c r="J11" s="14"/>
    </row>
    <row r="12" spans="1:32" ht="30" customHeight="1" x14ac:dyDescent="0.25">
      <c r="B12" s="20" t="s">
        <v>4</v>
      </c>
      <c r="C12" s="21">
        <f>C10-C9-C11</f>
        <v>0.27083333333333326</v>
      </c>
      <c r="D12" s="21">
        <f>D10-D9-D11</f>
        <v>0.33333333333333337</v>
      </c>
      <c r="E12" s="21">
        <f t="shared" ref="D12:I12" si="1">E10-E9-E11</f>
        <v>0</v>
      </c>
      <c r="F12" s="21">
        <f t="shared" si="1"/>
        <v>0</v>
      </c>
      <c r="G12" s="21">
        <f t="shared" si="1"/>
        <v>0</v>
      </c>
      <c r="H12" s="21">
        <f t="shared" si="1"/>
        <v>0</v>
      </c>
      <c r="I12" s="21">
        <f t="shared" si="1"/>
        <v>0</v>
      </c>
    </row>
    <row r="13" spans="1:32" ht="157.5" customHeight="1" x14ac:dyDescent="0.25">
      <c r="B13" s="17" t="s">
        <v>5</v>
      </c>
      <c r="C13" s="24" t="s">
        <v>16</v>
      </c>
      <c r="D13" s="22"/>
      <c r="E13" s="22"/>
      <c r="F13" s="22"/>
      <c r="G13" s="22"/>
      <c r="H13" s="22"/>
      <c r="I13" s="22"/>
    </row>
    <row r="14" spans="1:32" ht="76.150000000000006" customHeight="1" x14ac:dyDescent="0.25">
      <c r="B14" s="17" t="s">
        <v>0</v>
      </c>
      <c r="C14" s="22" t="s">
        <v>17</v>
      </c>
      <c r="D14" s="22"/>
      <c r="E14" s="22"/>
      <c r="F14" s="22"/>
      <c r="G14" s="22"/>
      <c r="H14" s="22"/>
      <c r="I14" s="22"/>
    </row>
    <row r="15" spans="1:32" ht="16.5" x14ac:dyDescent="0.25">
      <c r="C15" s="10"/>
      <c r="D15" s="10"/>
      <c r="E15" s="10"/>
      <c r="F15" s="10"/>
      <c r="G15" s="10"/>
      <c r="H15" s="10"/>
      <c r="I15" s="10"/>
    </row>
    <row r="16" spans="1:32" s="4" customFormat="1" ht="21" customHeight="1" x14ac:dyDescent="0.25">
      <c r="B16" s="25">
        <v>2</v>
      </c>
      <c r="C16" s="15">
        <f>C17</f>
        <v>45894</v>
      </c>
      <c r="D16" s="15">
        <f>C16+1</f>
        <v>45895</v>
      </c>
      <c r="E16" s="15">
        <f t="shared" ref="E16:I16" si="2">D16+1</f>
        <v>45896</v>
      </c>
      <c r="F16" s="15">
        <f t="shared" si="2"/>
        <v>45897</v>
      </c>
      <c r="G16" s="15">
        <f t="shared" si="2"/>
        <v>45898</v>
      </c>
      <c r="H16" s="15">
        <f t="shared" si="2"/>
        <v>45899</v>
      </c>
      <c r="I16" s="15">
        <f t="shared" si="2"/>
        <v>45900</v>
      </c>
    </row>
    <row r="17" spans="2:10" ht="21" customHeight="1" x14ac:dyDescent="0.25">
      <c r="B17" s="25"/>
      <c r="C17" s="16">
        <f>I8+1</f>
        <v>45894</v>
      </c>
      <c r="D17" s="16">
        <f>I8+2</f>
        <v>45895</v>
      </c>
      <c r="E17" s="16">
        <f>I8+3</f>
        <v>45896</v>
      </c>
      <c r="F17" s="16">
        <f>I8+4</f>
        <v>45897</v>
      </c>
      <c r="G17" s="16">
        <f>I8+5</f>
        <v>45898</v>
      </c>
      <c r="H17" s="16">
        <f>I8+6</f>
        <v>45899</v>
      </c>
      <c r="I17" s="16">
        <f>I8+7</f>
        <v>45900</v>
      </c>
    </row>
    <row r="18" spans="2:10" ht="30" customHeight="1" x14ac:dyDescent="0.25">
      <c r="B18" s="17" t="s">
        <v>2</v>
      </c>
      <c r="C18" s="18"/>
      <c r="D18" s="18"/>
      <c r="E18" s="18"/>
      <c r="F18" s="18"/>
      <c r="G18" s="18"/>
      <c r="H18" s="18"/>
      <c r="I18" s="18"/>
    </row>
    <row r="19" spans="2:10" ht="30" customHeight="1" x14ac:dyDescent="0.25">
      <c r="B19" s="17" t="s">
        <v>3</v>
      </c>
      <c r="C19" s="18"/>
      <c r="D19" s="18"/>
      <c r="E19" s="18"/>
      <c r="F19" s="18"/>
      <c r="G19" s="18"/>
      <c r="H19" s="18"/>
      <c r="I19" s="18"/>
    </row>
    <row r="20" spans="2:10" ht="30" customHeight="1" x14ac:dyDescent="0.25">
      <c r="B20" s="17" t="s">
        <v>8</v>
      </c>
      <c r="C20" s="19"/>
      <c r="D20" s="19"/>
      <c r="E20" s="19"/>
      <c r="F20" s="19"/>
      <c r="G20" s="19"/>
      <c r="H20" s="19"/>
      <c r="I20" s="19"/>
      <c r="J20" s="14"/>
    </row>
    <row r="21" spans="2:10" ht="30" customHeight="1" x14ac:dyDescent="0.25">
      <c r="B21" s="20" t="s">
        <v>4</v>
      </c>
      <c r="C21" s="21">
        <f>C19-C18-C20</f>
        <v>0</v>
      </c>
      <c r="D21" s="21">
        <f>D19-D18-D20</f>
        <v>0</v>
      </c>
      <c r="E21" s="21">
        <f t="shared" ref="E21:I21" si="3">E19-E18-E20</f>
        <v>0</v>
      </c>
      <c r="F21" s="21">
        <f t="shared" si="3"/>
        <v>0</v>
      </c>
      <c r="G21" s="21">
        <f t="shared" si="3"/>
        <v>0</v>
      </c>
      <c r="H21" s="21">
        <f t="shared" si="3"/>
        <v>0</v>
      </c>
      <c r="I21" s="21">
        <f t="shared" si="3"/>
        <v>0</v>
      </c>
    </row>
    <row r="22" spans="2:10" ht="76.150000000000006" customHeight="1" x14ac:dyDescent="0.25">
      <c r="B22" s="17" t="s">
        <v>5</v>
      </c>
      <c r="C22" s="22"/>
      <c r="D22" s="22"/>
      <c r="E22" s="22"/>
      <c r="F22" s="22"/>
      <c r="G22" s="22"/>
      <c r="H22" s="22"/>
      <c r="I22" s="22"/>
    </row>
    <row r="23" spans="2:10" ht="76.150000000000006" customHeight="1" x14ac:dyDescent="0.25">
      <c r="B23" s="17" t="s">
        <v>0</v>
      </c>
      <c r="C23" s="22"/>
      <c r="D23" s="22"/>
      <c r="E23" s="22"/>
      <c r="F23" s="22"/>
      <c r="G23" s="22"/>
      <c r="H23" s="22"/>
      <c r="I23" s="22"/>
    </row>
    <row r="24" spans="2:10" ht="10.15" customHeight="1" x14ac:dyDescent="0.25"/>
    <row r="25" spans="2:10" ht="17.25" customHeight="1" x14ac:dyDescent="0.25">
      <c r="B25" s="25">
        <v>3</v>
      </c>
      <c r="C25" s="15">
        <f>C26</f>
        <v>45901</v>
      </c>
      <c r="D25" s="15">
        <f>C25+1</f>
        <v>45902</v>
      </c>
      <c r="E25" s="15">
        <f t="shared" ref="E25" si="4">D25+1</f>
        <v>45903</v>
      </c>
      <c r="F25" s="15">
        <f t="shared" ref="F25" si="5">E25+1</f>
        <v>45904</v>
      </c>
      <c r="G25" s="15">
        <f t="shared" ref="G25" si="6">F25+1</f>
        <v>45905</v>
      </c>
      <c r="H25" s="15">
        <f t="shared" ref="H25" si="7">G25+1</f>
        <v>45906</v>
      </c>
      <c r="I25" s="15">
        <f t="shared" ref="I25" si="8">H25+1</f>
        <v>45907</v>
      </c>
    </row>
    <row r="26" spans="2:10" x14ac:dyDescent="0.25">
      <c r="B26" s="25"/>
      <c r="C26" s="16">
        <f>I17+1</f>
        <v>45901</v>
      </c>
      <c r="D26" s="16">
        <f>I17+2</f>
        <v>45902</v>
      </c>
      <c r="E26" s="16">
        <f>I17+3</f>
        <v>45903</v>
      </c>
      <c r="F26" s="16">
        <f>I17+4</f>
        <v>45904</v>
      </c>
      <c r="G26" s="16">
        <f>I17+5</f>
        <v>45905</v>
      </c>
      <c r="H26" s="16">
        <f>I17+6</f>
        <v>45906</v>
      </c>
      <c r="I26" s="16">
        <f>I17+7</f>
        <v>45907</v>
      </c>
    </row>
    <row r="27" spans="2:10" ht="17.25" x14ac:dyDescent="0.25">
      <c r="B27" s="17" t="s">
        <v>2</v>
      </c>
      <c r="C27" s="18"/>
      <c r="D27" s="18"/>
      <c r="E27" s="18"/>
      <c r="F27" s="18"/>
      <c r="G27" s="18"/>
      <c r="H27" s="18"/>
      <c r="I27" s="18"/>
    </row>
    <row r="28" spans="2:10" ht="17.25" x14ac:dyDescent="0.25">
      <c r="B28" s="17" t="s">
        <v>3</v>
      </c>
      <c r="C28" s="18"/>
      <c r="D28" s="18"/>
      <c r="E28" s="18"/>
      <c r="F28" s="18"/>
      <c r="G28" s="18"/>
      <c r="H28" s="18"/>
      <c r="I28" s="18"/>
    </row>
    <row r="29" spans="2:10" ht="17.25" x14ac:dyDescent="0.25">
      <c r="B29" s="17" t="s">
        <v>8</v>
      </c>
      <c r="C29" s="19"/>
      <c r="D29" s="19"/>
      <c r="E29" s="19"/>
      <c r="F29" s="19"/>
      <c r="G29" s="19"/>
      <c r="H29" s="19"/>
      <c r="I29" s="19"/>
    </row>
    <row r="30" spans="2:10" ht="16.5" x14ac:dyDescent="0.25">
      <c r="B30" s="20" t="s">
        <v>4</v>
      </c>
      <c r="C30" s="21">
        <f>C28-C27-C29</f>
        <v>0</v>
      </c>
      <c r="D30" s="21">
        <f>D28-D27-D29</f>
        <v>0</v>
      </c>
      <c r="E30" s="21">
        <f t="shared" ref="E30" si="9">E28-E27-E29</f>
        <v>0</v>
      </c>
      <c r="F30" s="21">
        <f t="shared" ref="F30" si="10">F28-F27-F29</f>
        <v>0</v>
      </c>
      <c r="G30" s="21">
        <f t="shared" ref="G30" si="11">G28-G27-G29</f>
        <v>0</v>
      </c>
      <c r="H30" s="21">
        <f t="shared" ref="H30" si="12">H28-H27-H29</f>
        <v>0</v>
      </c>
      <c r="I30" s="21">
        <f t="shared" ref="I30" si="13">I28-I27-I29</f>
        <v>0</v>
      </c>
    </row>
    <row r="31" spans="2:10" ht="66" customHeight="1" x14ac:dyDescent="0.25">
      <c r="B31" s="17" t="s">
        <v>5</v>
      </c>
      <c r="C31" s="22"/>
      <c r="D31" s="22"/>
      <c r="E31" s="22"/>
      <c r="F31" s="22"/>
      <c r="G31" s="22"/>
      <c r="H31" s="22"/>
      <c r="I31" s="22"/>
    </row>
    <row r="32" spans="2:10" ht="93" customHeight="1" x14ac:dyDescent="0.25">
      <c r="B32" s="17" t="s">
        <v>0</v>
      </c>
      <c r="C32" s="22"/>
      <c r="D32" s="22"/>
      <c r="E32" s="22"/>
      <c r="F32" s="22"/>
      <c r="G32" s="22"/>
      <c r="H32" s="22"/>
      <c r="I32" s="22"/>
    </row>
    <row r="34" spans="2:9" ht="17.25" customHeight="1" x14ac:dyDescent="0.25">
      <c r="B34" s="25">
        <v>4</v>
      </c>
      <c r="C34" s="15">
        <f>C35</f>
        <v>45908</v>
      </c>
      <c r="D34" s="15">
        <f>C34+1</f>
        <v>45909</v>
      </c>
      <c r="E34" s="15">
        <f t="shared" ref="E34" si="14">D34+1</f>
        <v>45910</v>
      </c>
      <c r="F34" s="15">
        <f t="shared" ref="F34" si="15">E34+1</f>
        <v>45911</v>
      </c>
      <c r="G34" s="15">
        <f t="shared" ref="G34" si="16">F34+1</f>
        <v>45912</v>
      </c>
      <c r="H34" s="15">
        <f t="shared" ref="H34" si="17">G34+1</f>
        <v>45913</v>
      </c>
      <c r="I34" s="15">
        <f t="shared" ref="I34" si="18">H34+1</f>
        <v>45914</v>
      </c>
    </row>
    <row r="35" spans="2:9" x14ac:dyDescent="0.25">
      <c r="B35" s="25"/>
      <c r="C35" s="16">
        <f>I26+1</f>
        <v>45908</v>
      </c>
      <c r="D35" s="16">
        <f>I26+2</f>
        <v>45909</v>
      </c>
      <c r="E35" s="16">
        <f>I26+3</f>
        <v>45910</v>
      </c>
      <c r="F35" s="16">
        <f>I26+4</f>
        <v>45911</v>
      </c>
      <c r="G35" s="16">
        <f>I26+5</f>
        <v>45912</v>
      </c>
      <c r="H35" s="16">
        <f>I26+6</f>
        <v>45913</v>
      </c>
      <c r="I35" s="16">
        <f>I26+7</f>
        <v>45914</v>
      </c>
    </row>
    <row r="36" spans="2:9" ht="17.25" x14ac:dyDescent="0.25">
      <c r="B36" s="17" t="s">
        <v>2</v>
      </c>
      <c r="C36" s="18"/>
      <c r="D36" s="18"/>
      <c r="E36" s="18"/>
      <c r="F36" s="18"/>
      <c r="G36" s="18"/>
      <c r="H36" s="18"/>
      <c r="I36" s="18"/>
    </row>
    <row r="37" spans="2:9" ht="17.25" x14ac:dyDescent="0.25">
      <c r="B37" s="17" t="s">
        <v>3</v>
      </c>
      <c r="C37" s="18"/>
      <c r="D37" s="18"/>
      <c r="E37" s="18"/>
      <c r="F37" s="18"/>
      <c r="G37" s="18"/>
      <c r="H37" s="18"/>
      <c r="I37" s="18"/>
    </row>
    <row r="38" spans="2:9" ht="17.25" x14ac:dyDescent="0.25">
      <c r="B38" s="17" t="s">
        <v>8</v>
      </c>
      <c r="C38" s="19"/>
      <c r="D38" s="19"/>
      <c r="E38" s="19"/>
      <c r="F38" s="19"/>
      <c r="G38" s="19"/>
      <c r="H38" s="19"/>
      <c r="I38" s="19"/>
    </row>
    <row r="39" spans="2:9" ht="16.5" x14ac:dyDescent="0.25">
      <c r="B39" s="20" t="s">
        <v>4</v>
      </c>
      <c r="C39" s="21">
        <f>C37-C36-C38</f>
        <v>0</v>
      </c>
      <c r="D39" s="21">
        <f>D37-D36-D38</f>
        <v>0</v>
      </c>
      <c r="E39" s="21">
        <f t="shared" ref="E39" si="19">E37-E36-E38</f>
        <v>0</v>
      </c>
      <c r="F39" s="21">
        <f t="shared" ref="F39" si="20">F37-F36-F38</f>
        <v>0</v>
      </c>
      <c r="G39" s="21">
        <f t="shared" ref="G39" si="21">G37-G36-G38</f>
        <v>0</v>
      </c>
      <c r="H39" s="21">
        <f t="shared" ref="H39" si="22">H37-H36-H38</f>
        <v>0</v>
      </c>
      <c r="I39" s="21">
        <f t="shared" ref="I39" si="23">I37-I36-I38</f>
        <v>0</v>
      </c>
    </row>
    <row r="40" spans="2:9" ht="73.5" customHeight="1" x14ac:dyDescent="0.25">
      <c r="B40" s="17" t="s">
        <v>5</v>
      </c>
      <c r="C40" s="22"/>
      <c r="D40" s="22"/>
      <c r="E40" s="22"/>
      <c r="F40" s="22"/>
      <c r="G40" s="22"/>
      <c r="H40" s="22"/>
      <c r="I40" s="22"/>
    </row>
    <row r="41" spans="2:9" ht="76.5" customHeight="1" x14ac:dyDescent="0.25">
      <c r="B41" s="17" t="s">
        <v>0</v>
      </c>
      <c r="C41" s="22"/>
      <c r="D41" s="22"/>
      <c r="E41" s="22"/>
      <c r="F41" s="22"/>
      <c r="G41" s="22"/>
      <c r="H41" s="22"/>
      <c r="I41" s="22"/>
    </row>
    <row r="43" spans="2:9" ht="17.25" customHeight="1" x14ac:dyDescent="0.25">
      <c r="B43" s="25">
        <v>5</v>
      </c>
      <c r="C43" s="15">
        <f>C44</f>
        <v>45915</v>
      </c>
      <c r="D43" s="15">
        <f>C43+1</f>
        <v>45916</v>
      </c>
      <c r="E43" s="15">
        <f t="shared" ref="E43" si="24">D43+1</f>
        <v>45917</v>
      </c>
      <c r="F43" s="15">
        <f t="shared" ref="F43" si="25">E43+1</f>
        <v>45918</v>
      </c>
      <c r="G43" s="15">
        <f t="shared" ref="G43" si="26">F43+1</f>
        <v>45919</v>
      </c>
      <c r="H43" s="15">
        <f t="shared" ref="H43" si="27">G43+1</f>
        <v>45920</v>
      </c>
      <c r="I43" s="15">
        <f t="shared" ref="I43" si="28">H43+1</f>
        <v>45921</v>
      </c>
    </row>
    <row r="44" spans="2:9" x14ac:dyDescent="0.25">
      <c r="B44" s="25"/>
      <c r="C44" s="16">
        <f>I35+1</f>
        <v>45915</v>
      </c>
      <c r="D44" s="16">
        <f>I35+2</f>
        <v>45916</v>
      </c>
      <c r="E44" s="16">
        <f>I35+3</f>
        <v>45917</v>
      </c>
      <c r="F44" s="16">
        <f>I35+4</f>
        <v>45918</v>
      </c>
      <c r="G44" s="16">
        <f>I35+5</f>
        <v>45919</v>
      </c>
      <c r="H44" s="16">
        <f>I35+6</f>
        <v>45920</v>
      </c>
      <c r="I44" s="16">
        <f>I35+7</f>
        <v>45921</v>
      </c>
    </row>
    <row r="45" spans="2:9" ht="17.25" x14ac:dyDescent="0.25">
      <c r="B45" s="17" t="s">
        <v>2</v>
      </c>
      <c r="C45" s="18"/>
      <c r="D45" s="18"/>
      <c r="E45" s="18"/>
      <c r="F45" s="18"/>
      <c r="G45" s="18"/>
      <c r="H45" s="18"/>
      <c r="I45" s="18"/>
    </row>
    <row r="46" spans="2:9" ht="17.25" x14ac:dyDescent="0.25">
      <c r="B46" s="17" t="s">
        <v>3</v>
      </c>
      <c r="C46" s="18"/>
      <c r="D46" s="18"/>
      <c r="E46" s="18"/>
      <c r="F46" s="18"/>
      <c r="G46" s="18"/>
      <c r="H46" s="18"/>
      <c r="I46" s="18"/>
    </row>
    <row r="47" spans="2:9" ht="17.25" x14ac:dyDescent="0.25">
      <c r="B47" s="17" t="s">
        <v>8</v>
      </c>
      <c r="C47" s="19"/>
      <c r="D47" s="19"/>
      <c r="E47" s="19"/>
      <c r="F47" s="19"/>
      <c r="G47" s="19"/>
      <c r="H47" s="19"/>
      <c r="I47" s="19"/>
    </row>
    <row r="48" spans="2:9" ht="16.5" x14ac:dyDescent="0.25">
      <c r="B48" s="20" t="s">
        <v>4</v>
      </c>
      <c r="C48" s="21">
        <f>C46-C45-C47</f>
        <v>0</v>
      </c>
      <c r="D48" s="21">
        <f>D46-D45-D47</f>
        <v>0</v>
      </c>
      <c r="E48" s="21">
        <f t="shared" ref="E48" si="29">E46-E45-E47</f>
        <v>0</v>
      </c>
      <c r="F48" s="21">
        <f t="shared" ref="F48" si="30">F46-F45-F47</f>
        <v>0</v>
      </c>
      <c r="G48" s="21">
        <f t="shared" ref="G48" si="31">G46-G45-G47</f>
        <v>0</v>
      </c>
      <c r="H48" s="21">
        <f t="shared" ref="H48" si="32">H46-H45-H47</f>
        <v>0</v>
      </c>
      <c r="I48" s="21">
        <f t="shared" ref="I48" si="33">I46-I45-I47</f>
        <v>0</v>
      </c>
    </row>
    <row r="49" spans="2:9" ht="60.75" customHeight="1" x14ac:dyDescent="0.25">
      <c r="B49" s="17" t="s">
        <v>5</v>
      </c>
      <c r="C49" s="22"/>
      <c r="D49" s="22"/>
      <c r="E49" s="22"/>
      <c r="F49" s="22"/>
      <c r="G49" s="22"/>
      <c r="H49" s="22"/>
      <c r="I49" s="22"/>
    </row>
    <row r="50" spans="2:9" ht="69.75" customHeight="1" x14ac:dyDescent="0.25">
      <c r="B50" s="17" t="s">
        <v>0</v>
      </c>
      <c r="C50" s="22"/>
      <c r="D50" s="22"/>
      <c r="E50" s="22"/>
      <c r="F50" s="22"/>
      <c r="G50" s="22"/>
      <c r="H50" s="22"/>
      <c r="I50" s="22"/>
    </row>
    <row r="52" spans="2:9" ht="17.25" customHeight="1" x14ac:dyDescent="0.25">
      <c r="B52" s="25">
        <v>6</v>
      </c>
      <c r="C52" s="15">
        <f>C53</f>
        <v>45922</v>
      </c>
      <c r="D52" s="15">
        <f>C52+1</f>
        <v>45923</v>
      </c>
      <c r="E52" s="15">
        <f t="shared" ref="E52" si="34">D52+1</f>
        <v>45924</v>
      </c>
      <c r="F52" s="15">
        <f t="shared" ref="F52" si="35">E52+1</f>
        <v>45925</v>
      </c>
      <c r="G52" s="15">
        <f t="shared" ref="G52" si="36">F52+1</f>
        <v>45926</v>
      </c>
      <c r="H52" s="15">
        <f t="shared" ref="H52" si="37">G52+1</f>
        <v>45927</v>
      </c>
      <c r="I52" s="15">
        <f t="shared" ref="I52" si="38">H52+1</f>
        <v>45928</v>
      </c>
    </row>
    <row r="53" spans="2:9" x14ac:dyDescent="0.25">
      <c r="B53" s="25"/>
      <c r="C53" s="16">
        <f>I44+1</f>
        <v>45922</v>
      </c>
      <c r="D53" s="16">
        <f>I44+2</f>
        <v>45923</v>
      </c>
      <c r="E53" s="16">
        <f>I44+3</f>
        <v>45924</v>
      </c>
      <c r="F53" s="16">
        <f>I44+4</f>
        <v>45925</v>
      </c>
      <c r="G53" s="16">
        <f>I44+5</f>
        <v>45926</v>
      </c>
      <c r="H53" s="16">
        <f>I44+6</f>
        <v>45927</v>
      </c>
      <c r="I53" s="16">
        <f>I44+7</f>
        <v>45928</v>
      </c>
    </row>
    <row r="54" spans="2:9" ht="17.25" x14ac:dyDescent="0.25">
      <c r="B54" s="17" t="s">
        <v>2</v>
      </c>
      <c r="C54" s="18"/>
      <c r="D54" s="18"/>
      <c r="E54" s="18"/>
      <c r="F54" s="18"/>
      <c r="G54" s="18"/>
      <c r="H54" s="18"/>
      <c r="I54" s="18"/>
    </row>
    <row r="55" spans="2:9" ht="17.25" x14ac:dyDescent="0.25">
      <c r="B55" s="17" t="s">
        <v>3</v>
      </c>
      <c r="C55" s="18"/>
      <c r="D55" s="18"/>
      <c r="E55" s="18"/>
      <c r="F55" s="18"/>
      <c r="G55" s="18"/>
      <c r="H55" s="18"/>
      <c r="I55" s="18"/>
    </row>
    <row r="56" spans="2:9" ht="17.25" x14ac:dyDescent="0.25">
      <c r="B56" s="17" t="s">
        <v>8</v>
      </c>
      <c r="C56" s="19"/>
      <c r="D56" s="19"/>
      <c r="E56" s="19"/>
      <c r="F56" s="19"/>
      <c r="G56" s="19"/>
      <c r="H56" s="19"/>
      <c r="I56" s="19"/>
    </row>
    <row r="57" spans="2:9" ht="16.5" x14ac:dyDescent="0.25">
      <c r="B57" s="20" t="s">
        <v>4</v>
      </c>
      <c r="C57" s="21">
        <f>C55-C54-C56</f>
        <v>0</v>
      </c>
      <c r="D57" s="21">
        <f>D55-D54-D56</f>
        <v>0</v>
      </c>
      <c r="E57" s="21">
        <f t="shared" ref="E57" si="39">E55-E54-E56</f>
        <v>0</v>
      </c>
      <c r="F57" s="21">
        <f t="shared" ref="F57" si="40">F55-F54-F56</f>
        <v>0</v>
      </c>
      <c r="G57" s="21">
        <f t="shared" ref="G57" si="41">G55-G54-G56</f>
        <v>0</v>
      </c>
      <c r="H57" s="21">
        <f t="shared" ref="H57" si="42">H55-H54-H56</f>
        <v>0</v>
      </c>
      <c r="I57" s="21">
        <f t="shared" ref="I57" si="43">I55-I54-I56</f>
        <v>0</v>
      </c>
    </row>
    <row r="58" spans="2:9" ht="69" customHeight="1" x14ac:dyDescent="0.25">
      <c r="B58" s="17" t="s">
        <v>5</v>
      </c>
      <c r="C58" s="22"/>
      <c r="D58" s="22"/>
      <c r="E58" s="22"/>
      <c r="F58" s="22"/>
      <c r="G58" s="22"/>
      <c r="H58" s="22"/>
      <c r="I58" s="22"/>
    </row>
    <row r="59" spans="2:9" ht="74.25" customHeight="1" x14ac:dyDescent="0.25">
      <c r="B59" s="17" t="s">
        <v>0</v>
      </c>
      <c r="C59" s="22"/>
      <c r="D59" s="22"/>
      <c r="E59" s="22"/>
      <c r="F59" s="22"/>
      <c r="G59" s="22"/>
      <c r="H59" s="22"/>
      <c r="I59" s="22"/>
    </row>
  </sheetData>
  <mergeCells count="10">
    <mergeCell ref="B43:B44"/>
    <mergeCell ref="B52:B53"/>
    <mergeCell ref="A1:G1"/>
    <mergeCell ref="B7:B8"/>
    <mergeCell ref="B16:B17"/>
    <mergeCell ref="B25:B26"/>
    <mergeCell ref="B34:B35"/>
    <mergeCell ref="B4:C4"/>
    <mergeCell ref="B5:C5"/>
    <mergeCell ref="B3:F3"/>
  </mergeCells>
  <phoneticPr fontId="6" type="noConversion"/>
  <printOptions horizontalCentered="1" verticalCentered="1"/>
  <pageMargins left="0.3" right="0.3" top="0.3" bottom="0.3" header="0" footer="0"/>
  <pageSetup paperSize="3" fitToHeight="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 de travail hebdomadaire</vt:lpstr>
      <vt:lpstr>'Journal de travail hebdomadaire'!Zone_d_impression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Léo Mendes</cp:lastModifiedBy>
  <dcterms:created xsi:type="dcterms:W3CDTF">2016-04-14T06:00:05Z</dcterms:created>
  <dcterms:modified xsi:type="dcterms:W3CDTF">2025-08-19T07:48:15Z</dcterms:modified>
</cp:coreProperties>
</file>