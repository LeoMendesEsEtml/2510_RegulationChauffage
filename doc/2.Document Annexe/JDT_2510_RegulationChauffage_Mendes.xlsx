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299" documentId="8_{4277F192-9065-4C14-9BEA-4A138BE84FE7}" xr6:coauthVersionLast="45" xr6:coauthVersionMax="47" xr10:uidLastSave="{5C0435DE-F79B-4EB9-8D72-D96CBC6DC549}"/>
  <bookViews>
    <workbookView xWindow="-12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2" i="1" l="1"/>
  <c r="I5" i="1" l="1"/>
  <c r="H5" i="1"/>
  <c r="G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F5" i="1" s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D5" i="1" s="1"/>
  <c r="C12" i="1"/>
  <c r="E5" i="1" l="1"/>
  <c r="J5" i="1" s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<sst xmlns="http://schemas.openxmlformats.org/spreadsheetml/2006/main" count="69" uniqueCount="39">
  <si>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</si>
  <si>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</si>
  <si>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</si>
  <si>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</si>
  <si>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</si>
  <si>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</si>
  <si>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</si>
  <si>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</si>
  <si>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</si>
  <si>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</si>
  <si>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</si>
  <si>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</si>
  <si>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</si>
  <si>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</si>
  <si>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</si>
  <si>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</si>
  <si>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</si>
  <si>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</si>
  <si>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</si>
  <si>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</si>
  <si>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</si>
  <si>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</si>
  <si>
    <t>Fin recherche composant ADC
Dimensionnement ADC
Dimensionnement et ajout des I/O du CM5
Ajout de l'USB
Meeting de design avec retour sur les différents éléments</t>
  </si>
  <si>
    <t>ADC prix ok
Ajout USB pour programmation 
Ethernet en 2 paires 
Passage du relais sur carte fille</t>
  </si>
  <si>
    <t>Design carte fille
Ajout des relais
Recherche solution pour le mux
Ajout des réseau de résistance
Début rapport
Création PV 22.08.2025</t>
  </si>
  <si>
    <t xml:space="preserve">Solution MUX complex, influence de la résitance interne sur le réseau. </t>
  </si>
  <si>
    <t>Solution pour le mux proposée
Reflection etage de sortie 24V
Liens des schémas
Rapport 
PV</t>
  </si>
  <si>
    <t xml:space="preserve">Mux cher 15.- ? Meillieur solution ?
Sortie 24V doivent lire une tension ou injecter un courant ? Influence sur le systèmes actif ? </t>
  </si>
  <si>
    <t>Revue de schéma
Correction schéma</t>
  </si>
  <si>
    <t>Confirmer nouvelle approche avec Rref</t>
  </si>
  <si>
    <t xml:space="preserve">Confirmation tecchnique Rref en changeant l'excel de clacul 
Vérification et correction des erreurs abordée lors de la revue de schéma </t>
  </si>
  <si>
    <t xml:space="preserve">Création des boms
Récupération, vérifications et ajout des footprints
Documentations 
Calcul des consomations et vérifications des dimensionnements </t>
  </si>
  <si>
    <t xml:space="preserve">Documentation rapport toujours sur le design, a reprendre </t>
  </si>
  <si>
    <t>Boms et vérifications 
Reflections mécanique 
Crélation des PCB 
Avançée sur le rapport 
Réeunion de suivit</t>
  </si>
  <si>
    <t xml:space="preserve">PCB Fille
Création PCB carte mère
Reflection mecanique
Placement </t>
  </si>
  <si>
    <t>Routage carte fille
Correction Design Rule Check</t>
  </si>
  <si>
    <t>Rapport fin partie design
PV</t>
  </si>
  <si>
    <t xml:space="preserve">Finalisation PCB
Envois pour revue 
Flasher CM5
Reflection architechture de développement </t>
  </si>
  <si>
    <t>Réunion review layout 
Test outils de développement remote
Reflection C/Python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</si>
</sst>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" activePane="bottomLeft" state="frozen"/>
      <selection pane="bottomLeft" activeCell="E32" sqref="E32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2.0625</v>
      </c>
      <c r="F5" s="25">
        <f>SUM(D30:I30)</f>
        <v>0.79166666666666674</v>
      </c>
      <c r="G5" s="25">
        <f>SUM(D39:I39)</f>
        <v>0</v>
      </c>
      <c r="H5" s="25">
        <f>SUM(D48:I48)</f>
        <v>0</v>
      </c>
      <c r="I5" s="25">
        <f>SUM(D57:I57)</f>
        <v>0</v>
      </c>
      <c r="J5" s="25">
        <f>SUM(D5:I5)</f>
        <v>5.03125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 t="s">
        <v>22</v>
      </c>
      <c r="G13" s="21" t="s">
        <v>24</v>
      </c>
      <c r="H13" s="21"/>
      <c r="I13" s="21" t="s">
        <v>26</v>
      </c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 t="s">
        <v>23</v>
      </c>
      <c r="G14" s="21" t="s">
        <v>25</v>
      </c>
      <c r="H14" s="21"/>
      <c r="I14" s="21" t="s">
        <v>27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>
        <v>0.625</v>
      </c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>
        <v>0.95833333333333337</v>
      </c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>
        <v>8.3333333333333329E-2</v>
      </c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0.25000000000000006</v>
      </c>
    </row>
    <row r="22" spans="2:10" ht="159" customHeight="1" x14ac:dyDescent="0.25">
      <c r="B22" s="15" t="s">
        <v>5</v>
      </c>
      <c r="C22" s="21" t="s">
        <v>28</v>
      </c>
      <c r="D22" s="21" t="s">
        <v>30</v>
      </c>
      <c r="E22" s="21" t="s">
        <v>31</v>
      </c>
      <c r="F22" s="21" t="s">
        <v>33</v>
      </c>
      <c r="G22" s="21" t="s">
        <v>34</v>
      </c>
      <c r="H22" s="21"/>
      <c r="I22" s="21" t="s">
        <v>36</v>
      </c>
    </row>
    <row r="23" spans="2:10" ht="76.150000000000006" customHeight="1" x14ac:dyDescent="0.25">
      <c r="B23" s="15" t="s">
        <v>0</v>
      </c>
      <c r="C23" s="21" t="s">
        <v>29</v>
      </c>
      <c r="D23" s="21"/>
      <c r="E23" s="21" t="s">
        <v>32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>
        <v>0.34375</v>
      </c>
      <c r="D27" s="16">
        <v>0.36458333333333331</v>
      </c>
      <c r="E27" s="16">
        <v>0.34375</v>
      </c>
      <c r="F27" s="16"/>
      <c r="G27" s="16"/>
      <c r="H27" s="16"/>
      <c r="I27" s="16"/>
    </row>
    <row r="28" spans="2:10" ht="19.5" x14ac:dyDescent="0.25">
      <c r="B28" s="15" t="s">
        <v>3</v>
      </c>
      <c r="C28" s="16">
        <v>0.8125</v>
      </c>
      <c r="D28" s="16">
        <v>0.8125</v>
      </c>
      <c r="E28" s="16">
        <v>0.8125</v>
      </c>
      <c r="F28" s="16"/>
      <c r="G28" s="16"/>
      <c r="H28" s="16"/>
      <c r="I28" s="16"/>
    </row>
    <row r="29" spans="2:10" ht="19.5" x14ac:dyDescent="0.25">
      <c r="B29" s="15" t="s">
        <v>8</v>
      </c>
      <c r="C29" s="17">
        <v>6.25E-2</v>
      </c>
      <c r="D29" s="17">
        <v>6.25E-2</v>
      </c>
      <c r="E29" s="17">
        <v>6.25E-2</v>
      </c>
      <c r="F29" s="17"/>
      <c r="G29" s="17"/>
      <c r="H29" s="17"/>
      <c r="I29" s="17"/>
    </row>
    <row r="30" spans="2:10" ht="20.25" x14ac:dyDescent="0.25">
      <c r="B30" s="18" t="s">
        <v>4</v>
      </c>
      <c r="C30" s="19">
        <f>C28-C27-C29</f>
        <v>0.40625</v>
      </c>
      <c r="D30" s="19">
        <f>D28-D27-D29</f>
        <v>0.38541666666666669</v>
      </c>
      <c r="E30" s="19">
        <f t="shared" ref="E30" si="9">E28-E27-E29</f>
        <v>0.40625</v>
      </c>
      <c r="F30" s="19">
        <f t="shared" ref="F30" si="10">F28-F27-F29</f>
        <v>0</v>
      </c>
      <c r="G30" s="19">
        <f t="shared" ref="G30" si="11">G28-G27-G29</f>
        <v>0</v>
      </c>
      <c r="H30" s="19">
        <f t="shared" ref="H30" si="12">H28-H27-H29</f>
        <v>0</v>
      </c>
      <c r="I30" s="19">
        <f t="shared" ref="I30" si="13">I28-I27-I29</f>
        <v>0</v>
      </c>
    </row>
    <row r="31" spans="2:10" ht="112.5" customHeight="1" x14ac:dyDescent="0.25">
      <c r="B31" s="15" t="s">
        <v>5</v>
      </c>
      <c r="C31" s="21" t="s">
        <v>35</v>
      </c>
      <c r="D31" s="21" t="s">
        <v>37</v>
      </c>
      <c r="E31" s="21" t="s">
        <v>38</v>
      </c>
      <c r="F31" s="21"/>
      <c r="G31" s="21"/>
      <c r="H31" s="21"/>
      <c r="I31" s="21"/>
    </row>
    <row r="32" spans="2:10" ht="174.75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/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/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/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73.5" customHeight="1" x14ac:dyDescent="0.25">
      <c r="B40" s="15" t="s">
        <v>5</v>
      </c>
      <c r="C40" s="21"/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/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2025-09-03T09:03:25Z</dcterms:modified>
</cp:coreProperties>
</file>