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6.xml" ContentType="application/vnd.ms-excel.controlproperties+xml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trlProps/ctrlProp7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4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tables/table6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tables/table7.xml" ContentType="application/vnd.openxmlformats-officedocument.spreadsheetml.table+xml"/>
  <Override PartName="/xl/drawings/drawing9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tables/table8.xml" ContentType="application/vnd.openxmlformats-officedocument.spreadsheetml.table+xml"/>
  <Override PartName="/xl/drawings/drawing10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tables/table9.xml" ContentType="application/vnd.openxmlformats-officedocument.spreadsheetml.table+xml"/>
  <Override PartName="/xl/drawings/drawing11.xml" ContentType="application/vnd.openxmlformats-officedocument.drawing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tables/table10.xml" ContentType="application/vnd.openxmlformats-officedocument.spreadsheetml.table+xml"/>
  <Override PartName="/xl/drawings/drawing12.xml" ContentType="application/vnd.openxmlformats-officedocument.drawing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tables/table11.xml" ContentType="application/vnd.openxmlformats-officedocument.spreadsheetml.table+xml"/>
  <Override PartName="/xl/drawings/drawing1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tables/table12.xml" ContentType="application/vnd.openxmlformats-officedocument.spreadsheetml.table+xml"/>
  <Override PartName="/xl/drawings/drawing14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tables/table13.xml" ContentType="application/vnd.openxmlformats-officedocument.spreadsheetml.table+xml"/>
  <Override PartName="/xl/drawings/drawing15.xml" ContentType="application/vnd.openxmlformats-officedocument.drawing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tables/table14.xml" ContentType="application/vnd.openxmlformats-officedocument.spreadsheetml.table+xml"/>
  <Override PartName="/xl/drawings/drawing16.xml" ContentType="application/vnd.openxmlformats-officedocument.drawing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tables/table15.xml" ContentType="application/vnd.openxmlformats-officedocument.spreadsheetml.table+xml"/>
  <Override PartName="/xl/drawings/drawing17.xml" ContentType="application/vnd.openxmlformats-officedocument.drawing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tables/table16.xml" ContentType="application/vnd.openxmlformats-officedocument.spreadsheetml.table+xml"/>
  <Override PartName="/xl/drawings/drawing18.xml" ContentType="application/vnd.openxmlformats-officedocument.drawing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tables/table17.xml" ContentType="application/vnd.openxmlformats-officedocument.spreadsheetml.table+xml"/>
  <Override PartName="/xl/drawings/drawing19.xml" ContentType="application/vnd.openxmlformats-officedocument.drawing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tables/table18.xml" ContentType="application/vnd.openxmlformats-officedocument.spreadsheetml.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0.xml" ContentType="application/vnd.openxmlformats-officedocument.drawing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tables/table19.xml" ContentType="application/vnd.openxmlformats-officedocument.spreadsheetml.table+xml"/>
  <Override PartName="/xl/drawings/drawing21.xml" ContentType="application/vnd.openxmlformats-officedocument.drawing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tables/table20.xml" ContentType="application/vnd.openxmlformats-officedocument.spreadsheetml.table+xml"/>
  <Override PartName="/xl/drawings/drawing22.xml" ContentType="application/vnd.openxmlformats-officedocument.drawing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tables/table21.xml" ContentType="application/vnd.openxmlformats-officedocument.spreadsheetml.table+xml"/>
  <Override PartName="/xl/drawings/drawing23.xml" ContentType="application/vnd.openxmlformats-officedocument.drawing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eduvaud-my.sharepoint.com/personal/py13jta_eduvaud_ch/Documents/00_Diplome/2510_RegulationChauffage/doc/4.datasheets/infoSondesOblo/"/>
    </mc:Choice>
  </mc:AlternateContent>
  <xr:revisionPtr revIDLastSave="120" documentId="13_ncr:1_{C41E8A70-DFB9-4AFD-B43F-09D6616605C7}" xr6:coauthVersionLast="45" xr6:coauthVersionMax="47" xr10:uidLastSave="{7BAA6F46-5FC9-413E-BBC2-B9B4478B6AD7}"/>
  <bookViews>
    <workbookView xWindow="-120" yWindow="-120" windowWidth="29040" windowHeight="15840" tabRatio="897" xr2:uid="{2C70445E-2728-452C-99D4-1405D3CC1D4D}"/>
  </bookViews>
  <sheets>
    <sheet name="0 - Accueil" sheetId="41" r:id="rId1"/>
    <sheet name="1 - IDs types de sonde" sheetId="65" r:id="rId2"/>
    <sheet name="2 - Recherche type NTC" sheetId="54" r:id="rId3"/>
    <sheet name="3 - Statistiques" sheetId="60" r:id="rId4"/>
    <sheet name="4 - Commande Mouser" sheetId="66" r:id="rId5"/>
    <sheet name="5 - Résistances précision (R77)" sheetId="68" r:id="rId6"/>
    <sheet name="DeDietrich AF40" sheetId="56" r:id="rId7"/>
    <sheet name="DeDietrich AF60" sheetId="73" r:id="rId8"/>
    <sheet name="KTY81-210" sheetId="71" r:id="rId9"/>
    <sheet name="Ni1000 TK5000" sheetId="51" r:id="rId10"/>
    <sheet name="Ni1000 TK6180" sheetId="52" r:id="rId11"/>
    <sheet name="NTC 10k 3977" sheetId="57" r:id="rId12"/>
    <sheet name="NTC 10k2 3977" sheetId="77" r:id="rId13"/>
    <sheet name="NTC 1k 3528" sheetId="69" r:id="rId14"/>
    <sheet name="NTC 2.2k 3528" sheetId="42" r:id="rId15"/>
    <sheet name="NTC 20k 4370" sheetId="76" r:id="rId16"/>
    <sheet name="NTC 2k 3390" sheetId="55" r:id="rId17"/>
    <sheet name="NTC 2k Xavier" sheetId="46" r:id="rId18"/>
    <sheet name="Pt100" sheetId="72" r:id="rId19"/>
    <sheet name="Pt1000" sheetId="70" r:id="rId20"/>
    <sheet name="Siemens QAC32" sheetId="75" r:id="rId21"/>
    <sheet name="Viessmann AV17" sheetId="74" r:id="rId22"/>
    <sheet name="VRC-DCF 9535" sheetId="45" r:id="rId23"/>
    <sheet name="Template PTC" sheetId="50" r:id="rId24"/>
    <sheet name="Template NTC" sheetId="49" r:id="rId25"/>
    <sheet name="Data" sheetId="43" r:id="rId26"/>
  </sheets>
  <definedNames>
    <definedName name="_xlnm._FilterDatabase" localSheetId="25" hidden="1">Data!$D$2:$G$146</definedName>
    <definedName name="coeff_SH_A" localSheetId="2">'2 - Recherche type NTC'!$H$6</definedName>
    <definedName name="coeff_SH_B">'2 - Recherche type NTC'!$H$7</definedName>
    <definedName name="coeff_SH_C">'2 - Recherche type NTC'!$H$8</definedName>
    <definedName name="R_25" localSheetId="2">'2 - Recherche type NTC'!$B$11</definedName>
    <definedName name="RefCell_R77">"O3"</definedName>
    <definedName name="RefCell_Rpot">"O2"</definedName>
    <definedName name="RefCell_SH_A">"O6"</definedName>
    <definedName name="RefCell_SH_B">"O7"</definedName>
    <definedName name="RefCell_SH_C">"O8"</definedName>
    <definedName name="ResValuesR24">Data!$F$3:$F$146</definedName>
    <definedName name="SensorDataTableName" localSheetId="2">VLOOKUP(SensorType,SensorTypeList[],2,FALSE)</definedName>
    <definedName name="SensorDataTableName" localSheetId="6">VLOOKUP([0]!SensorType,SensorTypeList[],2,FALSE)</definedName>
    <definedName name="SensorDataTableName" localSheetId="7">VLOOKUP([0]!SensorType,SensorTypeList[],2,FALSE)</definedName>
    <definedName name="SensorDataTableName" localSheetId="8">VLOOKUP([0]!SensorType,SensorTypeList[],2,FALSE)</definedName>
    <definedName name="SensorDataTableName" localSheetId="9">VLOOKUP([0]!SensorType,SensorTypeList[],2,FALSE)</definedName>
    <definedName name="SensorDataTableName" localSheetId="10">VLOOKUP([0]!SensorType,SensorTypeList[],2,FALSE)</definedName>
    <definedName name="SensorDataTableName" localSheetId="11">VLOOKUP([0]!SensorType,SensorTypeList[],2,FALSE)</definedName>
    <definedName name="SensorDataTableName" localSheetId="12">VLOOKUP([0]!SensorType,SensorTypeList[],2,FALSE)</definedName>
    <definedName name="SensorDataTableName" localSheetId="13">VLOOKUP([0]!SensorType,SensorTypeList[],2,FALSE)</definedName>
    <definedName name="SensorDataTableName" localSheetId="15">VLOOKUP([0]!SensorType,SensorTypeList[],2,FALSE)</definedName>
    <definedName name="SensorDataTableName" localSheetId="16">VLOOKUP([0]!SensorType,SensorTypeList[],2,FALSE)</definedName>
    <definedName name="SensorDataTableName" localSheetId="18">VLOOKUP([0]!SensorType,SensorTypeList[],2,FALSE)</definedName>
    <definedName name="SensorDataTableName" localSheetId="19">VLOOKUP([0]!SensorType,SensorTypeList[],2,FALSE)</definedName>
    <definedName name="SensorDataTableName" localSheetId="20">VLOOKUP([0]!SensorType,SensorTypeList[],2,FALSE)</definedName>
    <definedName name="SensorDataTableName" localSheetId="21">VLOOKUP([0]!SensorType,SensorTypeList[],2,FALSE)</definedName>
    <definedName name="SensorDataTableName">VLOOKUP(SensorType,SensorTypeList[],2,FALSE)</definedName>
    <definedName name="SensorType">'0 - Accueil'!$O$1</definedName>
    <definedName name="_xlnm.Print_Area" localSheetId="0">'0 - Accueil'!$A$1:$T$37</definedName>
  </definedNames>
  <calcPr calcId="191029"/>
  <pivotCaches>
    <pivotCache cacheId="0" r:id="rId2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12" i="77" l="1"/>
  <c r="O16" i="77"/>
  <c r="O15" i="77"/>
  <c r="O14" i="77"/>
  <c r="O13" i="77"/>
  <c r="A1" i="77" a="1"/>
  <c r="A1" i="77" s="1"/>
  <c r="B9" i="43"/>
  <c r="O11" i="77" l="1"/>
  <c r="O10" i="77" s="1"/>
  <c r="O2" i="76"/>
  <c r="O16" i="76"/>
  <c r="O15" i="76"/>
  <c r="O14" i="76"/>
  <c r="O13" i="76"/>
  <c r="O12" i="76"/>
  <c r="O11" i="76"/>
  <c r="A1" i="76" a="1"/>
  <c r="A1" i="76" s="1"/>
  <c r="B12" i="43"/>
  <c r="P21" i="75" a="1"/>
  <c r="P21" i="75" s="1"/>
  <c r="C4" i="75" s="1"/>
  <c r="O16" i="75"/>
  <c r="O15" i="75"/>
  <c r="O14" i="75"/>
  <c r="A1" i="75" a="1"/>
  <c r="A1" i="75" s="1"/>
  <c r="B17" i="43"/>
  <c r="O9" i="77" l="1"/>
  <c r="O8" i="77" s="1"/>
  <c r="O7" i="77" s="1"/>
  <c r="O6" i="77" s="1"/>
  <c r="O10" i="76"/>
  <c r="O9" i="76"/>
  <c r="C6" i="75"/>
  <c r="C5" i="75"/>
  <c r="C21" i="75"/>
  <c r="C27" i="75"/>
  <c r="C26" i="75"/>
  <c r="C18" i="75"/>
  <c r="C10" i="75"/>
  <c r="C31" i="75"/>
  <c r="O13" i="75" s="1"/>
  <c r="C23" i="75"/>
  <c r="C15" i="75"/>
  <c r="C30" i="75"/>
  <c r="C22" i="75"/>
  <c r="C14" i="75"/>
  <c r="C9" i="75"/>
  <c r="C29" i="75"/>
  <c r="C13" i="75"/>
  <c r="C3" i="75"/>
  <c r="O11" i="75" s="1"/>
  <c r="C19" i="75"/>
  <c r="C11" i="75"/>
  <c r="C34" i="75"/>
  <c r="C33" i="75"/>
  <c r="C25" i="75"/>
  <c r="C17" i="75"/>
  <c r="O12" i="75" s="1"/>
  <c r="C32" i="75"/>
  <c r="C24" i="75"/>
  <c r="C16" i="75"/>
  <c r="C8" i="75"/>
  <c r="C7" i="75"/>
  <c r="C28" i="75"/>
  <c r="C20" i="75"/>
  <c r="C12" i="75"/>
  <c r="P24" i="74" a="1"/>
  <c r="P24" i="74" s="1"/>
  <c r="C3" i="74" s="1"/>
  <c r="O16" i="74"/>
  <c r="O15" i="74"/>
  <c r="O14" i="74"/>
  <c r="A1" i="74" a="1"/>
  <c r="A1" i="74" s="1"/>
  <c r="B18" i="43"/>
  <c r="R4" i="73"/>
  <c r="S4" i="73" s="1"/>
  <c r="C4" i="73" s="1"/>
  <c r="R5" i="73"/>
  <c r="S5" i="73" s="1"/>
  <c r="C5" i="73" s="1"/>
  <c r="R6" i="73"/>
  <c r="S6" i="73" s="1"/>
  <c r="C6" i="73" s="1"/>
  <c r="R7" i="73"/>
  <c r="S7" i="73" s="1"/>
  <c r="C7" i="73" s="1"/>
  <c r="R8" i="73"/>
  <c r="S8" i="73" s="1"/>
  <c r="C8" i="73" s="1"/>
  <c r="R9" i="73"/>
  <c r="S9" i="73" s="1"/>
  <c r="C9" i="73" s="1"/>
  <c r="R10" i="73"/>
  <c r="S10" i="73" s="1"/>
  <c r="C10" i="73" s="1"/>
  <c r="R11" i="73"/>
  <c r="S11" i="73" s="1"/>
  <c r="C11" i="73" s="1"/>
  <c r="R12" i="73"/>
  <c r="S12" i="73" s="1"/>
  <c r="C12" i="73" s="1"/>
  <c r="R13" i="73"/>
  <c r="S13" i="73" s="1"/>
  <c r="C13" i="73" s="1"/>
  <c r="R14" i="73"/>
  <c r="S14" i="73" s="1"/>
  <c r="C14" i="73" s="1"/>
  <c r="R15" i="73"/>
  <c r="S15" i="73" s="1"/>
  <c r="C15" i="73" s="1"/>
  <c r="R16" i="73"/>
  <c r="S16" i="73" s="1"/>
  <c r="C16" i="73" s="1"/>
  <c r="R17" i="73"/>
  <c r="S17" i="73" s="1"/>
  <c r="C17" i="73" s="1"/>
  <c r="O12" i="73" s="1"/>
  <c r="R18" i="73"/>
  <c r="S18" i="73" s="1"/>
  <c r="C18" i="73" s="1"/>
  <c r="R19" i="73"/>
  <c r="S19" i="73" s="1"/>
  <c r="C19" i="73" s="1"/>
  <c r="R20" i="73"/>
  <c r="S20" i="73" s="1"/>
  <c r="C20" i="73" s="1"/>
  <c r="R21" i="73"/>
  <c r="S21" i="73" s="1"/>
  <c r="C21" i="73" s="1"/>
  <c r="R22" i="73"/>
  <c r="S22" i="73" s="1"/>
  <c r="C22" i="73" s="1"/>
  <c r="R23" i="73"/>
  <c r="S23" i="73" s="1"/>
  <c r="C23" i="73" s="1"/>
  <c r="R24" i="73"/>
  <c r="S24" i="73" s="1"/>
  <c r="C24" i="73" s="1"/>
  <c r="R25" i="73"/>
  <c r="S25" i="73" s="1"/>
  <c r="C25" i="73" s="1"/>
  <c r="R26" i="73"/>
  <c r="S26" i="73" s="1"/>
  <c r="C26" i="73" s="1"/>
  <c r="R27" i="73"/>
  <c r="S27" i="73" s="1"/>
  <c r="C27" i="73" s="1"/>
  <c r="R28" i="73"/>
  <c r="S28" i="73" s="1"/>
  <c r="C28" i="73" s="1"/>
  <c r="R29" i="73"/>
  <c r="S29" i="73" s="1"/>
  <c r="C29" i="73" s="1"/>
  <c r="R30" i="73"/>
  <c r="S30" i="73" s="1"/>
  <c r="C30" i="73" s="1"/>
  <c r="R31" i="73"/>
  <c r="S31" i="73" s="1"/>
  <c r="C31" i="73" s="1"/>
  <c r="O13" i="73" s="1"/>
  <c r="R32" i="73"/>
  <c r="S32" i="73" s="1"/>
  <c r="C32" i="73" s="1"/>
  <c r="R33" i="73"/>
  <c r="S33" i="73" s="1"/>
  <c r="C33" i="73" s="1"/>
  <c r="R34" i="73"/>
  <c r="S34" i="73" s="1"/>
  <c r="C34" i="73" s="1"/>
  <c r="R3" i="73"/>
  <c r="S3" i="73" s="1"/>
  <c r="C3" i="73" s="1"/>
  <c r="O16" i="73"/>
  <c r="O15" i="73"/>
  <c r="O14" i="73"/>
  <c r="A1" i="73" a="1"/>
  <c r="A1" i="73" s="1"/>
  <c r="B4" i="43"/>
  <c r="N23" i="72" a="1"/>
  <c r="N23" i="72" s="1"/>
  <c r="C3" i="72" s="1"/>
  <c r="O11" i="72" s="1"/>
  <c r="O16" i="72"/>
  <c r="O15" i="72"/>
  <c r="O14" i="72"/>
  <c r="A1" i="72" a="1"/>
  <c r="A1" i="72" s="1"/>
  <c r="B15" i="43"/>
  <c r="N46" i="71" a="1"/>
  <c r="N46" i="71" s="1"/>
  <c r="P22" i="71" s="1"/>
  <c r="Q22" i="71" s="1"/>
  <c r="O16" i="71"/>
  <c r="O15" i="71"/>
  <c r="O14" i="71"/>
  <c r="A1" i="71" a="1"/>
  <c r="A1" i="71" s="1"/>
  <c r="B5" i="43"/>
  <c r="N23" i="70" a="1"/>
  <c r="N23" i="70" s="1"/>
  <c r="C4" i="70" s="1"/>
  <c r="O16" i="70"/>
  <c r="O15" i="70"/>
  <c r="O14" i="70"/>
  <c r="A1" i="70" a="1"/>
  <c r="A1" i="70" s="1"/>
  <c r="B16" i="43"/>
  <c r="O16" i="69"/>
  <c r="O15" i="69"/>
  <c r="O14" i="69"/>
  <c r="O13" i="69"/>
  <c r="O12" i="69"/>
  <c r="O11" i="69"/>
  <c r="A1" i="69" a="1"/>
  <c r="A1" i="69" s="1"/>
  <c r="B10" i="43"/>
  <c r="C3" i="56"/>
  <c r="C4" i="56"/>
  <c r="C5" i="56"/>
  <c r="C6" i="56"/>
  <c r="C7" i="56"/>
  <c r="C8" i="56"/>
  <c r="C9" i="56"/>
  <c r="C10" i="56"/>
  <c r="C11" i="56"/>
  <c r="C12" i="56"/>
  <c r="C13" i="56"/>
  <c r="C14" i="56"/>
  <c r="C15" i="56"/>
  <c r="C16" i="56"/>
  <c r="C17" i="56"/>
  <c r="C18" i="56"/>
  <c r="C19" i="56"/>
  <c r="C20" i="56"/>
  <c r="C21" i="56"/>
  <c r="C22" i="56"/>
  <c r="C23" i="56"/>
  <c r="C24" i="56"/>
  <c r="C25" i="56"/>
  <c r="C26" i="56"/>
  <c r="C27" i="56"/>
  <c r="C28" i="56"/>
  <c r="C29" i="56"/>
  <c r="C30" i="56"/>
  <c r="C31" i="56"/>
  <c r="C32" i="56"/>
  <c r="C33" i="56"/>
  <c r="C34" i="56"/>
  <c r="O8" i="76" l="1"/>
  <c r="O7" i="76" s="1"/>
  <c r="O6" i="76" s="1"/>
  <c r="O10" i="75"/>
  <c r="O9" i="75"/>
  <c r="O11" i="74"/>
  <c r="C34" i="74"/>
  <c r="C26" i="74"/>
  <c r="C18" i="74"/>
  <c r="C10" i="74"/>
  <c r="C33" i="74"/>
  <c r="C25" i="74"/>
  <c r="C17" i="74"/>
  <c r="O12" i="74" s="1"/>
  <c r="C9" i="74"/>
  <c r="C32" i="74"/>
  <c r="C8" i="74"/>
  <c r="C24" i="74"/>
  <c r="C16" i="74"/>
  <c r="C31" i="74"/>
  <c r="O13" i="74" s="1"/>
  <c r="C23" i="74"/>
  <c r="C15" i="74"/>
  <c r="C7" i="74"/>
  <c r="C28" i="74"/>
  <c r="C30" i="74"/>
  <c r="C22" i="74"/>
  <c r="C14" i="74"/>
  <c r="C6" i="74"/>
  <c r="C29" i="74"/>
  <c r="C21" i="74"/>
  <c r="C13" i="74"/>
  <c r="C5" i="74"/>
  <c r="C20" i="74"/>
  <c r="C12" i="74"/>
  <c r="C4" i="74"/>
  <c r="C27" i="74"/>
  <c r="C19" i="74"/>
  <c r="C11" i="74"/>
  <c r="O11" i="73"/>
  <c r="O9" i="73" s="1"/>
  <c r="C34" i="72"/>
  <c r="C26" i="72"/>
  <c r="C18" i="72"/>
  <c r="C10" i="72"/>
  <c r="C33" i="72"/>
  <c r="C25" i="72"/>
  <c r="C17" i="72"/>
  <c r="O12" i="72" s="1"/>
  <c r="C9" i="72"/>
  <c r="C32" i="72"/>
  <c r="C24" i="72"/>
  <c r="C16" i="72"/>
  <c r="C8" i="72"/>
  <c r="C31" i="72"/>
  <c r="O13" i="72" s="1"/>
  <c r="C23" i="72"/>
  <c r="C15" i="72"/>
  <c r="C7" i="72"/>
  <c r="C30" i="72"/>
  <c r="C22" i="72"/>
  <c r="C14" i="72"/>
  <c r="C6" i="72"/>
  <c r="C29" i="72"/>
  <c r="C21" i="72"/>
  <c r="C13" i="72"/>
  <c r="C5" i="72"/>
  <c r="C28" i="72"/>
  <c r="C20" i="72"/>
  <c r="C12" i="72"/>
  <c r="C4" i="72"/>
  <c r="C27" i="72"/>
  <c r="C19" i="72"/>
  <c r="C11" i="72"/>
  <c r="C27" i="71"/>
  <c r="C19" i="71"/>
  <c r="C11" i="71"/>
  <c r="C3" i="71"/>
  <c r="O11" i="71" s="1"/>
  <c r="P37" i="71"/>
  <c r="Q37" i="71" s="1"/>
  <c r="P29" i="71"/>
  <c r="Q29" i="71" s="1"/>
  <c r="P21" i="71"/>
  <c r="Q21" i="71" s="1"/>
  <c r="C33" i="71"/>
  <c r="C25" i="71"/>
  <c r="C17" i="71"/>
  <c r="O12" i="71" s="1"/>
  <c r="C9" i="71"/>
  <c r="P43" i="71"/>
  <c r="Q43" i="71" s="1"/>
  <c r="P35" i="71"/>
  <c r="Q35" i="71" s="1"/>
  <c r="P27" i="71"/>
  <c r="Q27" i="71" s="1"/>
  <c r="C34" i="71"/>
  <c r="C26" i="71"/>
  <c r="C18" i="71"/>
  <c r="C10" i="71"/>
  <c r="P20" i="71"/>
  <c r="Q20" i="71" s="1"/>
  <c r="P36" i="71"/>
  <c r="Q36" i="71" s="1"/>
  <c r="P28" i="71"/>
  <c r="Q28" i="71" s="1"/>
  <c r="C32" i="71"/>
  <c r="C24" i="71"/>
  <c r="C8" i="71"/>
  <c r="P34" i="71"/>
  <c r="Q34" i="71" s="1"/>
  <c r="C31" i="71"/>
  <c r="O13" i="71" s="1"/>
  <c r="C23" i="71"/>
  <c r="C15" i="71"/>
  <c r="C7" i="71"/>
  <c r="P41" i="71"/>
  <c r="Q41" i="71" s="1"/>
  <c r="P33" i="71"/>
  <c r="Q33" i="71" s="1"/>
  <c r="P25" i="71"/>
  <c r="Q25" i="71" s="1"/>
  <c r="C16" i="71"/>
  <c r="P42" i="71"/>
  <c r="Q42" i="71" s="1"/>
  <c r="C30" i="71"/>
  <c r="C22" i="71"/>
  <c r="C14" i="71"/>
  <c r="C6" i="71"/>
  <c r="P40" i="71"/>
  <c r="Q40" i="71" s="1"/>
  <c r="P32" i="71"/>
  <c r="Q32" i="71" s="1"/>
  <c r="P24" i="71"/>
  <c r="Q24" i="71" s="1"/>
  <c r="P26" i="71"/>
  <c r="Q26" i="71" s="1"/>
  <c r="C29" i="71"/>
  <c r="C21" i="71"/>
  <c r="C13" i="71"/>
  <c r="C5" i="71"/>
  <c r="P39" i="71"/>
  <c r="Q39" i="71" s="1"/>
  <c r="P31" i="71"/>
  <c r="Q31" i="71" s="1"/>
  <c r="P23" i="71"/>
  <c r="Q23" i="71" s="1"/>
  <c r="C28" i="71"/>
  <c r="C20" i="71"/>
  <c r="C12" i="71"/>
  <c r="C4" i="71"/>
  <c r="P38" i="71"/>
  <c r="Q38" i="71" s="1"/>
  <c r="P30" i="71"/>
  <c r="Q30" i="71" s="1"/>
  <c r="C34" i="70"/>
  <c r="C26" i="70"/>
  <c r="C18" i="70"/>
  <c r="C10" i="70"/>
  <c r="C33" i="70"/>
  <c r="C25" i="70"/>
  <c r="C17" i="70"/>
  <c r="O12" i="70" s="1"/>
  <c r="C9" i="70"/>
  <c r="C32" i="70"/>
  <c r="C24" i="70"/>
  <c r="C16" i="70"/>
  <c r="C8" i="70"/>
  <c r="C27" i="70"/>
  <c r="C19" i="70"/>
  <c r="C11" i="70"/>
  <c r="C3" i="70"/>
  <c r="O11" i="70" s="1"/>
  <c r="C31" i="70"/>
  <c r="O13" i="70" s="1"/>
  <c r="C23" i="70"/>
  <c r="C15" i="70"/>
  <c r="C7" i="70"/>
  <c r="C30" i="70"/>
  <c r="C22" i="70"/>
  <c r="C14" i="70"/>
  <c r="C6" i="70"/>
  <c r="C29" i="70"/>
  <c r="C21" i="70"/>
  <c r="C13" i="70"/>
  <c r="C5" i="70"/>
  <c r="C28" i="70"/>
  <c r="C20" i="70"/>
  <c r="C12" i="70"/>
  <c r="O9" i="69"/>
  <c r="O10" i="69"/>
  <c r="C13" i="68" a="1"/>
  <c r="C13" i="68" s="1"/>
  <c r="C12" i="68" a="1"/>
  <c r="C12" i="68" s="1"/>
  <c r="C11" i="68" a="1"/>
  <c r="C11" i="68" s="1"/>
  <c r="C10" i="68" a="1"/>
  <c r="C10" i="68" s="1"/>
  <c r="C9" i="68" a="1"/>
  <c r="C9" i="68" s="1"/>
  <c r="C8" i="68" a="1"/>
  <c r="C8" i="68" s="1"/>
  <c r="C7" i="68" a="1"/>
  <c r="C7" i="68" s="1"/>
  <c r="C6" i="68" a="1"/>
  <c r="C6" i="68" s="1"/>
  <c r="C5" i="68" a="1"/>
  <c r="C5" i="68" s="1"/>
  <c r="C4" i="68" a="1"/>
  <c r="C4" i="68" s="1"/>
  <c r="C3" i="68" a="1"/>
  <c r="C3" i="68" s="1"/>
  <c r="A1" i="49" a="1"/>
  <c r="A1" i="49" s="1"/>
  <c r="A1" i="50" a="1"/>
  <c r="A1" i="50" s="1"/>
  <c r="A1" i="45" a="1"/>
  <c r="A1" i="45" s="1"/>
  <c r="A1" i="46" a="1"/>
  <c r="A1" i="46" s="1"/>
  <c r="A1" i="55" a="1"/>
  <c r="A1" i="55" s="1"/>
  <c r="A1" i="42" a="1"/>
  <c r="A1" i="42" s="1"/>
  <c r="A1" i="57" a="1"/>
  <c r="A1" i="57" s="1"/>
  <c r="A1" i="52" a="1"/>
  <c r="A1" i="52" s="1"/>
  <c r="A1" i="51" a="1"/>
  <c r="A1" i="51" s="1"/>
  <c r="D3" i="66"/>
  <c r="E3" i="66" s="1"/>
  <c r="D4" i="66"/>
  <c r="E4" i="66" s="1"/>
  <c r="D5" i="66"/>
  <c r="E5" i="66" s="1"/>
  <c r="D6" i="66"/>
  <c r="E6" i="66" s="1"/>
  <c r="D7" i="66"/>
  <c r="E7" i="66" s="1"/>
  <c r="D8" i="66"/>
  <c r="E8" i="66" s="1"/>
  <c r="D9" i="66"/>
  <c r="E9" i="66" s="1"/>
  <c r="D10" i="66"/>
  <c r="E10" i="66" s="1"/>
  <c r="D11" i="66"/>
  <c r="E11" i="66" s="1"/>
  <c r="D12" i="66"/>
  <c r="E12" i="66" s="1"/>
  <c r="D13" i="66"/>
  <c r="E13" i="66" s="1"/>
  <c r="D14" i="66"/>
  <c r="E14" i="66" s="1"/>
  <c r="D15" i="66"/>
  <c r="E15" i="66" s="1"/>
  <c r="D16" i="66"/>
  <c r="E16" i="66" s="1"/>
  <c r="D17" i="66"/>
  <c r="E17" i="66" s="1"/>
  <c r="D18" i="66"/>
  <c r="E18" i="66" s="1"/>
  <c r="D19" i="66"/>
  <c r="E19" i="66" s="1"/>
  <c r="D20" i="66"/>
  <c r="E20" i="66" s="1"/>
  <c r="D21" i="66"/>
  <c r="E21" i="66" s="1"/>
  <c r="D22" i="66"/>
  <c r="E22" i="66" s="1"/>
  <c r="D23" i="66"/>
  <c r="E23" i="66" s="1"/>
  <c r="D24" i="66"/>
  <c r="E24" i="66" s="1"/>
  <c r="D25" i="66"/>
  <c r="E25" i="66" s="1"/>
  <c r="D26" i="66"/>
  <c r="E26" i="66" s="1"/>
  <c r="D27" i="66"/>
  <c r="E27" i="66" s="1"/>
  <c r="D28" i="66"/>
  <c r="E28" i="66" s="1"/>
  <c r="D29" i="66"/>
  <c r="E29" i="66" s="1"/>
  <c r="D30" i="66"/>
  <c r="E30" i="66" s="1"/>
  <c r="D31" i="66"/>
  <c r="E31" i="66" s="1"/>
  <c r="D32" i="66"/>
  <c r="E32" i="66" s="1"/>
  <c r="D33" i="66"/>
  <c r="E33" i="66" s="1"/>
  <c r="D34" i="66"/>
  <c r="E34" i="66" s="1"/>
  <c r="D35" i="66"/>
  <c r="E35" i="66" s="1"/>
  <c r="D36" i="66"/>
  <c r="E36" i="66" s="1"/>
  <c r="D37" i="66"/>
  <c r="E37" i="66" s="1"/>
  <c r="D38" i="66"/>
  <c r="E38" i="66" s="1"/>
  <c r="D39" i="66"/>
  <c r="E39" i="66" s="1"/>
  <c r="D40" i="66"/>
  <c r="E40" i="66" s="1"/>
  <c r="D41" i="66"/>
  <c r="E41" i="66" s="1"/>
  <c r="D42" i="66"/>
  <c r="E42" i="66" s="1"/>
  <c r="D43" i="66"/>
  <c r="E43" i="66" s="1"/>
  <c r="D44" i="66"/>
  <c r="E44" i="66" s="1"/>
  <c r="D45" i="66"/>
  <c r="E45" i="66" s="1"/>
  <c r="D46" i="66"/>
  <c r="E46" i="66" s="1"/>
  <c r="D47" i="66"/>
  <c r="E47" i="66" s="1"/>
  <c r="D48" i="66"/>
  <c r="E48" i="66" s="1"/>
  <c r="D49" i="66"/>
  <c r="E49" i="66" s="1"/>
  <c r="D50" i="66"/>
  <c r="E50" i="66" s="1"/>
  <c r="D51" i="66"/>
  <c r="E51" i="66" s="1"/>
  <c r="D52" i="66"/>
  <c r="E52" i="66" s="1"/>
  <c r="D53" i="66"/>
  <c r="E53" i="66" s="1"/>
  <c r="D54" i="66"/>
  <c r="E54" i="66" s="1"/>
  <c r="D55" i="66"/>
  <c r="E55" i="66" s="1"/>
  <c r="D56" i="66"/>
  <c r="E56" i="66" s="1"/>
  <c r="D57" i="66"/>
  <c r="E57" i="66" s="1"/>
  <c r="D2" i="66"/>
  <c r="E2" i="66" s="1"/>
  <c r="L34" i="76" a="1"/>
  <c r="O8" i="75" l="1"/>
  <c r="O7" i="75" s="1"/>
  <c r="O6" i="75" s="1"/>
  <c r="L34" i="76"/>
  <c r="E34" i="76"/>
  <c r="F34" i="76" s="1"/>
  <c r="O10" i="71"/>
  <c r="O10" i="74"/>
  <c r="O9" i="70"/>
  <c r="O9" i="72"/>
  <c r="O9" i="74"/>
  <c r="O10" i="73"/>
  <c r="O8" i="73" s="1"/>
  <c r="O7" i="73" s="1"/>
  <c r="O6" i="73" s="1"/>
  <c r="O10" i="72"/>
  <c r="O9" i="71"/>
  <c r="O10" i="70"/>
  <c r="O8" i="69"/>
  <c r="O7" i="69" s="1"/>
  <c r="O6" i="69" s="1"/>
  <c r="A1" i="56" a="1"/>
  <c r="A1" i="56" s="1"/>
  <c r="O16" i="57"/>
  <c r="O15" i="57"/>
  <c r="O14" i="57"/>
  <c r="O13" i="57"/>
  <c r="O12" i="57"/>
  <c r="O11" i="57"/>
  <c r="O8" i="71" l="1"/>
  <c r="O7" i="71" s="1"/>
  <c r="O6" i="71" s="1"/>
  <c r="O8" i="74"/>
  <c r="O7" i="74" s="1"/>
  <c r="O6" i="74" s="1"/>
  <c r="O8" i="70"/>
  <c r="O7" i="70" s="1"/>
  <c r="O6" i="70" s="1"/>
  <c r="O8" i="72"/>
  <c r="O7" i="72" s="1"/>
  <c r="O6" i="72" s="1"/>
  <c r="O10" i="57"/>
  <c r="O9" i="57"/>
  <c r="B8" i="43"/>
  <c r="O8" i="57" l="1"/>
  <c r="O7" i="57" s="1"/>
  <c r="O6" i="57" s="1"/>
  <c r="O11" i="56"/>
  <c r="O12" i="56"/>
  <c r="O13" i="56"/>
  <c r="P21" i="56" a="1"/>
  <c r="P21" i="56" s="1"/>
  <c r="O16" i="56"/>
  <c r="O15" i="56"/>
  <c r="O14" i="56"/>
  <c r="B3" i="43"/>
  <c r="O10" i="56" l="1"/>
  <c r="O9" i="56"/>
  <c r="O8" i="56" l="1"/>
  <c r="O7" i="56" s="1"/>
  <c r="O6" i="56" s="1"/>
  <c r="O16" i="51"/>
  <c r="O15" i="51"/>
  <c r="O14" i="51"/>
  <c r="O13" i="51"/>
  <c r="O12" i="51"/>
  <c r="O11" i="51"/>
  <c r="O16" i="52"/>
  <c r="O15" i="52"/>
  <c r="O14" i="52"/>
  <c r="O13" i="52"/>
  <c r="O12" i="52"/>
  <c r="O11" i="52"/>
  <c r="O16" i="50"/>
  <c r="O15" i="50"/>
  <c r="O14" i="50"/>
  <c r="O13" i="50"/>
  <c r="O12" i="50"/>
  <c r="O11" i="50"/>
  <c r="O16" i="45"/>
  <c r="O15" i="45"/>
  <c r="O14" i="45"/>
  <c r="O16" i="55"/>
  <c r="O15" i="55"/>
  <c r="O14" i="55"/>
  <c r="O13" i="55"/>
  <c r="O12" i="55"/>
  <c r="O11" i="55"/>
  <c r="O16" i="46"/>
  <c r="O15" i="46"/>
  <c r="O14" i="46"/>
  <c r="O16" i="49"/>
  <c r="O15" i="49"/>
  <c r="O14" i="49"/>
  <c r="O13" i="49"/>
  <c r="O12" i="49"/>
  <c r="O11" i="49"/>
  <c r="O11" i="42"/>
  <c r="O12" i="42"/>
  <c r="O13" i="42"/>
  <c r="O14" i="42"/>
  <c r="O15" i="42"/>
  <c r="O16" i="42"/>
  <c r="O9" i="51" l="1"/>
  <c r="O9" i="52"/>
  <c r="O10" i="50"/>
  <c r="O10" i="51"/>
  <c r="O10" i="52"/>
  <c r="O9" i="50"/>
  <c r="O9" i="49"/>
  <c r="O10" i="55"/>
  <c r="O9" i="55"/>
  <c r="O10" i="49"/>
  <c r="O10" i="42"/>
  <c r="O9" i="42"/>
  <c r="B13" i="43"/>
  <c r="O8" i="52" l="1"/>
  <c r="O7" i="52" s="1"/>
  <c r="O6" i="52" s="1"/>
  <c r="O8" i="51"/>
  <c r="O7" i="51" s="1"/>
  <c r="O6" i="51" s="1"/>
  <c r="O8" i="50"/>
  <c r="O7" i="50" s="1"/>
  <c r="O6" i="50" s="1"/>
  <c r="O8" i="49"/>
  <c r="O7" i="49" s="1"/>
  <c r="O6" i="49" s="1"/>
  <c r="O8" i="55"/>
  <c r="O7" i="55" s="1"/>
  <c r="O6" i="55" s="1"/>
  <c r="O8" i="42"/>
  <c r="O7" i="42" s="1"/>
  <c r="O6" i="42" s="1"/>
  <c r="B27" i="54"/>
  <c r="C27" i="54"/>
  <c r="D27" i="54"/>
  <c r="E27" i="54"/>
  <c r="F27" i="54"/>
  <c r="G27" i="54"/>
  <c r="H27" i="54"/>
  <c r="I27" i="54"/>
  <c r="J27" i="54"/>
  <c r="K27" i="54"/>
  <c r="L27" i="54"/>
  <c r="M27" i="54"/>
  <c r="N27" i="54"/>
  <c r="O27" i="54"/>
  <c r="B28" i="54"/>
  <c r="B45" i="54" s="1"/>
  <c r="C28" i="54"/>
  <c r="C45" i="54" s="1"/>
  <c r="D28" i="54"/>
  <c r="D45" i="54" s="1"/>
  <c r="E28" i="54"/>
  <c r="E45" i="54" s="1"/>
  <c r="F28" i="54"/>
  <c r="F45" i="54" s="1"/>
  <c r="G28" i="54"/>
  <c r="G45" i="54" s="1"/>
  <c r="H28" i="54"/>
  <c r="H45" i="54" s="1"/>
  <c r="I28" i="54"/>
  <c r="I45" i="54" s="1"/>
  <c r="J28" i="54"/>
  <c r="J45" i="54" s="1"/>
  <c r="K28" i="54"/>
  <c r="K45" i="54" s="1"/>
  <c r="L28" i="54"/>
  <c r="L45" i="54" s="1"/>
  <c r="M28" i="54"/>
  <c r="M45" i="54" s="1"/>
  <c r="N28" i="54"/>
  <c r="N45" i="54" s="1"/>
  <c r="O28" i="54"/>
  <c r="O45" i="54" s="1"/>
  <c r="B29" i="54"/>
  <c r="C29" i="54"/>
  <c r="D29" i="54"/>
  <c r="E29" i="54"/>
  <c r="F29" i="54"/>
  <c r="G29" i="54"/>
  <c r="H29" i="54"/>
  <c r="I29" i="54"/>
  <c r="J29" i="54"/>
  <c r="K29" i="54"/>
  <c r="L29" i="54"/>
  <c r="M29" i="54"/>
  <c r="N29" i="54"/>
  <c r="O29" i="54"/>
  <c r="B30" i="54"/>
  <c r="C30" i="54"/>
  <c r="D30" i="54"/>
  <c r="E30" i="54"/>
  <c r="F30" i="54"/>
  <c r="G30" i="54"/>
  <c r="H30" i="54"/>
  <c r="I30" i="54"/>
  <c r="J30" i="54"/>
  <c r="K30" i="54"/>
  <c r="L30" i="54"/>
  <c r="M30" i="54"/>
  <c r="N30" i="54"/>
  <c r="O30" i="54"/>
  <c r="B31" i="54"/>
  <c r="C31" i="54"/>
  <c r="D31" i="54"/>
  <c r="E31" i="54"/>
  <c r="F31" i="54"/>
  <c r="G31" i="54"/>
  <c r="H31" i="54"/>
  <c r="I31" i="54"/>
  <c r="J31" i="54"/>
  <c r="K31" i="54"/>
  <c r="L31" i="54"/>
  <c r="M31" i="54"/>
  <c r="N31" i="54"/>
  <c r="O31" i="54"/>
  <c r="B32" i="54"/>
  <c r="B46" i="54" s="1"/>
  <c r="C32" i="54"/>
  <c r="C46" i="54" s="1"/>
  <c r="D32" i="54"/>
  <c r="D46" i="54" s="1"/>
  <c r="E32" i="54"/>
  <c r="E46" i="54" s="1"/>
  <c r="F32" i="54"/>
  <c r="F46" i="54" s="1"/>
  <c r="G32" i="54"/>
  <c r="G46" i="54" s="1"/>
  <c r="H32" i="54"/>
  <c r="H46" i="54" s="1"/>
  <c r="I32" i="54"/>
  <c r="I46" i="54" s="1"/>
  <c r="J32" i="54"/>
  <c r="J46" i="54" s="1"/>
  <c r="K32" i="54"/>
  <c r="K46" i="54" s="1"/>
  <c r="L32" i="54"/>
  <c r="L46" i="54" s="1"/>
  <c r="M32" i="54"/>
  <c r="M46" i="54" s="1"/>
  <c r="N32" i="54"/>
  <c r="N46" i="54" s="1"/>
  <c r="O32" i="54"/>
  <c r="O46" i="54" s="1"/>
  <c r="B33" i="54"/>
  <c r="C33" i="54"/>
  <c r="D33" i="54"/>
  <c r="E33" i="54"/>
  <c r="F33" i="54"/>
  <c r="G33" i="54"/>
  <c r="H33" i="54"/>
  <c r="I33" i="54"/>
  <c r="J33" i="54"/>
  <c r="K33" i="54"/>
  <c r="L33" i="54"/>
  <c r="M33" i="54"/>
  <c r="N33" i="54"/>
  <c r="O33" i="54"/>
  <c r="B34" i="54"/>
  <c r="C34" i="54"/>
  <c r="D34" i="54"/>
  <c r="E34" i="54"/>
  <c r="F34" i="54"/>
  <c r="G34" i="54"/>
  <c r="H34" i="54"/>
  <c r="I34" i="54"/>
  <c r="J34" i="54"/>
  <c r="K34" i="54"/>
  <c r="L34" i="54"/>
  <c r="M34" i="54"/>
  <c r="N34" i="54"/>
  <c r="O34" i="54"/>
  <c r="B35" i="54"/>
  <c r="C35" i="54"/>
  <c r="D35" i="54"/>
  <c r="E35" i="54"/>
  <c r="F35" i="54"/>
  <c r="G35" i="54"/>
  <c r="H35" i="54"/>
  <c r="I35" i="54"/>
  <c r="J35" i="54"/>
  <c r="K35" i="54"/>
  <c r="L35" i="54"/>
  <c r="M35" i="54"/>
  <c r="N35" i="54"/>
  <c r="O35" i="54"/>
  <c r="B36" i="54"/>
  <c r="B47" i="54" s="1"/>
  <c r="C36" i="54"/>
  <c r="C47" i="54" s="1"/>
  <c r="D36" i="54"/>
  <c r="D47" i="54" s="1"/>
  <c r="E36" i="54"/>
  <c r="E47" i="54" s="1"/>
  <c r="F36" i="54"/>
  <c r="F47" i="54" s="1"/>
  <c r="G36" i="54"/>
  <c r="G47" i="54" s="1"/>
  <c r="H36" i="54"/>
  <c r="H47" i="54" s="1"/>
  <c r="I36" i="54"/>
  <c r="I47" i="54" s="1"/>
  <c r="J36" i="54"/>
  <c r="J47" i="54" s="1"/>
  <c r="K36" i="54"/>
  <c r="K47" i="54" s="1"/>
  <c r="L36" i="54"/>
  <c r="L47" i="54" s="1"/>
  <c r="M36" i="54"/>
  <c r="M47" i="54" s="1"/>
  <c r="N36" i="54"/>
  <c r="N47" i="54" s="1"/>
  <c r="O36" i="54"/>
  <c r="O47" i="54" s="1"/>
  <c r="B37" i="54"/>
  <c r="C37" i="54"/>
  <c r="D37" i="54"/>
  <c r="E37" i="54"/>
  <c r="F37" i="54"/>
  <c r="G37" i="54"/>
  <c r="H37" i="54"/>
  <c r="I37" i="54"/>
  <c r="J37" i="54"/>
  <c r="K37" i="54"/>
  <c r="L37" i="54"/>
  <c r="M37" i="54"/>
  <c r="N37" i="54"/>
  <c r="O37" i="54"/>
  <c r="B38" i="54"/>
  <c r="C38" i="54"/>
  <c r="D38" i="54"/>
  <c r="E38" i="54"/>
  <c r="F38" i="54"/>
  <c r="G38" i="54"/>
  <c r="H38" i="54"/>
  <c r="I38" i="54"/>
  <c r="J38" i="54"/>
  <c r="K38" i="54"/>
  <c r="L38" i="54"/>
  <c r="M38" i="54"/>
  <c r="N38" i="54"/>
  <c r="O38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O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O49" i="54"/>
  <c r="B50" i="54"/>
  <c r="C50" i="54"/>
  <c r="D50" i="54"/>
  <c r="E50" i="54"/>
  <c r="F50" i="54"/>
  <c r="G50" i="54"/>
  <c r="H50" i="54"/>
  <c r="I50" i="54"/>
  <c r="J50" i="54"/>
  <c r="K50" i="54"/>
  <c r="L50" i="54"/>
  <c r="M50" i="54"/>
  <c r="N50" i="54"/>
  <c r="O50" i="54"/>
  <c r="F43" i="54" l="1"/>
  <c r="M43" i="54"/>
  <c r="E43" i="54"/>
  <c r="L43" i="54"/>
  <c r="D43" i="54"/>
  <c r="K43" i="54"/>
  <c r="C43" i="54"/>
  <c r="G43" i="54"/>
  <c r="L44" i="54"/>
  <c r="D44" i="54"/>
  <c r="O43" i="54"/>
  <c r="G44" i="54"/>
  <c r="J43" i="54"/>
  <c r="E44" i="54"/>
  <c r="K44" i="54"/>
  <c r="F44" i="54"/>
  <c r="O44" i="54"/>
  <c r="B43" i="54"/>
  <c r="M44" i="54"/>
  <c r="C44" i="54"/>
  <c r="N44" i="54"/>
  <c r="J44" i="54"/>
  <c r="I43" i="54"/>
  <c r="H43" i="54"/>
  <c r="H44" i="54"/>
  <c r="B44" i="54"/>
  <c r="N43" i="54"/>
  <c r="I44" i="54"/>
  <c r="E42" i="54" l="1"/>
  <c r="E41" i="54" s="1"/>
  <c r="E40" i="54" s="1"/>
  <c r="E59" i="54" s="1"/>
  <c r="E71" i="54" s="1"/>
  <c r="D42" i="54"/>
  <c r="D41" i="54" s="1"/>
  <c r="D40" i="54" s="1"/>
  <c r="D59" i="54" s="1"/>
  <c r="D71" i="54" s="1"/>
  <c r="M42" i="54"/>
  <c r="M41" i="54" s="1"/>
  <c r="M40" i="54" s="1"/>
  <c r="M63" i="54" s="1"/>
  <c r="M75" i="54" s="1"/>
  <c r="O42" i="54"/>
  <c r="O41" i="54" s="1"/>
  <c r="O40" i="54" s="1"/>
  <c r="O56" i="54" s="1"/>
  <c r="O68" i="54" s="1"/>
  <c r="F42" i="54"/>
  <c r="F41" i="54" s="1"/>
  <c r="F40" i="54" s="1"/>
  <c r="F60" i="54" s="1"/>
  <c r="F72" i="54" s="1"/>
  <c r="L42" i="54"/>
  <c r="L41" i="54" s="1"/>
  <c r="L40" i="54" s="1"/>
  <c r="L52" i="54" s="1"/>
  <c r="L64" i="54" s="1"/>
  <c r="K42" i="54"/>
  <c r="K41" i="54" s="1"/>
  <c r="K40" i="54" s="1"/>
  <c r="K62" i="54" s="1"/>
  <c r="K74" i="54" s="1"/>
  <c r="H42" i="54"/>
  <c r="H41" i="54" s="1"/>
  <c r="H40" i="54" s="1"/>
  <c r="H57" i="54" s="1"/>
  <c r="H69" i="54" s="1"/>
  <c r="I42" i="54"/>
  <c r="I41" i="54" s="1"/>
  <c r="I40" i="54" s="1"/>
  <c r="I57" i="54" s="1"/>
  <c r="I69" i="54" s="1"/>
  <c r="C42" i="54"/>
  <c r="C41" i="54" s="1"/>
  <c r="C40" i="54" s="1"/>
  <c r="C58" i="54" s="1"/>
  <c r="C70" i="54" s="1"/>
  <c r="G42" i="54"/>
  <c r="G41" i="54" s="1"/>
  <c r="G40" i="54" s="1"/>
  <c r="G53" i="54" s="1"/>
  <c r="G65" i="54" s="1"/>
  <c r="B42" i="54"/>
  <c r="B41" i="54" s="1"/>
  <c r="B40" i="54" s="1"/>
  <c r="B62" i="54" s="1"/>
  <c r="B74" i="54" s="1"/>
  <c r="N42" i="54"/>
  <c r="N41" i="54" s="1"/>
  <c r="N40" i="54" s="1"/>
  <c r="N60" i="54" s="1"/>
  <c r="N72" i="54" s="1"/>
  <c r="J42" i="54"/>
  <c r="J41" i="54" s="1"/>
  <c r="J40" i="54" s="1"/>
  <c r="J63" i="54" s="1"/>
  <c r="J75" i="54" s="1"/>
  <c r="L58" i="54" l="1"/>
  <c r="L70" i="54" s="1"/>
  <c r="O61" i="54"/>
  <c r="O73" i="54" s="1"/>
  <c r="O60" i="54"/>
  <c r="O72" i="54" s="1"/>
  <c r="O52" i="54"/>
  <c r="O64" i="54" s="1"/>
  <c r="O62" i="54"/>
  <c r="O74" i="54" s="1"/>
  <c r="O57" i="54"/>
  <c r="O69" i="54" s="1"/>
  <c r="O58" i="54"/>
  <c r="O70" i="54" s="1"/>
  <c r="O63" i="54"/>
  <c r="O75" i="54" s="1"/>
  <c r="O54" i="54"/>
  <c r="O66" i="54" s="1"/>
  <c r="O53" i="54"/>
  <c r="O65" i="54" s="1"/>
  <c r="O55" i="54"/>
  <c r="O67" i="54" s="1"/>
  <c r="F62" i="54"/>
  <c r="F74" i="54" s="1"/>
  <c r="F63" i="54"/>
  <c r="F75" i="54" s="1"/>
  <c r="E57" i="54"/>
  <c r="E69" i="54" s="1"/>
  <c r="E55" i="54"/>
  <c r="E67" i="54" s="1"/>
  <c r="F56" i="54"/>
  <c r="F68" i="54" s="1"/>
  <c r="L54" i="54"/>
  <c r="L66" i="54" s="1"/>
  <c r="J55" i="54"/>
  <c r="J67" i="54" s="1"/>
  <c r="L55" i="54"/>
  <c r="L67" i="54" s="1"/>
  <c r="E61" i="54"/>
  <c r="E73" i="54" s="1"/>
  <c r="E60" i="54"/>
  <c r="E72" i="54" s="1"/>
  <c r="E62" i="54"/>
  <c r="E74" i="54" s="1"/>
  <c r="E52" i="54"/>
  <c r="E64" i="54" s="1"/>
  <c r="O59" i="54"/>
  <c r="O71" i="54" s="1"/>
  <c r="E58" i="54"/>
  <c r="E70" i="54" s="1"/>
  <c r="E53" i="54"/>
  <c r="E65" i="54" s="1"/>
  <c r="E56" i="54"/>
  <c r="E68" i="54" s="1"/>
  <c r="C52" i="54"/>
  <c r="C64" i="54" s="1"/>
  <c r="E54" i="54"/>
  <c r="E66" i="54" s="1"/>
  <c r="E63" i="54"/>
  <c r="E75" i="54" s="1"/>
  <c r="D53" i="54"/>
  <c r="D65" i="54" s="1"/>
  <c r="F59" i="54"/>
  <c r="F71" i="54" s="1"/>
  <c r="F61" i="54"/>
  <c r="F73" i="54" s="1"/>
  <c r="F57" i="54"/>
  <c r="F69" i="54" s="1"/>
  <c r="K56" i="54"/>
  <c r="K68" i="54" s="1"/>
  <c r="K58" i="54"/>
  <c r="K70" i="54" s="1"/>
  <c r="K52" i="54"/>
  <c r="K64" i="54" s="1"/>
  <c r="K54" i="54"/>
  <c r="K66" i="54" s="1"/>
  <c r="K59" i="54"/>
  <c r="K71" i="54" s="1"/>
  <c r="C60" i="54"/>
  <c r="C72" i="54" s="1"/>
  <c r="G60" i="54"/>
  <c r="G72" i="54" s="1"/>
  <c r="D55" i="54"/>
  <c r="D67" i="54" s="1"/>
  <c r="M61" i="54"/>
  <c r="M73" i="54" s="1"/>
  <c r="M60" i="54"/>
  <c r="M72" i="54" s="1"/>
  <c r="M53" i="54"/>
  <c r="M65" i="54" s="1"/>
  <c r="C54" i="54"/>
  <c r="C66" i="54" s="1"/>
  <c r="D56" i="54"/>
  <c r="D68" i="54" s="1"/>
  <c r="M62" i="54"/>
  <c r="M74" i="54" s="1"/>
  <c r="M52" i="54"/>
  <c r="M64" i="54" s="1"/>
  <c r="D58" i="54"/>
  <c r="D70" i="54" s="1"/>
  <c r="C63" i="54"/>
  <c r="C75" i="54" s="1"/>
  <c r="M58" i="54"/>
  <c r="M70" i="54" s="1"/>
  <c r="C55" i="54"/>
  <c r="C67" i="54" s="1"/>
  <c r="D61" i="54"/>
  <c r="D73" i="54" s="1"/>
  <c r="M54" i="54"/>
  <c r="M66" i="54" s="1"/>
  <c r="M59" i="54"/>
  <c r="M71" i="54" s="1"/>
  <c r="C56" i="54"/>
  <c r="C68" i="54" s="1"/>
  <c r="M55" i="54"/>
  <c r="M67" i="54" s="1"/>
  <c r="C57" i="54"/>
  <c r="C69" i="54" s="1"/>
  <c r="D60" i="54"/>
  <c r="D72" i="54" s="1"/>
  <c r="M57" i="54"/>
  <c r="M69" i="54" s="1"/>
  <c r="M56" i="54"/>
  <c r="M68" i="54" s="1"/>
  <c r="D57" i="54"/>
  <c r="D69" i="54" s="1"/>
  <c r="L63" i="54"/>
  <c r="L75" i="54" s="1"/>
  <c r="L61" i="54"/>
  <c r="L73" i="54" s="1"/>
  <c r="C61" i="54"/>
  <c r="C73" i="54" s="1"/>
  <c r="C59" i="54"/>
  <c r="C71" i="54" s="1"/>
  <c r="F52" i="54"/>
  <c r="F64" i="54" s="1"/>
  <c r="L59" i="54"/>
  <c r="L71" i="54" s="1"/>
  <c r="D62" i="54"/>
  <c r="D74" i="54" s="1"/>
  <c r="D52" i="54"/>
  <c r="D64" i="54" s="1"/>
  <c r="C53" i="54"/>
  <c r="C65" i="54" s="1"/>
  <c r="L57" i="54"/>
  <c r="L69" i="54" s="1"/>
  <c r="L60" i="54"/>
  <c r="L72" i="54" s="1"/>
  <c r="D54" i="54"/>
  <c r="D66" i="54" s="1"/>
  <c r="C62" i="54"/>
  <c r="C74" i="54" s="1"/>
  <c r="F58" i="54"/>
  <c r="F70" i="54" s="1"/>
  <c r="F53" i="54"/>
  <c r="F65" i="54" s="1"/>
  <c r="L53" i="54"/>
  <c r="L65" i="54" s="1"/>
  <c r="L56" i="54"/>
  <c r="L68" i="54" s="1"/>
  <c r="D63" i="54"/>
  <c r="D75" i="54" s="1"/>
  <c r="F54" i="54"/>
  <c r="F66" i="54" s="1"/>
  <c r="L62" i="54"/>
  <c r="L74" i="54" s="1"/>
  <c r="K60" i="54"/>
  <c r="K72" i="54" s="1"/>
  <c r="K55" i="54"/>
  <c r="K67" i="54" s="1"/>
  <c r="K61" i="54"/>
  <c r="K73" i="54" s="1"/>
  <c r="K63" i="54"/>
  <c r="K75" i="54" s="1"/>
  <c r="K57" i="54"/>
  <c r="K69" i="54" s="1"/>
  <c r="H63" i="54"/>
  <c r="H75" i="54" s="1"/>
  <c r="H53" i="54"/>
  <c r="H65" i="54" s="1"/>
  <c r="K53" i="54"/>
  <c r="K65" i="54" s="1"/>
  <c r="H55" i="54"/>
  <c r="H67" i="54" s="1"/>
  <c r="H58" i="54"/>
  <c r="H70" i="54" s="1"/>
  <c r="H59" i="54"/>
  <c r="H71" i="54" s="1"/>
  <c r="H60" i="54"/>
  <c r="H72" i="54" s="1"/>
  <c r="H54" i="54"/>
  <c r="H66" i="54" s="1"/>
  <c r="H56" i="54"/>
  <c r="H68" i="54" s="1"/>
  <c r="I59" i="54"/>
  <c r="I71" i="54" s="1"/>
  <c r="H52" i="54"/>
  <c r="H64" i="54" s="1"/>
  <c r="I53" i="54"/>
  <c r="I65" i="54" s="1"/>
  <c r="H62" i="54"/>
  <c r="H74" i="54" s="1"/>
  <c r="H61" i="54"/>
  <c r="H73" i="54" s="1"/>
  <c r="I54" i="54"/>
  <c r="I66" i="54" s="1"/>
  <c r="G55" i="54"/>
  <c r="G67" i="54" s="1"/>
  <c r="I58" i="54"/>
  <c r="I70" i="54" s="1"/>
  <c r="I63" i="54"/>
  <c r="I75" i="54" s="1"/>
  <c r="I55" i="54"/>
  <c r="I67" i="54" s="1"/>
  <c r="F55" i="54"/>
  <c r="F67" i="54" s="1"/>
  <c r="I56" i="54"/>
  <c r="I68" i="54" s="1"/>
  <c r="I52" i="54"/>
  <c r="I64" i="54" s="1"/>
  <c r="I60" i="54"/>
  <c r="I72" i="54" s="1"/>
  <c r="I62" i="54"/>
  <c r="I74" i="54" s="1"/>
  <c r="B63" i="54"/>
  <c r="B75" i="54" s="1"/>
  <c r="I61" i="54"/>
  <c r="I73" i="54" s="1"/>
  <c r="B56" i="54"/>
  <c r="B68" i="54" s="1"/>
  <c r="B58" i="54"/>
  <c r="B70" i="54" s="1"/>
  <c r="B60" i="54"/>
  <c r="B72" i="54" s="1"/>
  <c r="B54" i="54"/>
  <c r="B66" i="54" s="1"/>
  <c r="G59" i="54"/>
  <c r="G71" i="54" s="1"/>
  <c r="B61" i="54"/>
  <c r="B73" i="54" s="1"/>
  <c r="B55" i="54"/>
  <c r="B67" i="54" s="1"/>
  <c r="G56" i="54"/>
  <c r="G68" i="54" s="1"/>
  <c r="B52" i="54"/>
  <c r="B64" i="54" s="1"/>
  <c r="B57" i="54"/>
  <c r="B69" i="54" s="1"/>
  <c r="G58" i="54"/>
  <c r="G70" i="54" s="1"/>
  <c r="G52" i="54"/>
  <c r="G64" i="54" s="1"/>
  <c r="B59" i="54"/>
  <c r="B71" i="54" s="1"/>
  <c r="B53" i="54"/>
  <c r="B65" i="54" s="1"/>
  <c r="G62" i="54"/>
  <c r="G74" i="54" s="1"/>
  <c r="G57" i="54"/>
  <c r="G69" i="54" s="1"/>
  <c r="G54" i="54"/>
  <c r="G66" i="54" s="1"/>
  <c r="G61" i="54"/>
  <c r="G73" i="54" s="1"/>
  <c r="G63" i="54"/>
  <c r="G75" i="54" s="1"/>
  <c r="J61" i="54"/>
  <c r="J73" i="54" s="1"/>
  <c r="J57" i="54"/>
  <c r="J69" i="54" s="1"/>
  <c r="J52" i="54"/>
  <c r="J64" i="54" s="1"/>
  <c r="J59" i="54"/>
  <c r="J71" i="54" s="1"/>
  <c r="N61" i="54"/>
  <c r="N73" i="54" s="1"/>
  <c r="J53" i="54"/>
  <c r="J65" i="54" s="1"/>
  <c r="N54" i="54"/>
  <c r="N66" i="54" s="1"/>
  <c r="J62" i="54"/>
  <c r="J74" i="54" s="1"/>
  <c r="N63" i="54"/>
  <c r="N75" i="54" s="1"/>
  <c r="N62" i="54"/>
  <c r="N74" i="54" s="1"/>
  <c r="J58" i="54"/>
  <c r="J70" i="54" s="1"/>
  <c r="N55" i="54"/>
  <c r="N67" i="54" s="1"/>
  <c r="J60" i="54"/>
  <c r="J72" i="54" s="1"/>
  <c r="J54" i="54"/>
  <c r="J66" i="54" s="1"/>
  <c r="N56" i="54"/>
  <c r="N68" i="54" s="1"/>
  <c r="J56" i="54"/>
  <c r="J68" i="54" s="1"/>
  <c r="N52" i="54"/>
  <c r="N64" i="54" s="1"/>
  <c r="N58" i="54"/>
  <c r="N70" i="54" s="1"/>
  <c r="N57" i="54"/>
  <c r="N69" i="54" s="1"/>
  <c r="N59" i="54"/>
  <c r="N71" i="54" s="1"/>
  <c r="N53" i="54"/>
  <c r="N65" i="54" s="1"/>
  <c r="B7" i="43"/>
  <c r="B6" i="43"/>
  <c r="B14" i="43"/>
  <c r="B11" i="43"/>
  <c r="B19" i="43"/>
  <c r="F27" i="43"/>
  <c r="F28" i="43"/>
  <c r="F29" i="43"/>
  <c r="F30" i="43"/>
  <c r="F31" i="43"/>
  <c r="F32" i="43"/>
  <c r="F33" i="43"/>
  <c r="F34" i="43"/>
  <c r="F35" i="43"/>
  <c r="F36" i="43"/>
  <c r="F37" i="43"/>
  <c r="F38" i="43"/>
  <c r="F39" i="43"/>
  <c r="F40" i="43"/>
  <c r="F41" i="43"/>
  <c r="F42" i="43"/>
  <c r="F43" i="43"/>
  <c r="F44" i="43"/>
  <c r="F45" i="43"/>
  <c r="F46" i="43"/>
  <c r="F47" i="43"/>
  <c r="F48" i="43"/>
  <c r="F49" i="43"/>
  <c r="F50" i="43"/>
  <c r="F51" i="43"/>
  <c r="F52" i="43"/>
  <c r="F53" i="43"/>
  <c r="F54" i="43"/>
  <c r="F55" i="43"/>
  <c r="F56" i="43"/>
  <c r="F57" i="43"/>
  <c r="F58" i="43"/>
  <c r="F59" i="43"/>
  <c r="F60" i="43"/>
  <c r="F61" i="43"/>
  <c r="F62" i="43"/>
  <c r="F63" i="43"/>
  <c r="F64" i="43"/>
  <c r="F65" i="43"/>
  <c r="F66" i="43"/>
  <c r="F67" i="43"/>
  <c r="F68" i="43"/>
  <c r="F69" i="43"/>
  <c r="F70" i="43"/>
  <c r="F71" i="43"/>
  <c r="F72" i="43"/>
  <c r="F73" i="43"/>
  <c r="F74" i="43"/>
  <c r="F75" i="43"/>
  <c r="F76" i="43"/>
  <c r="F77" i="43"/>
  <c r="F78" i="43"/>
  <c r="F79" i="43"/>
  <c r="F80" i="43"/>
  <c r="F81" i="43"/>
  <c r="F82" i="43"/>
  <c r="F83" i="43"/>
  <c r="F84" i="43"/>
  <c r="F85" i="43"/>
  <c r="F86" i="43"/>
  <c r="F87" i="43"/>
  <c r="F88" i="43"/>
  <c r="F89" i="43"/>
  <c r="F90" i="43"/>
  <c r="F91" i="43"/>
  <c r="F92" i="43"/>
  <c r="F93" i="43"/>
  <c r="F94" i="43"/>
  <c r="F95" i="43"/>
  <c r="F96" i="43"/>
  <c r="F97" i="43"/>
  <c r="F98" i="43"/>
  <c r="F99" i="43"/>
  <c r="F100" i="43"/>
  <c r="F101" i="43"/>
  <c r="F102" i="43"/>
  <c r="F103" i="43"/>
  <c r="F104" i="43"/>
  <c r="F105" i="43"/>
  <c r="F106" i="43"/>
  <c r="F107" i="43"/>
  <c r="F108" i="43"/>
  <c r="F109" i="43"/>
  <c r="F110" i="43"/>
  <c r="F111" i="43"/>
  <c r="F112" i="43"/>
  <c r="F113" i="43"/>
  <c r="F114" i="43"/>
  <c r="F115" i="43"/>
  <c r="F116" i="43"/>
  <c r="F117" i="43"/>
  <c r="F118" i="43"/>
  <c r="F119" i="43"/>
  <c r="F120" i="43"/>
  <c r="F121" i="43"/>
  <c r="F122" i="43"/>
  <c r="F123" i="43"/>
  <c r="F124" i="43"/>
  <c r="F125" i="43"/>
  <c r="F126" i="43"/>
  <c r="F127" i="43"/>
  <c r="F128" i="43"/>
  <c r="F129" i="43"/>
  <c r="F130" i="43"/>
  <c r="F131" i="43"/>
  <c r="F132" i="43"/>
  <c r="F133" i="43"/>
  <c r="F134" i="43"/>
  <c r="F135" i="43"/>
  <c r="F136" i="43"/>
  <c r="F137" i="43"/>
  <c r="F138" i="43"/>
  <c r="F139" i="43"/>
  <c r="F140" i="43"/>
  <c r="F141" i="43"/>
  <c r="F142" i="43"/>
  <c r="F143" i="43"/>
  <c r="F144" i="43"/>
  <c r="F145" i="43"/>
  <c r="F146" i="43"/>
  <c r="F3" i="43"/>
  <c r="F4" i="43"/>
  <c r="F5" i="43"/>
  <c r="F6" i="43"/>
  <c r="F7" i="43"/>
  <c r="F8" i="43"/>
  <c r="F9" i="43"/>
  <c r="F10" i="43"/>
  <c r="F11" i="43"/>
  <c r="F12" i="43"/>
  <c r="F13" i="43"/>
  <c r="F14" i="43"/>
  <c r="F15" i="43"/>
  <c r="F16" i="43"/>
  <c r="F17" i="43"/>
  <c r="F18" i="43"/>
  <c r="F19" i="43"/>
  <c r="F20" i="43"/>
  <c r="F21" i="43"/>
  <c r="F22" i="43"/>
  <c r="F23" i="43"/>
  <c r="F24" i="43"/>
  <c r="F25" i="43"/>
  <c r="F26" i="43"/>
  <c r="N6" i="41" a="1"/>
  <c r="J34" i="77" l="1" a="1"/>
  <c r="J34" i="77" s="1"/>
  <c r="K34" i="77" s="1"/>
  <c r="H34" i="77" a="1"/>
  <c r="H34" i="77" s="1"/>
  <c r="I34" i="77" s="1"/>
  <c r="J34" i="76" a="1"/>
  <c r="J34" i="76" s="1"/>
  <c r="K34" i="76" s="1"/>
  <c r="H34" i="76" a="1"/>
  <c r="H34" i="76" s="1"/>
  <c r="I34" i="76" s="1"/>
  <c r="J33" i="76" a="1"/>
  <c r="J33" i="76" s="1"/>
  <c r="K33" i="76" s="1"/>
  <c r="H33" i="76" a="1"/>
  <c r="H33" i="76" s="1"/>
  <c r="I33" i="76" s="1"/>
  <c r="H34" i="75" a="1"/>
  <c r="H34" i="75" s="1"/>
  <c r="I34" i="75" s="1"/>
  <c r="J34" i="75" a="1"/>
  <c r="J34" i="75" s="1"/>
  <c r="K34" i="75" s="1"/>
  <c r="H3" i="74" a="1"/>
  <c r="H3" i="74" s="1"/>
  <c r="I3" i="74" s="1"/>
  <c r="J3" i="74" a="1"/>
  <c r="J3" i="74" s="1"/>
  <c r="K3" i="74" s="1"/>
  <c r="H34" i="73" a="1"/>
  <c r="H34" i="73" s="1"/>
  <c r="I34" i="73" s="1"/>
  <c r="J34" i="73" a="1"/>
  <c r="J34" i="73" s="1"/>
  <c r="K34" i="73" s="1"/>
  <c r="H3" i="72" a="1"/>
  <c r="H3" i="72" s="1"/>
  <c r="I3" i="72" s="1"/>
  <c r="J3" i="72" a="1"/>
  <c r="J3" i="72" s="1"/>
  <c r="K3" i="72" s="1"/>
  <c r="H3" i="71" a="1"/>
  <c r="H3" i="71" s="1"/>
  <c r="I3" i="71" s="1"/>
  <c r="J3" i="71" a="1"/>
  <c r="J3" i="71" s="1"/>
  <c r="K3" i="71" s="1"/>
  <c r="J3" i="70" a="1"/>
  <c r="J3" i="70" s="1"/>
  <c r="K3" i="70" s="1"/>
  <c r="H3" i="70" a="1"/>
  <c r="H3" i="70" s="1"/>
  <c r="I3" i="70" s="1"/>
  <c r="H34" i="69" a="1"/>
  <c r="H34" i="69" s="1"/>
  <c r="I34" i="69" s="1"/>
  <c r="J34" i="69" a="1"/>
  <c r="J34" i="69" s="1"/>
  <c r="K34" i="69" s="1"/>
  <c r="H3" i="56" a="1"/>
  <c r="H3" i="56" s="1"/>
  <c r="I3" i="56" s="1"/>
  <c r="J3" i="56" a="1"/>
  <c r="J3" i="56" s="1"/>
  <c r="K3" i="56" s="1"/>
  <c r="N6" i="41"/>
  <c r="O76" i="54"/>
  <c r="O77" i="54" s="1"/>
  <c r="J34" i="57" a="1"/>
  <c r="J34" i="57" s="1"/>
  <c r="K34" i="57" s="1"/>
  <c r="H34" i="57" a="1"/>
  <c r="H34" i="57" s="1"/>
  <c r="I34" i="57" s="1"/>
  <c r="E76" i="54"/>
  <c r="E77" i="54" s="1"/>
  <c r="L76" i="54"/>
  <c r="L77" i="54" s="1"/>
  <c r="M76" i="54"/>
  <c r="M77" i="54" s="1"/>
  <c r="F76" i="54"/>
  <c r="F77" i="54" s="1"/>
  <c r="C76" i="54"/>
  <c r="C77" i="54" s="1"/>
  <c r="J34" i="55" a="1"/>
  <c r="J34" i="55" s="1"/>
  <c r="K34" i="55" s="1"/>
  <c r="H34" i="55" a="1"/>
  <c r="H34" i="55" s="1"/>
  <c r="I34" i="55" s="1"/>
  <c r="D76" i="54"/>
  <c r="D77" i="54" s="1"/>
  <c r="H76" i="54"/>
  <c r="H77" i="54" s="1"/>
  <c r="K76" i="54"/>
  <c r="K77" i="54" s="1"/>
  <c r="I76" i="54"/>
  <c r="I77" i="54" s="1"/>
  <c r="B76" i="54"/>
  <c r="B77" i="54" s="1"/>
  <c r="G76" i="54"/>
  <c r="G77" i="54" s="1"/>
  <c r="J76" i="54"/>
  <c r="J77" i="54" s="1"/>
  <c r="N76" i="54"/>
  <c r="N77" i="54" s="1"/>
  <c r="J3" i="51" a="1"/>
  <c r="J3" i="51" s="1"/>
  <c r="K3" i="51" s="1"/>
  <c r="H3" i="52" a="1"/>
  <c r="H3" i="52" s="1"/>
  <c r="I3" i="52" s="1"/>
  <c r="J3" i="52" a="1"/>
  <c r="J3" i="52" s="1"/>
  <c r="K3" i="52" s="1"/>
  <c r="H3" i="51" a="1"/>
  <c r="H3" i="51" s="1"/>
  <c r="I3" i="51" s="1"/>
  <c r="G34" i="77" l="1"/>
  <c r="O2" i="77" s="1"/>
  <c r="G33" i="76"/>
  <c r="C1" i="54" a="1"/>
  <c r="C1" i="54" s="1"/>
  <c r="E2" i="54" s="1"/>
  <c r="G34" i="75"/>
  <c r="O2" i="75" s="1"/>
  <c r="G3" i="74"/>
  <c r="O2" i="74" s="1"/>
  <c r="G34" i="73"/>
  <c r="O2" i="73" s="1"/>
  <c r="G3" i="72"/>
  <c r="O2" i="72" s="1"/>
  <c r="G3" i="70"/>
  <c r="O2" i="70" s="1"/>
  <c r="G3" i="71"/>
  <c r="O2" i="71" s="1"/>
  <c r="G34" i="69"/>
  <c r="O2" i="69" s="1"/>
  <c r="G3" i="56"/>
  <c r="O2" i="56" s="1"/>
  <c r="G34" i="57"/>
  <c r="O2" i="57" s="1"/>
  <c r="G34" i="55"/>
  <c r="O2" i="55" s="1"/>
  <c r="G3" i="52"/>
  <c r="O2" i="52" s="1"/>
  <c r="G3" i="51"/>
  <c r="O2" i="51" s="1"/>
  <c r="E2" i="41" a="1"/>
  <c r="D34" i="77" a="1"/>
  <c r="D34" i="69" a="1"/>
  <c r="D34" i="57" a="1"/>
  <c r="D3" i="51" a="1"/>
  <c r="D3" i="70" a="1"/>
  <c r="D34" i="75" a="1"/>
  <c r="D3" i="52" a="1"/>
  <c r="D3" i="56" a="1"/>
  <c r="D3" i="72" a="1"/>
  <c r="D34" i="55" a="1"/>
  <c r="D3" i="71" a="1"/>
  <c r="D3" i="74" a="1"/>
  <c r="D34" i="73" a="1"/>
  <c r="D33" i="76" a="1"/>
  <c r="D34" i="77" l="1"/>
  <c r="E34" i="77" s="1"/>
  <c r="F34" i="77" s="1"/>
  <c r="C3" i="54"/>
  <c r="C2" i="54"/>
  <c r="D2" i="54"/>
  <c r="D33" i="76"/>
  <c r="E33" i="76" s="1"/>
  <c r="F33" i="76" s="1"/>
  <c r="C4" i="54"/>
  <c r="C8" i="54"/>
  <c r="C10" i="54"/>
  <c r="C12" i="54"/>
  <c r="E3" i="54"/>
  <c r="C5" i="54"/>
  <c r="D34" i="75"/>
  <c r="E34" i="75" s="1"/>
  <c r="F34" i="75" s="1"/>
  <c r="D3" i="74"/>
  <c r="E3" i="74" s="1"/>
  <c r="F3" i="74" s="1"/>
  <c r="D34" i="73"/>
  <c r="D3" i="72"/>
  <c r="E3" i="72" s="1"/>
  <c r="F3" i="72" s="1"/>
  <c r="D3" i="70"/>
  <c r="E3" i="70" s="1"/>
  <c r="F3" i="70" s="1"/>
  <c r="D3" i="71"/>
  <c r="D34" i="69"/>
  <c r="D3" i="56"/>
  <c r="E2" i="41"/>
  <c r="D34" i="57"/>
  <c r="D34" i="55"/>
  <c r="J33" i="55" s="1" a="1"/>
  <c r="J33" i="55" s="1"/>
  <c r="K33" i="55" s="1"/>
  <c r="C7" i="54"/>
  <c r="C6" i="54"/>
  <c r="D3" i="54"/>
  <c r="D8" i="54"/>
  <c r="D13" i="54"/>
  <c r="E13" i="54"/>
  <c r="D5" i="54"/>
  <c r="D6" i="54"/>
  <c r="D11" i="54"/>
  <c r="C9" i="54"/>
  <c r="D4" i="54"/>
  <c r="D10" i="54"/>
  <c r="H1" i="54"/>
  <c r="D7" i="54"/>
  <c r="E8" i="54"/>
  <c r="E5" i="54"/>
  <c r="E12" i="54"/>
  <c r="D9" i="54"/>
  <c r="H8" i="54"/>
  <c r="E4" i="54"/>
  <c r="C13" i="54"/>
  <c r="H7" i="54"/>
  <c r="D12" i="54"/>
  <c r="C11" i="54"/>
  <c r="E7" i="54"/>
  <c r="E6" i="54"/>
  <c r="E11" i="54"/>
  <c r="E9" i="54"/>
  <c r="H6" i="54"/>
  <c r="E10" i="54"/>
  <c r="D3" i="52"/>
  <c r="E3" i="52" s="1"/>
  <c r="F3" i="52" s="1"/>
  <c r="D3" i="51"/>
  <c r="J4" i="51" s="1" a="1"/>
  <c r="J4" i="51" s="1"/>
  <c r="K4" i="51" s="1"/>
  <c r="L3" i="52" a="1"/>
  <c r="L3" i="70" a="1"/>
  <c r="L34" i="55" a="1"/>
  <c r="L3" i="51" a="1"/>
  <c r="L34" i="69" a="1"/>
  <c r="L34" i="75" a="1"/>
  <c r="L3" i="71" a="1"/>
  <c r="L3" i="56" a="1"/>
  <c r="L34" i="77" a="1"/>
  <c r="L33" i="76" a="1"/>
  <c r="L34" i="57" a="1"/>
  <c r="L3" i="74" a="1"/>
  <c r="L34" i="73" a="1"/>
  <c r="L3" i="72" a="1"/>
  <c r="H33" i="77" l="1" a="1"/>
  <c r="H33" i="77" s="1"/>
  <c r="I33" i="77" s="1"/>
  <c r="J33" i="77" a="1"/>
  <c r="J33" i="77" s="1"/>
  <c r="K33" i="77" s="1"/>
  <c r="L34" i="77"/>
  <c r="J32" i="76" a="1"/>
  <c r="J32" i="76" s="1"/>
  <c r="K32" i="76" s="1"/>
  <c r="H32" i="76" a="1"/>
  <c r="H32" i="76" s="1"/>
  <c r="I32" i="76" s="1"/>
  <c r="L33" i="76"/>
  <c r="H33" i="75" a="1"/>
  <c r="H33" i="75" s="1"/>
  <c r="I33" i="75" s="1"/>
  <c r="J33" i="75" a="1"/>
  <c r="J33" i="75" s="1"/>
  <c r="K33" i="75" s="1"/>
  <c r="L34" i="75"/>
  <c r="J4" i="72" a="1"/>
  <c r="J4" i="72" s="1"/>
  <c r="K4" i="72" s="1"/>
  <c r="H4" i="74" a="1"/>
  <c r="H4" i="74" s="1"/>
  <c r="I4" i="74" s="1"/>
  <c r="J4" i="74" a="1"/>
  <c r="J4" i="74" s="1"/>
  <c r="K4" i="74" s="1"/>
  <c r="L3" i="74"/>
  <c r="H4" i="72" a="1"/>
  <c r="H4" i="72" s="1"/>
  <c r="I4" i="72" s="1"/>
  <c r="L34" i="73"/>
  <c r="E34" i="73"/>
  <c r="F34" i="73" s="1"/>
  <c r="J33" i="73" a="1"/>
  <c r="J33" i="73" s="1"/>
  <c r="K33" i="73" s="1"/>
  <c r="H33" i="73" a="1"/>
  <c r="H33" i="73" s="1"/>
  <c r="I33" i="73" s="1"/>
  <c r="L3" i="72"/>
  <c r="H4" i="70" a="1"/>
  <c r="H4" i="70" s="1"/>
  <c r="I4" i="70" s="1"/>
  <c r="J4" i="70" a="1"/>
  <c r="J4" i="70" s="1"/>
  <c r="K4" i="70" s="1"/>
  <c r="L3" i="71"/>
  <c r="L3" i="70"/>
  <c r="E3" i="71"/>
  <c r="F3" i="71" s="1"/>
  <c r="J4" i="71" a="1"/>
  <c r="J4" i="71" s="1"/>
  <c r="K4" i="71" s="1"/>
  <c r="H4" i="71" a="1"/>
  <c r="H4" i="71" s="1"/>
  <c r="I4" i="71" s="1"/>
  <c r="L34" i="69"/>
  <c r="E34" i="69"/>
  <c r="F34" i="69" s="1"/>
  <c r="J33" i="69" a="1"/>
  <c r="J33" i="69" s="1"/>
  <c r="K33" i="69" s="1"/>
  <c r="H33" i="69" a="1"/>
  <c r="H33" i="69" s="1"/>
  <c r="I33" i="69" s="1"/>
  <c r="H4" i="56" a="1"/>
  <c r="H4" i="56" s="1"/>
  <c r="I4" i="56" s="1"/>
  <c r="J4" i="56" a="1"/>
  <c r="J4" i="56" s="1"/>
  <c r="K4" i="56" s="1"/>
  <c r="L3" i="56"/>
  <c r="E3" i="56"/>
  <c r="F3" i="56" s="1"/>
  <c r="H33" i="55" a="1"/>
  <c r="H33" i="55" s="1"/>
  <c r="I33" i="55" s="1"/>
  <c r="G33" i="55" s="1"/>
  <c r="L34" i="57"/>
  <c r="E34" i="57"/>
  <c r="F34" i="57" s="1"/>
  <c r="J33" i="57" a="1"/>
  <c r="J33" i="57" s="1"/>
  <c r="K33" i="57" s="1"/>
  <c r="H33" i="57" a="1"/>
  <c r="H33" i="57" s="1"/>
  <c r="I33" i="57" s="1"/>
  <c r="E34" i="55"/>
  <c r="F34" i="55" s="1"/>
  <c r="L34" i="55"/>
  <c r="J4" i="52" a="1"/>
  <c r="J4" i="52" s="1"/>
  <c r="K4" i="52" s="1"/>
  <c r="H4" i="52" a="1"/>
  <c r="H4" i="52" s="1"/>
  <c r="I4" i="52" s="1"/>
  <c r="R21" i="54"/>
  <c r="S21" i="54" s="1"/>
  <c r="T21" i="54" s="1"/>
  <c r="H13" i="54" a="1"/>
  <c r="H13" i="54" s="1"/>
  <c r="R30" i="54"/>
  <c r="S30" i="54" s="1"/>
  <c r="T30" i="54" s="1"/>
  <c r="R36" i="54"/>
  <c r="S36" i="54" s="1"/>
  <c r="T36" i="54" s="1"/>
  <c r="H12" i="54"/>
  <c r="H11" i="54"/>
  <c r="R40" i="54"/>
  <c r="S40" i="54" s="1"/>
  <c r="T40" i="54" s="1"/>
  <c r="R32" i="54"/>
  <c r="S32" i="54" s="1"/>
  <c r="T32" i="54" s="1"/>
  <c r="R34" i="54"/>
  <c r="S34" i="54" s="1"/>
  <c r="T34" i="54" s="1"/>
  <c r="R20" i="54"/>
  <c r="S20" i="54" s="1"/>
  <c r="T20" i="54" s="1"/>
  <c r="R22" i="54"/>
  <c r="S22" i="54" s="1"/>
  <c r="T22" i="54" s="1"/>
  <c r="R28" i="54"/>
  <c r="S28" i="54" s="1"/>
  <c r="T28" i="54" s="1"/>
  <c r="R26" i="54"/>
  <c r="S26" i="54" s="1"/>
  <c r="T26" i="54" s="1"/>
  <c r="R48" i="54"/>
  <c r="S48" i="54" s="1"/>
  <c r="T48" i="54" s="1"/>
  <c r="R46" i="54"/>
  <c r="S46" i="54" s="1"/>
  <c r="T46" i="54" s="1"/>
  <c r="R38" i="54"/>
  <c r="S38" i="54" s="1"/>
  <c r="T38" i="54" s="1"/>
  <c r="R42" i="54"/>
  <c r="S42" i="54" s="1"/>
  <c r="T42" i="54" s="1"/>
  <c r="R45" i="54"/>
  <c r="S45" i="54" s="1"/>
  <c r="T45" i="54" s="1"/>
  <c r="R18" i="54"/>
  <c r="S18" i="54" s="1"/>
  <c r="T18" i="54" s="1"/>
  <c r="R24" i="54"/>
  <c r="S24" i="54" s="1"/>
  <c r="T24" i="54" s="1"/>
  <c r="R41" i="54"/>
  <c r="S41" i="54" s="1"/>
  <c r="T41" i="54" s="1"/>
  <c r="R25" i="54"/>
  <c r="S25" i="54" s="1"/>
  <c r="T25" i="54" s="1"/>
  <c r="R35" i="54"/>
  <c r="S35" i="54" s="1"/>
  <c r="T35" i="54" s="1"/>
  <c r="R33" i="54"/>
  <c r="S33" i="54" s="1"/>
  <c r="T33" i="54" s="1"/>
  <c r="R17" i="54"/>
  <c r="S17" i="54" s="1"/>
  <c r="T17" i="54" s="1"/>
  <c r="R29" i="54"/>
  <c r="S29" i="54" s="1"/>
  <c r="T29" i="54" s="1"/>
  <c r="R27" i="54"/>
  <c r="S27" i="54" s="1"/>
  <c r="T27" i="54" s="1"/>
  <c r="R47" i="54"/>
  <c r="S47" i="54" s="1"/>
  <c r="T47" i="54" s="1"/>
  <c r="R31" i="54"/>
  <c r="S31" i="54" s="1"/>
  <c r="T31" i="54" s="1"/>
  <c r="R43" i="54"/>
  <c r="S43" i="54" s="1"/>
  <c r="T43" i="54" s="1"/>
  <c r="R39" i="54"/>
  <c r="S39" i="54" s="1"/>
  <c r="T39" i="54" s="1"/>
  <c r="R37" i="54"/>
  <c r="S37" i="54" s="1"/>
  <c r="T37" i="54" s="1"/>
  <c r="R23" i="54"/>
  <c r="S23" i="54" s="1"/>
  <c r="T23" i="54" s="1"/>
  <c r="R44" i="54"/>
  <c r="S44" i="54" s="1"/>
  <c r="T44" i="54" s="1"/>
  <c r="R19" i="54"/>
  <c r="S19" i="54" s="1"/>
  <c r="T19" i="54" s="1"/>
  <c r="L3" i="52"/>
  <c r="H4" i="51" a="1"/>
  <c r="H4" i="51" s="1"/>
  <c r="I4" i="51" s="1"/>
  <c r="G4" i="51" s="1"/>
  <c r="L3" i="51"/>
  <c r="E3" i="51"/>
  <c r="F3" i="51" s="1"/>
  <c r="D33" i="55" a="1"/>
  <c r="D4" i="51" a="1"/>
  <c r="G33" i="77" l="1"/>
  <c r="G32" i="76"/>
  <c r="G33" i="75"/>
  <c r="G4" i="72"/>
  <c r="G4" i="74"/>
  <c r="G33" i="73"/>
  <c r="G4" i="70"/>
  <c r="G4" i="71"/>
  <c r="G33" i="69"/>
  <c r="G4" i="56"/>
  <c r="G33" i="57"/>
  <c r="G4" i="52"/>
  <c r="D33" i="55"/>
  <c r="D4" i="51"/>
  <c r="E4" i="51" s="1"/>
  <c r="F4" i="51" s="1"/>
  <c r="D4" i="70" a="1"/>
  <c r="D4" i="52" a="1"/>
  <c r="L33" i="55" a="1"/>
  <c r="L4" i="51" a="1"/>
  <c r="D4" i="72" a="1"/>
  <c r="D4" i="71" a="1"/>
  <c r="D4" i="74" a="1"/>
  <c r="D32" i="76" a="1"/>
  <c r="D33" i="73" a="1"/>
  <c r="D4" i="56" a="1"/>
  <c r="D33" i="75" a="1"/>
  <c r="D33" i="77" a="1"/>
  <c r="D33" i="57" a="1"/>
  <c r="D33" i="69" a="1"/>
  <c r="D33" i="77" l="1"/>
  <c r="H32" i="77" s="1" a="1"/>
  <c r="H32" i="77" s="1"/>
  <c r="I32" i="77" s="1"/>
  <c r="D32" i="76"/>
  <c r="E32" i="76" s="1"/>
  <c r="F32" i="76" s="1"/>
  <c r="D33" i="75"/>
  <c r="E33" i="75" s="1"/>
  <c r="F33" i="75" s="1"/>
  <c r="D4" i="72"/>
  <c r="J5" i="72" s="1" a="1"/>
  <c r="J5" i="72" s="1"/>
  <c r="K5" i="72" s="1"/>
  <c r="D4" i="74"/>
  <c r="D33" i="73"/>
  <c r="D4" i="70"/>
  <c r="H5" i="70" s="1" a="1"/>
  <c r="H5" i="70" s="1"/>
  <c r="I5" i="70" s="1"/>
  <c r="D4" i="71"/>
  <c r="D33" i="69"/>
  <c r="E33" i="69" s="1"/>
  <c r="F33" i="69" s="1"/>
  <c r="D4" i="56"/>
  <c r="H5" i="56" s="1" a="1"/>
  <c r="H5" i="56" s="1"/>
  <c r="I5" i="56" s="1"/>
  <c r="D33" i="57"/>
  <c r="D4" i="52"/>
  <c r="J5" i="52" s="1" a="1"/>
  <c r="J5" i="52" s="1"/>
  <c r="K5" i="52" s="1"/>
  <c r="L33" i="55"/>
  <c r="J32" i="55" a="1"/>
  <c r="J32" i="55" s="1"/>
  <c r="K32" i="55" s="1"/>
  <c r="H32" i="55" a="1"/>
  <c r="H32" i="55" s="1"/>
  <c r="I32" i="55" s="1"/>
  <c r="E33" i="55"/>
  <c r="F33" i="55" s="1"/>
  <c r="H5" i="51" a="1"/>
  <c r="H5" i="51" s="1"/>
  <c r="I5" i="51" s="1"/>
  <c r="J5" i="51" a="1"/>
  <c r="J5" i="51" s="1"/>
  <c r="K5" i="51" s="1"/>
  <c r="L4" i="51"/>
  <c r="L33" i="57" a="1"/>
  <c r="L33" i="69" a="1"/>
  <c r="L4" i="71" a="1"/>
  <c r="L4" i="56" a="1"/>
  <c r="L4" i="70" a="1"/>
  <c r="L33" i="75" a="1"/>
  <c r="L33" i="73" a="1"/>
  <c r="L4" i="72" a="1"/>
  <c r="L4" i="74" a="1"/>
  <c r="L32" i="76" a="1"/>
  <c r="L4" i="52" a="1"/>
  <c r="L33" i="77" a="1"/>
  <c r="E33" i="77" l="1"/>
  <c r="F33" i="77" s="1"/>
  <c r="L33" i="77"/>
  <c r="J32" i="77" a="1"/>
  <c r="J32" i="77" s="1"/>
  <c r="K32" i="77" s="1"/>
  <c r="G32" i="77" s="1"/>
  <c r="H31" i="76" a="1"/>
  <c r="H31" i="76" s="1"/>
  <c r="I31" i="76" s="1"/>
  <c r="J31" i="76" a="1"/>
  <c r="J31" i="76" s="1"/>
  <c r="K31" i="76" s="1"/>
  <c r="L32" i="76"/>
  <c r="H32" i="75" a="1"/>
  <c r="H32" i="75" s="1"/>
  <c r="I32" i="75" s="1"/>
  <c r="L33" i="75"/>
  <c r="J32" i="75" a="1"/>
  <c r="J32" i="75" s="1"/>
  <c r="K32" i="75" s="1"/>
  <c r="H5" i="72" a="1"/>
  <c r="H5" i="72" s="1"/>
  <c r="I5" i="72" s="1"/>
  <c r="G5" i="72" s="1"/>
  <c r="L4" i="72"/>
  <c r="E4" i="72"/>
  <c r="F4" i="72" s="1"/>
  <c r="L4" i="74"/>
  <c r="J5" i="74" a="1"/>
  <c r="J5" i="74" s="1"/>
  <c r="K5" i="74" s="1"/>
  <c r="E4" i="74"/>
  <c r="F4" i="74" s="1"/>
  <c r="H5" i="74" a="1"/>
  <c r="H5" i="74" s="1"/>
  <c r="I5" i="74" s="1"/>
  <c r="L33" i="73"/>
  <c r="E33" i="73"/>
  <c r="F33" i="73" s="1"/>
  <c r="J32" i="73" a="1"/>
  <c r="J32" i="73" s="1"/>
  <c r="K32" i="73" s="1"/>
  <c r="H32" i="73" a="1"/>
  <c r="H32" i="73" s="1"/>
  <c r="I32" i="73" s="1"/>
  <c r="L4" i="70"/>
  <c r="J5" i="70" a="1"/>
  <c r="J5" i="70" s="1"/>
  <c r="K5" i="70" s="1"/>
  <c r="G5" i="70" s="1"/>
  <c r="E4" i="70"/>
  <c r="F4" i="70" s="1"/>
  <c r="L4" i="71"/>
  <c r="E4" i="71"/>
  <c r="F4" i="71" s="1"/>
  <c r="H5" i="71" a="1"/>
  <c r="H5" i="71" s="1"/>
  <c r="I5" i="71" s="1"/>
  <c r="J5" i="71" a="1"/>
  <c r="J5" i="71" s="1"/>
  <c r="K5" i="71" s="1"/>
  <c r="J32" i="69" a="1"/>
  <c r="J32" i="69" s="1"/>
  <c r="K32" i="69" s="1"/>
  <c r="H32" i="69" a="1"/>
  <c r="H32" i="69" s="1"/>
  <c r="I32" i="69" s="1"/>
  <c r="L33" i="69"/>
  <c r="J5" i="56" a="1"/>
  <c r="J5" i="56" s="1"/>
  <c r="K5" i="56" s="1"/>
  <c r="G5" i="56" s="1"/>
  <c r="E4" i="56"/>
  <c r="F4" i="56" s="1"/>
  <c r="L4" i="56"/>
  <c r="L33" i="57"/>
  <c r="E33" i="57"/>
  <c r="F33" i="57" s="1"/>
  <c r="J32" i="57" a="1"/>
  <c r="J32" i="57" s="1"/>
  <c r="K32" i="57" s="1"/>
  <c r="H32" i="57" a="1"/>
  <c r="H32" i="57" s="1"/>
  <c r="I32" i="57" s="1"/>
  <c r="E4" i="52"/>
  <c r="F4" i="52" s="1"/>
  <c r="H5" i="52" a="1"/>
  <c r="H5" i="52" s="1"/>
  <c r="I5" i="52" s="1"/>
  <c r="G5" i="52" s="1"/>
  <c r="L4" i="52"/>
  <c r="G32" i="55"/>
  <c r="G5" i="51"/>
  <c r="D32" i="77" a="1"/>
  <c r="D5" i="51" a="1"/>
  <c r="D5" i="56" a="1"/>
  <c r="D5" i="70" a="1"/>
  <c r="D5" i="72" a="1"/>
  <c r="D32" i="55" a="1"/>
  <c r="D5" i="52" a="1"/>
  <c r="D32" i="77" l="1"/>
  <c r="E32" i="77" s="1"/>
  <c r="F32" i="77" s="1"/>
  <c r="G31" i="76"/>
  <c r="G32" i="75"/>
  <c r="G5" i="74"/>
  <c r="G32" i="73"/>
  <c r="D5" i="72"/>
  <c r="H6" i="72" s="1" a="1"/>
  <c r="H6" i="72" s="1"/>
  <c r="I6" i="72" s="1"/>
  <c r="G5" i="71"/>
  <c r="D5" i="70"/>
  <c r="J6" i="70" s="1" a="1"/>
  <c r="J6" i="70" s="1"/>
  <c r="K6" i="70" s="1"/>
  <c r="G32" i="69"/>
  <c r="D5" i="56"/>
  <c r="E5" i="56" s="1"/>
  <c r="F5" i="56" s="1"/>
  <c r="G32" i="57"/>
  <c r="D32" i="55"/>
  <c r="D5" i="51"/>
  <c r="J6" i="51" s="1" a="1"/>
  <c r="J6" i="51" s="1"/>
  <c r="K6" i="51" s="1"/>
  <c r="D5" i="52"/>
  <c r="D5" i="71" a="1"/>
  <c r="L5" i="56" a="1"/>
  <c r="L5" i="52" a="1"/>
  <c r="L32" i="55" a="1"/>
  <c r="L32" i="77" a="1"/>
  <c r="D32" i="75" a="1"/>
  <c r="D32" i="73" a="1"/>
  <c r="D32" i="57" a="1"/>
  <c r="D31" i="76" a="1"/>
  <c r="L5" i="51" a="1"/>
  <c r="D32" i="69" a="1"/>
  <c r="D5" i="74" a="1"/>
  <c r="L5" i="70" a="1"/>
  <c r="L5" i="72" a="1"/>
  <c r="J31" i="77" l="1" a="1"/>
  <c r="J31" i="77" s="1"/>
  <c r="K31" i="77" s="1"/>
  <c r="H31" i="77" a="1"/>
  <c r="H31" i="77" s="1"/>
  <c r="I31" i="77" s="1"/>
  <c r="L32" i="77"/>
  <c r="D31" i="76"/>
  <c r="H30" i="76" s="1" a="1"/>
  <c r="H30" i="76" s="1"/>
  <c r="I30" i="76" s="1"/>
  <c r="D32" i="75"/>
  <c r="J31" i="75" s="1" a="1"/>
  <c r="J31" i="75" s="1"/>
  <c r="K31" i="75" s="1"/>
  <c r="D5" i="74"/>
  <c r="E5" i="74" s="1"/>
  <c r="F5" i="74" s="1"/>
  <c r="D32" i="73"/>
  <c r="J6" i="72" a="1"/>
  <c r="J6" i="72" s="1"/>
  <c r="K6" i="72" s="1"/>
  <c r="G6" i="72" s="1"/>
  <c r="L5" i="72"/>
  <c r="E5" i="72"/>
  <c r="F5" i="72" s="1"/>
  <c r="H6" i="70" a="1"/>
  <c r="H6" i="70" s="1"/>
  <c r="I6" i="70" s="1"/>
  <c r="G6" i="70" s="1"/>
  <c r="D5" i="71"/>
  <c r="L5" i="70"/>
  <c r="E5" i="70"/>
  <c r="F5" i="70" s="1"/>
  <c r="D32" i="69"/>
  <c r="E32" i="69" s="1"/>
  <c r="F32" i="69" s="1"/>
  <c r="J6" i="56" a="1"/>
  <c r="J6" i="56" s="1"/>
  <c r="K6" i="56" s="1"/>
  <c r="H6" i="56" a="1"/>
  <c r="H6" i="56" s="1"/>
  <c r="I6" i="56" s="1"/>
  <c r="L5" i="56"/>
  <c r="D32" i="57"/>
  <c r="J31" i="57" s="1" a="1"/>
  <c r="J31" i="57" s="1"/>
  <c r="K31" i="57" s="1"/>
  <c r="H6" i="51" a="1"/>
  <c r="H6" i="51" s="1"/>
  <c r="I6" i="51" s="1"/>
  <c r="G6" i="51" s="1"/>
  <c r="L32" i="55"/>
  <c r="H31" i="55" a="1"/>
  <c r="H31" i="55" s="1"/>
  <c r="I31" i="55" s="1"/>
  <c r="J31" i="55" a="1"/>
  <c r="J31" i="55" s="1"/>
  <c r="K31" i="55" s="1"/>
  <c r="E32" i="55"/>
  <c r="F32" i="55" s="1"/>
  <c r="L5" i="51"/>
  <c r="E5" i="51"/>
  <c r="F5" i="51" s="1"/>
  <c r="L5" i="52"/>
  <c r="E5" i="52"/>
  <c r="F5" i="52" s="1"/>
  <c r="J6" i="52" a="1"/>
  <c r="J6" i="52" s="1"/>
  <c r="K6" i="52" s="1"/>
  <c r="H6" i="52" a="1"/>
  <c r="H6" i="52" s="1"/>
  <c r="I6" i="52" s="1"/>
  <c r="D6" i="70" a="1"/>
  <c r="L32" i="57" a="1"/>
  <c r="L32" i="75" a="1"/>
  <c r="L5" i="74" a="1"/>
  <c r="L5" i="71" a="1"/>
  <c r="L32" i="73" a="1"/>
  <c r="L31" i="76" a="1"/>
  <c r="D6" i="72" a="1"/>
  <c r="D6" i="51" a="1"/>
  <c r="L32" i="69" a="1"/>
  <c r="G31" i="77" l="1"/>
  <c r="J30" i="76" a="1"/>
  <c r="J30" i="76" s="1"/>
  <c r="K30" i="76" s="1"/>
  <c r="G30" i="76" s="1"/>
  <c r="L31" i="76"/>
  <c r="E31" i="76"/>
  <c r="F31" i="76" s="1"/>
  <c r="E32" i="75"/>
  <c r="F32" i="75" s="1"/>
  <c r="L32" i="75"/>
  <c r="H31" i="75" a="1"/>
  <c r="H31" i="75" s="1"/>
  <c r="I31" i="75" s="1"/>
  <c r="G31" i="75" s="1"/>
  <c r="L5" i="74"/>
  <c r="H6" i="74" a="1"/>
  <c r="H6" i="74" s="1"/>
  <c r="I6" i="74" s="1"/>
  <c r="J6" i="74" a="1"/>
  <c r="J6" i="74" s="1"/>
  <c r="K6" i="74" s="1"/>
  <c r="L32" i="73"/>
  <c r="E32" i="73"/>
  <c r="F32" i="73" s="1"/>
  <c r="J31" i="73" a="1"/>
  <c r="J31" i="73" s="1"/>
  <c r="K31" i="73" s="1"/>
  <c r="H31" i="73" a="1"/>
  <c r="H31" i="73" s="1"/>
  <c r="I31" i="73" s="1"/>
  <c r="D6" i="72"/>
  <c r="E6" i="72" s="1"/>
  <c r="F6" i="72" s="1"/>
  <c r="L5" i="71"/>
  <c r="E5" i="71"/>
  <c r="F5" i="71" s="1"/>
  <c r="J6" i="71" a="1"/>
  <c r="J6" i="71" s="1"/>
  <c r="K6" i="71" s="1"/>
  <c r="H6" i="71" a="1"/>
  <c r="H6" i="71" s="1"/>
  <c r="I6" i="71" s="1"/>
  <c r="D6" i="70"/>
  <c r="E6" i="70" s="1"/>
  <c r="F6" i="70" s="1"/>
  <c r="L32" i="69"/>
  <c r="J31" i="69" a="1"/>
  <c r="J31" i="69" s="1"/>
  <c r="K31" i="69" s="1"/>
  <c r="H31" i="69" a="1"/>
  <c r="H31" i="69" s="1"/>
  <c r="I31" i="69" s="1"/>
  <c r="G6" i="56"/>
  <c r="E32" i="57"/>
  <c r="F32" i="57" s="1"/>
  <c r="L32" i="57"/>
  <c r="H31" i="57" a="1"/>
  <c r="H31" i="57" s="1"/>
  <c r="I31" i="57" s="1"/>
  <c r="G31" i="57" s="1"/>
  <c r="G31" i="55"/>
  <c r="G6" i="52"/>
  <c r="D6" i="51"/>
  <c r="L6" i="70" a="1"/>
  <c r="L6" i="51" a="1"/>
  <c r="D30" i="76" a="1"/>
  <c r="D31" i="75" a="1"/>
  <c r="D31" i="55" a="1"/>
  <c r="L6" i="72" a="1"/>
  <c r="D31" i="57" a="1"/>
  <c r="D31" i="77" a="1"/>
  <c r="D6" i="56" a="1"/>
  <c r="D6" i="52" a="1"/>
  <c r="D31" i="77" l="1"/>
  <c r="E31" i="77" s="1"/>
  <c r="F31" i="77" s="1"/>
  <c r="D30" i="76"/>
  <c r="E30" i="76" s="1"/>
  <c r="F30" i="76" s="1"/>
  <c r="D31" i="75"/>
  <c r="H30" i="75" s="1" a="1"/>
  <c r="H30" i="75" s="1"/>
  <c r="I30" i="75" s="1"/>
  <c r="G6" i="74"/>
  <c r="G31" i="73"/>
  <c r="H7" i="72" a="1"/>
  <c r="H7" i="72" s="1"/>
  <c r="I7" i="72" s="1"/>
  <c r="J7" i="72" a="1"/>
  <c r="J7" i="72" s="1"/>
  <c r="K7" i="72" s="1"/>
  <c r="L6" i="72"/>
  <c r="G6" i="71"/>
  <c r="J7" i="70" a="1"/>
  <c r="J7" i="70" s="1"/>
  <c r="K7" i="70" s="1"/>
  <c r="L6" i="70"/>
  <c r="H7" i="70" a="1"/>
  <c r="H7" i="70" s="1"/>
  <c r="I7" i="70" s="1"/>
  <c r="G31" i="69"/>
  <c r="D6" i="56"/>
  <c r="D31" i="57"/>
  <c r="D31" i="55"/>
  <c r="D6" i="52"/>
  <c r="H7" i="52" s="1" a="1"/>
  <c r="H7" i="52" s="1"/>
  <c r="I7" i="52" s="1"/>
  <c r="L6" i="51"/>
  <c r="H7" i="51" a="1"/>
  <c r="H7" i="51" s="1"/>
  <c r="I7" i="51" s="1"/>
  <c r="J7" i="51" a="1"/>
  <c r="J7" i="51" s="1"/>
  <c r="K7" i="51" s="1"/>
  <c r="E6" i="51"/>
  <c r="F6" i="51" s="1"/>
  <c r="D31" i="69" a="1"/>
  <c r="L30" i="76" a="1"/>
  <c r="L6" i="56" a="1"/>
  <c r="L31" i="75" a="1"/>
  <c r="D31" i="73" a="1"/>
  <c r="L31" i="77" a="1"/>
  <c r="D6" i="71" a="1"/>
  <c r="L31" i="57" a="1"/>
  <c r="D6" i="74" a="1"/>
  <c r="L31" i="55" a="1"/>
  <c r="L6" i="52" a="1"/>
  <c r="H30" i="77" l="1" a="1"/>
  <c r="H30" i="77" s="1"/>
  <c r="I30" i="77" s="1"/>
  <c r="L31" i="77"/>
  <c r="J30" i="77" a="1"/>
  <c r="J30" i="77" s="1"/>
  <c r="K30" i="77" s="1"/>
  <c r="J29" i="76" a="1"/>
  <c r="J29" i="76" s="1"/>
  <c r="K29" i="76" s="1"/>
  <c r="L30" i="76"/>
  <c r="H29" i="76" a="1"/>
  <c r="H29" i="76" s="1"/>
  <c r="I29" i="76" s="1"/>
  <c r="L31" i="75"/>
  <c r="E31" i="75"/>
  <c r="F31" i="75" s="1"/>
  <c r="J30" i="75" a="1"/>
  <c r="J30" i="75" s="1"/>
  <c r="K30" i="75" s="1"/>
  <c r="G30" i="75" s="1"/>
  <c r="D6" i="74"/>
  <c r="D31" i="73"/>
  <c r="J30" i="73" s="1" a="1"/>
  <c r="J30" i="73" s="1"/>
  <c r="K30" i="73" s="1"/>
  <c r="G7" i="72"/>
  <c r="D6" i="71"/>
  <c r="G7" i="70"/>
  <c r="D31" i="69"/>
  <c r="L6" i="56"/>
  <c r="E6" i="56"/>
  <c r="F6" i="56" s="1"/>
  <c r="H7" i="56" a="1"/>
  <c r="H7" i="56" s="1"/>
  <c r="I7" i="56" s="1"/>
  <c r="J7" i="56" a="1"/>
  <c r="J7" i="56" s="1"/>
  <c r="K7" i="56" s="1"/>
  <c r="L31" i="57"/>
  <c r="E31" i="57"/>
  <c r="F31" i="57" s="1"/>
  <c r="J30" i="57" a="1"/>
  <c r="J30" i="57" s="1"/>
  <c r="K30" i="57" s="1"/>
  <c r="H30" i="57" a="1"/>
  <c r="H30" i="57" s="1"/>
  <c r="I30" i="57" s="1"/>
  <c r="L31" i="55"/>
  <c r="J30" i="55" a="1"/>
  <c r="J30" i="55" s="1"/>
  <c r="K30" i="55" s="1"/>
  <c r="H30" i="55" a="1"/>
  <c r="H30" i="55" s="1"/>
  <c r="I30" i="55" s="1"/>
  <c r="E31" i="55"/>
  <c r="F31" i="55" s="1"/>
  <c r="E6" i="52"/>
  <c r="F6" i="52" s="1"/>
  <c r="J7" i="52" a="1"/>
  <c r="J7" i="52" s="1"/>
  <c r="K7" i="52" s="1"/>
  <c r="G7" i="52" s="1"/>
  <c r="L6" i="52"/>
  <c r="G7" i="51"/>
  <c r="D7" i="51" a="1"/>
  <c r="L31" i="69" a="1"/>
  <c r="D7" i="70" a="1"/>
  <c r="D30" i="75" a="1"/>
  <c r="L31" i="73" a="1"/>
  <c r="D7" i="72" a="1"/>
  <c r="L6" i="71" a="1"/>
  <c r="L6" i="74" a="1"/>
  <c r="D7" i="52" a="1"/>
  <c r="G30" i="77" l="1"/>
  <c r="G29" i="76"/>
  <c r="D30" i="75"/>
  <c r="J29" i="75" s="1" a="1"/>
  <c r="J29" i="75" s="1"/>
  <c r="K29" i="75" s="1"/>
  <c r="L6" i="74"/>
  <c r="H7" i="74" a="1"/>
  <c r="H7" i="74" s="1"/>
  <c r="I7" i="74" s="1"/>
  <c r="E6" i="74"/>
  <c r="F6" i="74" s="1"/>
  <c r="J7" i="74" a="1"/>
  <c r="J7" i="74" s="1"/>
  <c r="K7" i="74" s="1"/>
  <c r="E31" i="73"/>
  <c r="F31" i="73" s="1"/>
  <c r="L31" i="73"/>
  <c r="H30" i="73" a="1"/>
  <c r="H30" i="73" s="1"/>
  <c r="I30" i="73" s="1"/>
  <c r="G30" i="73" s="1"/>
  <c r="D7" i="72"/>
  <c r="H8" i="72" s="1" a="1"/>
  <c r="H8" i="72" s="1"/>
  <c r="I8" i="72" s="1"/>
  <c r="L6" i="71"/>
  <c r="J7" i="71" a="1"/>
  <c r="J7" i="71" s="1"/>
  <c r="K7" i="71" s="1"/>
  <c r="H7" i="71" a="1"/>
  <c r="H7" i="71" s="1"/>
  <c r="I7" i="71" s="1"/>
  <c r="E6" i="71"/>
  <c r="F6" i="71" s="1"/>
  <c r="D7" i="70"/>
  <c r="E7" i="70" s="1"/>
  <c r="F7" i="70" s="1"/>
  <c r="L31" i="69"/>
  <c r="E31" i="69"/>
  <c r="F31" i="69" s="1"/>
  <c r="J30" i="69" a="1"/>
  <c r="J30" i="69" s="1"/>
  <c r="K30" i="69" s="1"/>
  <c r="H30" i="69" a="1"/>
  <c r="H30" i="69" s="1"/>
  <c r="I30" i="69" s="1"/>
  <c r="G7" i="56"/>
  <c r="G30" i="57"/>
  <c r="G30" i="55"/>
  <c r="D7" i="52"/>
  <c r="D7" i="51"/>
  <c r="J8" i="51" s="1" a="1"/>
  <c r="J8" i="51" s="1"/>
  <c r="K8" i="51" s="1"/>
  <c r="D30" i="57" a="1"/>
  <c r="D29" i="76" a="1"/>
  <c r="L7" i="72" a="1"/>
  <c r="D30" i="73" a="1"/>
  <c r="L30" i="75" a="1"/>
  <c r="L7" i="70" a="1"/>
  <c r="D7" i="56" a="1"/>
  <c r="L7" i="52" a="1"/>
  <c r="L7" i="51" a="1"/>
  <c r="D30" i="77" a="1"/>
  <c r="D30" i="55" a="1"/>
  <c r="D30" i="77" l="1"/>
  <c r="J29" i="77" s="1" a="1"/>
  <c r="J29" i="77" s="1"/>
  <c r="K29" i="77" s="1"/>
  <c r="D29" i="76"/>
  <c r="E30" i="75"/>
  <c r="F30" i="75" s="1"/>
  <c r="L30" i="75"/>
  <c r="H29" i="75" a="1"/>
  <c r="H29" i="75" s="1"/>
  <c r="I29" i="75" s="1"/>
  <c r="G29" i="75" s="1"/>
  <c r="G7" i="74"/>
  <c r="D30" i="73"/>
  <c r="E30" i="73" s="1"/>
  <c r="F30" i="73" s="1"/>
  <c r="L7" i="72"/>
  <c r="E7" i="72"/>
  <c r="F7" i="72" s="1"/>
  <c r="J8" i="72" a="1"/>
  <c r="J8" i="72" s="1"/>
  <c r="K8" i="72" s="1"/>
  <c r="G8" i="72" s="1"/>
  <c r="G7" i="71"/>
  <c r="J8" i="70" a="1"/>
  <c r="J8" i="70" s="1"/>
  <c r="K8" i="70" s="1"/>
  <c r="H8" i="70" a="1"/>
  <c r="H8" i="70" s="1"/>
  <c r="I8" i="70" s="1"/>
  <c r="L7" i="70"/>
  <c r="G30" i="69"/>
  <c r="D7" i="56"/>
  <c r="J8" i="56" s="1" a="1"/>
  <c r="J8" i="56" s="1"/>
  <c r="K8" i="56" s="1"/>
  <c r="D30" i="57"/>
  <c r="J29" i="57" s="1" a="1"/>
  <c r="J29" i="57" s="1"/>
  <c r="K29" i="57" s="1"/>
  <c r="D30" i="55"/>
  <c r="H29" i="55" s="1" a="1"/>
  <c r="H29" i="55" s="1"/>
  <c r="I29" i="55" s="1"/>
  <c r="H8" i="51" a="1"/>
  <c r="H8" i="51" s="1"/>
  <c r="I8" i="51" s="1"/>
  <c r="G8" i="51" s="1"/>
  <c r="L7" i="52"/>
  <c r="J8" i="52" a="1"/>
  <c r="J8" i="52" s="1"/>
  <c r="K8" i="52" s="1"/>
  <c r="H8" i="52" a="1"/>
  <c r="H8" i="52" s="1"/>
  <c r="I8" i="52" s="1"/>
  <c r="E7" i="52"/>
  <c r="F7" i="52" s="1"/>
  <c r="L7" i="51"/>
  <c r="E7" i="51"/>
  <c r="F7" i="51" s="1"/>
  <c r="D8" i="72" a="1"/>
  <c r="L30" i="55" a="1"/>
  <c r="L30" i="57" a="1"/>
  <c r="D7" i="74" a="1"/>
  <c r="D30" i="69" a="1"/>
  <c r="L30" i="73" a="1"/>
  <c r="L7" i="56" a="1"/>
  <c r="D8" i="51" a="1"/>
  <c r="L30" i="77" a="1"/>
  <c r="L29" i="76" a="1"/>
  <c r="D29" i="75" a="1"/>
  <c r="D7" i="71" a="1"/>
  <c r="L30" i="77" l="1"/>
  <c r="E30" i="77"/>
  <c r="F30" i="77" s="1"/>
  <c r="H29" i="77" a="1"/>
  <c r="H29" i="77" s="1"/>
  <c r="I29" i="77" s="1"/>
  <c r="G29" i="77" s="1"/>
  <c r="L29" i="76"/>
  <c r="E29" i="76"/>
  <c r="F29" i="76" s="1"/>
  <c r="J28" i="76" a="1"/>
  <c r="J28" i="76" s="1"/>
  <c r="K28" i="76" s="1"/>
  <c r="H28" i="76" a="1"/>
  <c r="H28" i="76" s="1"/>
  <c r="I28" i="76" s="1"/>
  <c r="D29" i="75"/>
  <c r="E29" i="75" s="1"/>
  <c r="F29" i="75" s="1"/>
  <c r="D7" i="74"/>
  <c r="E7" i="74" s="1"/>
  <c r="F7" i="74" s="1"/>
  <c r="J29" i="73" a="1"/>
  <c r="J29" i="73" s="1"/>
  <c r="K29" i="73" s="1"/>
  <c r="H29" i="73" a="1"/>
  <c r="H29" i="73" s="1"/>
  <c r="I29" i="73" s="1"/>
  <c r="L30" i="73"/>
  <c r="D8" i="72"/>
  <c r="E8" i="72" s="1"/>
  <c r="F8" i="72" s="1"/>
  <c r="D7" i="71"/>
  <c r="J8" i="71" s="1" a="1"/>
  <c r="J8" i="71" s="1"/>
  <c r="K8" i="71" s="1"/>
  <c r="G8" i="70"/>
  <c r="D30" i="69"/>
  <c r="L7" i="56"/>
  <c r="E7" i="56"/>
  <c r="F7" i="56" s="1"/>
  <c r="H8" i="56" a="1"/>
  <c r="H8" i="56" s="1"/>
  <c r="I8" i="56" s="1"/>
  <c r="G8" i="56" s="1"/>
  <c r="H29" i="57" a="1"/>
  <c r="H29" i="57" s="1"/>
  <c r="I29" i="57" s="1"/>
  <c r="G29" i="57" s="1"/>
  <c r="L30" i="57"/>
  <c r="E30" i="57"/>
  <c r="F30" i="57" s="1"/>
  <c r="J29" i="55" a="1"/>
  <c r="J29" i="55" s="1"/>
  <c r="K29" i="55" s="1"/>
  <c r="G29" i="55" s="1"/>
  <c r="L30" i="55"/>
  <c r="E30" i="55"/>
  <c r="F30" i="55" s="1"/>
  <c r="G8" i="52"/>
  <c r="D8" i="51"/>
  <c r="D29" i="57" a="1"/>
  <c r="D29" i="77" a="1"/>
  <c r="L30" i="69" a="1"/>
  <c r="D29" i="55" a="1"/>
  <c r="D8" i="70" a="1"/>
  <c r="D8" i="56" a="1"/>
  <c r="L8" i="51" a="1"/>
  <c r="D8" i="52" a="1"/>
  <c r="L29" i="75" a="1"/>
  <c r="L7" i="71" a="1"/>
  <c r="L7" i="74" a="1"/>
  <c r="L8" i="72" a="1"/>
  <c r="D29" i="77" l="1"/>
  <c r="H28" i="77" s="1" a="1"/>
  <c r="H28" i="77" s="1"/>
  <c r="I28" i="77" s="1"/>
  <c r="G28" i="76"/>
  <c r="J28" i="75" a="1"/>
  <c r="J28" i="75" s="1"/>
  <c r="K28" i="75" s="1"/>
  <c r="H28" i="75" a="1"/>
  <c r="H28" i="75" s="1"/>
  <c r="I28" i="75" s="1"/>
  <c r="L29" i="75"/>
  <c r="H8" i="74" a="1"/>
  <c r="H8" i="74" s="1"/>
  <c r="I8" i="74" s="1"/>
  <c r="J8" i="74" a="1"/>
  <c r="J8" i="74" s="1"/>
  <c r="K8" i="74" s="1"/>
  <c r="L7" i="74"/>
  <c r="G29" i="73"/>
  <c r="J9" i="72" a="1"/>
  <c r="J9" i="72" s="1"/>
  <c r="K9" i="72" s="1"/>
  <c r="H9" i="72" a="1"/>
  <c r="H9" i="72" s="1"/>
  <c r="I9" i="72" s="1"/>
  <c r="L8" i="72"/>
  <c r="H8" i="71" a="1"/>
  <c r="H8" i="71" s="1"/>
  <c r="I8" i="71" s="1"/>
  <c r="G8" i="71" s="1"/>
  <c r="L7" i="71"/>
  <c r="E7" i="71"/>
  <c r="F7" i="71" s="1"/>
  <c r="D8" i="70"/>
  <c r="J9" i="70" s="1" a="1"/>
  <c r="J9" i="70" s="1"/>
  <c r="K9" i="70" s="1"/>
  <c r="L30" i="69"/>
  <c r="E30" i="69"/>
  <c r="F30" i="69" s="1"/>
  <c r="J29" i="69" a="1"/>
  <c r="J29" i="69" s="1"/>
  <c r="K29" i="69" s="1"/>
  <c r="H29" i="69" a="1"/>
  <c r="H29" i="69" s="1"/>
  <c r="I29" i="69" s="1"/>
  <c r="D8" i="56"/>
  <c r="H9" i="56" s="1" a="1"/>
  <c r="H9" i="56" s="1"/>
  <c r="I9" i="56" s="1"/>
  <c r="D29" i="57"/>
  <c r="J28" i="57" s="1" a="1"/>
  <c r="J28" i="57" s="1"/>
  <c r="K28" i="57" s="1"/>
  <c r="D29" i="55"/>
  <c r="H28" i="55" s="1" a="1"/>
  <c r="H28" i="55" s="1"/>
  <c r="I28" i="55" s="1"/>
  <c r="D8" i="52"/>
  <c r="L8" i="51"/>
  <c r="J9" i="51" a="1"/>
  <c r="J9" i="51" s="1"/>
  <c r="K9" i="51" s="1"/>
  <c r="H9" i="51" a="1"/>
  <c r="H9" i="51" s="1"/>
  <c r="I9" i="51" s="1"/>
  <c r="E8" i="51"/>
  <c r="F8" i="51" s="1"/>
  <c r="L8" i="52" a="1"/>
  <c r="D28" i="76" a="1"/>
  <c r="L29" i="57" a="1"/>
  <c r="D29" i="73" a="1"/>
  <c r="D8" i="71" a="1"/>
  <c r="L8" i="70" a="1"/>
  <c r="L8" i="56" a="1"/>
  <c r="L29" i="55" a="1"/>
  <c r="L29" i="77" a="1"/>
  <c r="E29" i="77" l="1"/>
  <c r="F29" i="77" s="1"/>
  <c r="L29" i="77"/>
  <c r="J28" i="77" a="1"/>
  <c r="J28" i="77" s="1"/>
  <c r="K28" i="77" s="1"/>
  <c r="G28" i="77" s="1"/>
  <c r="D28" i="76"/>
  <c r="H27" i="76" s="1" a="1"/>
  <c r="H27" i="76" s="1"/>
  <c r="I27" i="76" s="1"/>
  <c r="G28" i="75"/>
  <c r="G8" i="74"/>
  <c r="D29" i="73"/>
  <c r="E29" i="73" s="1"/>
  <c r="F29" i="73" s="1"/>
  <c r="G9" i="72"/>
  <c r="D8" i="71"/>
  <c r="L8" i="70"/>
  <c r="H9" i="70" a="1"/>
  <c r="H9" i="70" s="1"/>
  <c r="I9" i="70" s="1"/>
  <c r="G9" i="70" s="1"/>
  <c r="E8" i="70"/>
  <c r="F8" i="70" s="1"/>
  <c r="G29" i="69"/>
  <c r="E8" i="56"/>
  <c r="F8" i="56" s="1"/>
  <c r="L8" i="56"/>
  <c r="J9" i="56" a="1"/>
  <c r="J9" i="56" s="1"/>
  <c r="K9" i="56" s="1"/>
  <c r="G9" i="56" s="1"/>
  <c r="E29" i="57"/>
  <c r="F29" i="57" s="1"/>
  <c r="H28" i="57" a="1"/>
  <c r="H28" i="57" s="1"/>
  <c r="I28" i="57" s="1"/>
  <c r="G28" i="57" s="1"/>
  <c r="L29" i="57"/>
  <c r="J28" i="55" a="1"/>
  <c r="J28" i="55" s="1"/>
  <c r="K28" i="55" s="1"/>
  <c r="G28" i="55" s="1"/>
  <c r="L29" i="55"/>
  <c r="E29" i="55"/>
  <c r="F29" i="55" s="1"/>
  <c r="L8" i="52"/>
  <c r="E8" i="52"/>
  <c r="F8" i="52" s="1"/>
  <c r="J9" i="52" a="1"/>
  <c r="J9" i="52" s="1"/>
  <c r="K9" i="52" s="1"/>
  <c r="H9" i="52" a="1"/>
  <c r="H9" i="52" s="1"/>
  <c r="I9" i="52" s="1"/>
  <c r="G9" i="51"/>
  <c r="D9" i="56" a="1"/>
  <c r="D9" i="51" a="1"/>
  <c r="L29" i="73" a="1"/>
  <c r="L8" i="71" a="1"/>
  <c r="L28" i="76" a="1"/>
  <c r="D29" i="69" a="1"/>
  <c r="D28" i="55" a="1"/>
  <c r="D28" i="75" a="1"/>
  <c r="D9" i="70" a="1"/>
  <c r="D9" i="72" a="1"/>
  <c r="D28" i="77" a="1"/>
  <c r="D28" i="57" a="1"/>
  <c r="D8" i="74" a="1"/>
  <c r="D28" i="77" l="1"/>
  <c r="H27" i="77" s="1" a="1"/>
  <c r="H27" i="77" s="1"/>
  <c r="I27" i="77" s="1"/>
  <c r="L28" i="76"/>
  <c r="J27" i="76" a="1"/>
  <c r="J27" i="76" s="1"/>
  <c r="K27" i="76" s="1"/>
  <c r="G27" i="76" s="1"/>
  <c r="E28" i="76"/>
  <c r="F28" i="76" s="1"/>
  <c r="D28" i="75"/>
  <c r="E28" i="75" s="1"/>
  <c r="F28" i="75" s="1"/>
  <c r="D8" i="74"/>
  <c r="E8" i="74" s="1"/>
  <c r="F8" i="74" s="1"/>
  <c r="J28" i="73" a="1"/>
  <c r="J28" i="73" s="1"/>
  <c r="K28" i="73" s="1"/>
  <c r="H28" i="73" a="1"/>
  <c r="H28" i="73" s="1"/>
  <c r="I28" i="73" s="1"/>
  <c r="L29" i="73"/>
  <c r="D9" i="72"/>
  <c r="J10" i="72" s="1" a="1"/>
  <c r="J10" i="72" s="1"/>
  <c r="K10" i="72" s="1"/>
  <c r="L8" i="71"/>
  <c r="E8" i="71"/>
  <c r="F8" i="71" s="1"/>
  <c r="J9" i="71" a="1"/>
  <c r="J9" i="71" s="1"/>
  <c r="K9" i="71" s="1"/>
  <c r="H9" i="71" a="1"/>
  <c r="H9" i="71" s="1"/>
  <c r="I9" i="71" s="1"/>
  <c r="D9" i="70"/>
  <c r="J10" i="70" s="1" a="1"/>
  <c r="J10" i="70" s="1"/>
  <c r="K10" i="70" s="1"/>
  <c r="D29" i="69"/>
  <c r="D9" i="56"/>
  <c r="E9" i="56" s="1"/>
  <c r="F9" i="56" s="1"/>
  <c r="D28" i="57"/>
  <c r="D28" i="55"/>
  <c r="E28" i="55" s="1"/>
  <c r="F28" i="55" s="1"/>
  <c r="G9" i="52"/>
  <c r="D9" i="51"/>
  <c r="E9" i="51" s="1"/>
  <c r="F9" i="51" s="1"/>
  <c r="L28" i="57" a="1"/>
  <c r="L9" i="70" a="1"/>
  <c r="L28" i="77" a="1"/>
  <c r="L9" i="51" a="1"/>
  <c r="L28" i="55" a="1"/>
  <c r="L28" i="75" a="1"/>
  <c r="L8" i="74" a="1"/>
  <c r="L29" i="69" a="1"/>
  <c r="D27" i="76" a="1"/>
  <c r="L9" i="72" a="1"/>
  <c r="D9" i="52" a="1"/>
  <c r="L9" i="56" a="1"/>
  <c r="E28" i="77" l="1"/>
  <c r="F28" i="77" s="1"/>
  <c r="L28" i="77"/>
  <c r="J27" i="77" a="1"/>
  <c r="J27" i="77" s="1"/>
  <c r="K27" i="77" s="1"/>
  <c r="G27" i="77" s="1"/>
  <c r="D27" i="76"/>
  <c r="J27" i="75" a="1"/>
  <c r="J27" i="75" s="1"/>
  <c r="K27" i="75" s="1"/>
  <c r="H27" i="75" a="1"/>
  <c r="H27" i="75" s="1"/>
  <c r="I27" i="75" s="1"/>
  <c r="L28" i="75"/>
  <c r="H9" i="74" a="1"/>
  <c r="H9" i="74" s="1"/>
  <c r="I9" i="74" s="1"/>
  <c r="J9" i="74" a="1"/>
  <c r="J9" i="74" s="1"/>
  <c r="K9" i="74" s="1"/>
  <c r="L8" i="74"/>
  <c r="G28" i="73"/>
  <c r="H10" i="72" a="1"/>
  <c r="H10" i="72" s="1"/>
  <c r="I10" i="72" s="1"/>
  <c r="G10" i="72" s="1"/>
  <c r="L9" i="72"/>
  <c r="E9" i="72"/>
  <c r="F9" i="72" s="1"/>
  <c r="G9" i="71"/>
  <c r="L9" i="70"/>
  <c r="H10" i="70" a="1"/>
  <c r="H10" i="70" s="1"/>
  <c r="I10" i="70" s="1"/>
  <c r="G10" i="70" s="1"/>
  <c r="E9" i="70"/>
  <c r="F9" i="70" s="1"/>
  <c r="L29" i="69"/>
  <c r="J28" i="69" a="1"/>
  <c r="J28" i="69" s="1"/>
  <c r="K28" i="69" s="1"/>
  <c r="H28" i="69" a="1"/>
  <c r="H28" i="69" s="1"/>
  <c r="I28" i="69" s="1"/>
  <c r="E29" i="69"/>
  <c r="F29" i="69" s="1"/>
  <c r="J10" i="56" a="1"/>
  <c r="J10" i="56" s="1"/>
  <c r="K10" i="56" s="1"/>
  <c r="L9" i="56"/>
  <c r="H10" i="56" a="1"/>
  <c r="H10" i="56" s="1"/>
  <c r="I10" i="56" s="1"/>
  <c r="H27" i="55" a="1"/>
  <c r="H27" i="55" s="1"/>
  <c r="I27" i="55" s="1"/>
  <c r="L28" i="57"/>
  <c r="J27" i="57" a="1"/>
  <c r="J27" i="57" s="1"/>
  <c r="K27" i="57" s="1"/>
  <c r="E28" i="57"/>
  <c r="F28" i="57" s="1"/>
  <c r="H27" i="57" a="1"/>
  <c r="H27" i="57" s="1"/>
  <c r="I27" i="57" s="1"/>
  <c r="J27" i="55" a="1"/>
  <c r="J27" i="55" s="1"/>
  <c r="K27" i="55" s="1"/>
  <c r="L28" i="55"/>
  <c r="J10" i="51" a="1"/>
  <c r="J10" i="51" s="1"/>
  <c r="K10" i="51" s="1"/>
  <c r="D9" i="52"/>
  <c r="H10" i="52" s="1" a="1"/>
  <c r="H10" i="52" s="1"/>
  <c r="I10" i="52" s="1"/>
  <c r="H10" i="51" a="1"/>
  <c r="H10" i="51" s="1"/>
  <c r="I10" i="51" s="1"/>
  <c r="L9" i="51"/>
  <c r="D28" i="73" a="1"/>
  <c r="D9" i="71" a="1"/>
  <c r="L27" i="76" a="1"/>
  <c r="D10" i="72" a="1"/>
  <c r="L9" i="52" a="1"/>
  <c r="D10" i="70" a="1"/>
  <c r="D27" i="77" a="1"/>
  <c r="D27" i="77" l="1"/>
  <c r="E27" i="77" s="1"/>
  <c r="F27" i="77" s="1"/>
  <c r="L27" i="76"/>
  <c r="H26" i="76" a="1"/>
  <c r="H26" i="76" s="1"/>
  <c r="I26" i="76" s="1"/>
  <c r="J26" i="76" a="1"/>
  <c r="J26" i="76" s="1"/>
  <c r="K26" i="76" s="1"/>
  <c r="E27" i="76"/>
  <c r="F27" i="76" s="1"/>
  <c r="G27" i="75"/>
  <c r="G9" i="74"/>
  <c r="D28" i="73"/>
  <c r="D10" i="72"/>
  <c r="J11" i="72" s="1" a="1"/>
  <c r="J11" i="72" s="1"/>
  <c r="K11" i="72" s="1"/>
  <c r="D9" i="71"/>
  <c r="D10" i="70"/>
  <c r="E10" i="70" s="1"/>
  <c r="F10" i="70" s="1"/>
  <c r="G28" i="69"/>
  <c r="G10" i="56"/>
  <c r="G27" i="55"/>
  <c r="G27" i="57"/>
  <c r="J10" i="52" a="1"/>
  <c r="J10" i="52" s="1"/>
  <c r="K10" i="52" s="1"/>
  <c r="G10" i="52" s="1"/>
  <c r="G10" i="51"/>
  <c r="L9" i="52"/>
  <c r="E9" i="52"/>
  <c r="F9" i="52" s="1"/>
  <c r="L27" i="77" a="1"/>
  <c r="L10" i="70" a="1"/>
  <c r="D9" i="74" a="1"/>
  <c r="D27" i="57" a="1"/>
  <c r="D10" i="51" a="1"/>
  <c r="L9" i="71" a="1"/>
  <c r="L28" i="73" a="1"/>
  <c r="D10" i="52" a="1"/>
  <c r="L10" i="72" a="1"/>
  <c r="D27" i="75" a="1"/>
  <c r="D10" i="56" a="1"/>
  <c r="D27" i="55" a="1"/>
  <c r="D28" i="69" a="1"/>
  <c r="J26" i="77" l="1" a="1"/>
  <c r="J26" i="77" s="1"/>
  <c r="K26" i="77" s="1"/>
  <c r="H26" i="77" a="1"/>
  <c r="H26" i="77" s="1"/>
  <c r="I26" i="77" s="1"/>
  <c r="L27" i="77"/>
  <c r="G26" i="76"/>
  <c r="D27" i="75"/>
  <c r="E27" i="75" s="1"/>
  <c r="F27" i="75" s="1"/>
  <c r="D9" i="74"/>
  <c r="J10" i="74" s="1" a="1"/>
  <c r="J10" i="74" s="1"/>
  <c r="K10" i="74" s="1"/>
  <c r="L28" i="73"/>
  <c r="H27" i="73" a="1"/>
  <c r="H27" i="73" s="1"/>
  <c r="I27" i="73" s="1"/>
  <c r="J27" i="73" a="1"/>
  <c r="J27" i="73" s="1"/>
  <c r="K27" i="73" s="1"/>
  <c r="E28" i="73"/>
  <c r="F28" i="73" s="1"/>
  <c r="H11" i="72" a="1"/>
  <c r="H11" i="72" s="1"/>
  <c r="I11" i="72" s="1"/>
  <c r="G11" i="72" s="1"/>
  <c r="L10" i="72"/>
  <c r="E10" i="72"/>
  <c r="F10" i="72" s="1"/>
  <c r="L9" i="71"/>
  <c r="J10" i="71" a="1"/>
  <c r="J10" i="71" s="1"/>
  <c r="K10" i="71" s="1"/>
  <c r="E9" i="71"/>
  <c r="F9" i="71" s="1"/>
  <c r="H10" i="71" a="1"/>
  <c r="H10" i="71" s="1"/>
  <c r="I10" i="71" s="1"/>
  <c r="H11" i="70" a="1"/>
  <c r="H11" i="70" s="1"/>
  <c r="I11" i="70" s="1"/>
  <c r="L10" i="70"/>
  <c r="J11" i="70" a="1"/>
  <c r="J11" i="70" s="1"/>
  <c r="K11" i="70" s="1"/>
  <c r="D28" i="69"/>
  <c r="D10" i="56"/>
  <c r="J11" i="56" s="1" a="1"/>
  <c r="J11" i="56" s="1"/>
  <c r="K11" i="56" s="1"/>
  <c r="D27" i="55"/>
  <c r="H26" i="55" s="1" a="1"/>
  <c r="H26" i="55" s="1"/>
  <c r="I26" i="55" s="1"/>
  <c r="D27" i="57"/>
  <c r="E27" i="57" s="1"/>
  <c r="F27" i="57" s="1"/>
  <c r="D10" i="51"/>
  <c r="E10" i="51" s="1"/>
  <c r="F10" i="51" s="1"/>
  <c r="D10" i="52"/>
  <c r="E10" i="52" s="1"/>
  <c r="F10" i="52" s="1"/>
  <c r="L27" i="55" a="1"/>
  <c r="L10" i="51" a="1"/>
  <c r="L10" i="52" a="1"/>
  <c r="L28" i="69" a="1"/>
  <c r="D11" i="72" a="1"/>
  <c r="L27" i="57" a="1"/>
  <c r="L10" i="56" a="1"/>
  <c r="D26" i="76" a="1"/>
  <c r="L27" i="75" a="1"/>
  <c r="L9" i="74" a="1"/>
  <c r="G26" i="77" l="1"/>
  <c r="D26" i="76"/>
  <c r="E26" i="76" s="1"/>
  <c r="F26" i="76" s="1"/>
  <c r="H26" i="75" a="1"/>
  <c r="H26" i="75" s="1"/>
  <c r="I26" i="75" s="1"/>
  <c r="J26" i="75" a="1"/>
  <c r="J26" i="75" s="1"/>
  <c r="K26" i="75" s="1"/>
  <c r="L27" i="75"/>
  <c r="H10" i="74" a="1"/>
  <c r="H10" i="74" s="1"/>
  <c r="I10" i="74" s="1"/>
  <c r="G10" i="74" s="1"/>
  <c r="E9" i="74"/>
  <c r="F9" i="74" s="1"/>
  <c r="L9" i="74"/>
  <c r="G27" i="73"/>
  <c r="D11" i="72"/>
  <c r="E11" i="72" s="1"/>
  <c r="F11" i="72" s="1"/>
  <c r="G10" i="71"/>
  <c r="G11" i="70"/>
  <c r="L28" i="69"/>
  <c r="E28" i="69"/>
  <c r="F28" i="69" s="1"/>
  <c r="H27" i="69" a="1"/>
  <c r="H27" i="69" s="1"/>
  <c r="I27" i="69" s="1"/>
  <c r="J27" i="69" a="1"/>
  <c r="J27" i="69" s="1"/>
  <c r="K27" i="69" s="1"/>
  <c r="L10" i="56"/>
  <c r="E10" i="56"/>
  <c r="F10" i="56" s="1"/>
  <c r="H11" i="56" a="1"/>
  <c r="H11" i="56" s="1"/>
  <c r="I11" i="56" s="1"/>
  <c r="G11" i="56" s="1"/>
  <c r="J26" i="55" a="1"/>
  <c r="J26" i="55" s="1"/>
  <c r="K26" i="55" s="1"/>
  <c r="G26" i="55" s="1"/>
  <c r="L27" i="55"/>
  <c r="E27" i="55"/>
  <c r="F27" i="55" s="1"/>
  <c r="L27" i="57"/>
  <c r="J26" i="57" a="1"/>
  <c r="J26" i="57" s="1"/>
  <c r="K26" i="57" s="1"/>
  <c r="H26" i="57" a="1"/>
  <c r="H26" i="57" s="1"/>
  <c r="I26" i="57" s="1"/>
  <c r="H11" i="51" a="1"/>
  <c r="H11" i="51" s="1"/>
  <c r="I11" i="51" s="1"/>
  <c r="J11" i="51" a="1"/>
  <c r="J11" i="51" s="1"/>
  <c r="K11" i="51" s="1"/>
  <c r="L10" i="51"/>
  <c r="H11" i="52" a="1"/>
  <c r="H11" i="52" s="1"/>
  <c r="I11" i="52" s="1"/>
  <c r="J11" i="52" a="1"/>
  <c r="J11" i="52" s="1"/>
  <c r="K11" i="52" s="1"/>
  <c r="L10" i="52"/>
  <c r="D26" i="77" a="1"/>
  <c r="D27" i="73" a="1"/>
  <c r="L26" i="76" a="1"/>
  <c r="D11" i="70" a="1"/>
  <c r="L11" i="72" a="1"/>
  <c r="D26" i="55" a="1"/>
  <c r="D10" i="71" a="1"/>
  <c r="D11" i="56" a="1"/>
  <c r="D10" i="74" a="1"/>
  <c r="D26" i="77" l="1"/>
  <c r="E26" i="77" s="1"/>
  <c r="F26" i="77" s="1"/>
  <c r="L26" i="76"/>
  <c r="H25" i="76" a="1"/>
  <c r="H25" i="76" s="1"/>
  <c r="I25" i="76" s="1"/>
  <c r="J25" i="76" a="1"/>
  <c r="J25" i="76" s="1"/>
  <c r="K25" i="76" s="1"/>
  <c r="G26" i="75"/>
  <c r="D10" i="74"/>
  <c r="E10" i="74" s="1"/>
  <c r="F10" i="74" s="1"/>
  <c r="D27" i="73"/>
  <c r="J26" i="73" s="1" a="1"/>
  <c r="J26" i="73" s="1"/>
  <c r="K26" i="73" s="1"/>
  <c r="H12" i="72" a="1"/>
  <c r="H12" i="72" s="1"/>
  <c r="I12" i="72" s="1"/>
  <c r="J12" i="72" a="1"/>
  <c r="J12" i="72" s="1"/>
  <c r="K12" i="72" s="1"/>
  <c r="L11" i="72"/>
  <c r="D10" i="71"/>
  <c r="H11" i="71" s="1" a="1"/>
  <c r="H11" i="71" s="1"/>
  <c r="I11" i="71" s="1"/>
  <c r="D11" i="70"/>
  <c r="G27" i="69"/>
  <c r="D11" i="56"/>
  <c r="E11" i="56" s="1"/>
  <c r="F11" i="56" s="1"/>
  <c r="G26" i="57"/>
  <c r="D26" i="55"/>
  <c r="H25" i="55" s="1" a="1"/>
  <c r="H25" i="55" s="1"/>
  <c r="I25" i="55" s="1"/>
  <c r="G11" i="51"/>
  <c r="G11" i="52"/>
  <c r="D26" i="75" a="1"/>
  <c r="L11" i="56" a="1"/>
  <c r="D27" i="69" a="1"/>
  <c r="L26" i="55" a="1"/>
  <c r="L11" i="70" a="1"/>
  <c r="D26" i="57" a="1"/>
  <c r="L27" i="73" a="1"/>
  <c r="L10" i="74" a="1"/>
  <c r="L26" i="77" a="1"/>
  <c r="L10" i="71" a="1"/>
  <c r="D11" i="51" a="1"/>
  <c r="D11" i="52" a="1"/>
  <c r="H25" i="77" l="1" a="1"/>
  <c r="H25" i="77" s="1"/>
  <c r="I25" i="77" s="1"/>
  <c r="L26" i="77"/>
  <c r="J25" i="77" a="1"/>
  <c r="J25" i="77" s="1"/>
  <c r="K25" i="77" s="1"/>
  <c r="G25" i="76"/>
  <c r="D26" i="75"/>
  <c r="H25" i="75" s="1" a="1"/>
  <c r="H25" i="75" s="1"/>
  <c r="I25" i="75" s="1"/>
  <c r="J11" i="74" a="1"/>
  <c r="J11" i="74" s="1"/>
  <c r="K11" i="74" s="1"/>
  <c r="H11" i="74" a="1"/>
  <c r="H11" i="74" s="1"/>
  <c r="I11" i="74" s="1"/>
  <c r="L10" i="74"/>
  <c r="E27" i="73"/>
  <c r="F27" i="73" s="1"/>
  <c r="L27" i="73"/>
  <c r="H26" i="73" a="1"/>
  <c r="H26" i="73" s="1"/>
  <c r="I26" i="73" s="1"/>
  <c r="G26" i="73" s="1"/>
  <c r="G12" i="72"/>
  <c r="L10" i="71"/>
  <c r="E10" i="71"/>
  <c r="F10" i="71" s="1"/>
  <c r="J11" i="71" a="1"/>
  <c r="J11" i="71" s="1"/>
  <c r="K11" i="71" s="1"/>
  <c r="G11" i="71" s="1"/>
  <c r="L11" i="70"/>
  <c r="E11" i="70"/>
  <c r="F11" i="70" s="1"/>
  <c r="H12" i="70" a="1"/>
  <c r="H12" i="70" s="1"/>
  <c r="I12" i="70" s="1"/>
  <c r="J12" i="70" a="1"/>
  <c r="J12" i="70" s="1"/>
  <c r="K12" i="70" s="1"/>
  <c r="D27" i="69"/>
  <c r="H12" i="56" a="1"/>
  <c r="H12" i="56" s="1"/>
  <c r="I12" i="56" s="1"/>
  <c r="L11" i="56"/>
  <c r="J12" i="56" a="1"/>
  <c r="J12" i="56" s="1"/>
  <c r="K12" i="56" s="1"/>
  <c r="D26" i="57"/>
  <c r="J25" i="55" a="1"/>
  <c r="J25" i="55" s="1"/>
  <c r="K25" i="55" s="1"/>
  <c r="G25" i="55" s="1"/>
  <c r="L26" i="55"/>
  <c r="E26" i="55"/>
  <c r="F26" i="55" s="1"/>
  <c r="D11" i="51"/>
  <c r="E11" i="51" s="1"/>
  <c r="F11" i="51" s="1"/>
  <c r="D11" i="52"/>
  <c r="H12" i="52" s="1" a="1"/>
  <c r="H12" i="52" s="1"/>
  <c r="I12" i="52" s="1"/>
  <c r="L11" i="51" a="1"/>
  <c r="D25" i="55" a="1"/>
  <c r="D25" i="76" a="1"/>
  <c r="D12" i="72" a="1"/>
  <c r="L26" i="75" a="1"/>
  <c r="L11" i="52" a="1"/>
  <c r="D11" i="71" a="1"/>
  <c r="L27" i="69" a="1"/>
  <c r="D26" i="73" a="1"/>
  <c r="L26" i="57" a="1"/>
  <c r="G25" i="77" l="1"/>
  <c r="D25" i="76"/>
  <c r="J25" i="75" a="1"/>
  <c r="J25" i="75" s="1"/>
  <c r="K25" i="75" s="1"/>
  <c r="G25" i="75" s="1"/>
  <c r="E26" i="75"/>
  <c r="F26" i="75" s="1"/>
  <c r="L26" i="75"/>
  <c r="G11" i="74"/>
  <c r="D26" i="73"/>
  <c r="E26" i="73" s="1"/>
  <c r="F26" i="73" s="1"/>
  <c r="D12" i="72"/>
  <c r="J13" i="72" s="1" a="1"/>
  <c r="J13" i="72" s="1"/>
  <c r="K13" i="72" s="1"/>
  <c r="D11" i="71"/>
  <c r="E11" i="71" s="1"/>
  <c r="F11" i="71" s="1"/>
  <c r="G12" i="70"/>
  <c r="L27" i="69"/>
  <c r="E27" i="69"/>
  <c r="F27" i="69" s="1"/>
  <c r="J26" i="69" a="1"/>
  <c r="J26" i="69" s="1"/>
  <c r="K26" i="69" s="1"/>
  <c r="H26" i="69" a="1"/>
  <c r="H26" i="69" s="1"/>
  <c r="I26" i="69" s="1"/>
  <c r="G12" i="56"/>
  <c r="L26" i="57"/>
  <c r="J25" i="57" a="1"/>
  <c r="J25" i="57" s="1"/>
  <c r="K25" i="57" s="1"/>
  <c r="H25" i="57" a="1"/>
  <c r="H25" i="57" s="1"/>
  <c r="I25" i="57" s="1"/>
  <c r="E26" i="57"/>
  <c r="F26" i="57" s="1"/>
  <c r="H12" i="51" a="1"/>
  <c r="H12" i="51" s="1"/>
  <c r="I12" i="51" s="1"/>
  <c r="J12" i="51" a="1"/>
  <c r="J12" i="51" s="1"/>
  <c r="K12" i="51" s="1"/>
  <c r="L11" i="51"/>
  <c r="D25" i="55"/>
  <c r="E25" i="55" s="1"/>
  <c r="F25" i="55" s="1"/>
  <c r="J12" i="52" a="1"/>
  <c r="J12" i="52" s="1"/>
  <c r="K12" i="52" s="1"/>
  <c r="G12" i="52" s="1"/>
  <c r="E11" i="52"/>
  <c r="F11" i="52" s="1"/>
  <c r="L11" i="52"/>
  <c r="D12" i="56" a="1"/>
  <c r="D12" i="52" a="1"/>
  <c r="L11" i="71" a="1"/>
  <c r="L25" i="76" a="1"/>
  <c r="L26" i="73" a="1"/>
  <c r="D25" i="77" a="1"/>
  <c r="L12" i="72" a="1"/>
  <c r="D11" i="74" a="1"/>
  <c r="D25" i="75" a="1"/>
  <c r="L25" i="55" a="1"/>
  <c r="D12" i="70" a="1"/>
  <c r="D25" i="77" l="1"/>
  <c r="E25" i="77" s="1"/>
  <c r="F25" i="77" s="1"/>
  <c r="L25" i="76"/>
  <c r="J24" i="76" a="1"/>
  <c r="J24" i="76" s="1"/>
  <c r="K24" i="76" s="1"/>
  <c r="E25" i="76"/>
  <c r="F25" i="76" s="1"/>
  <c r="H24" i="76" a="1"/>
  <c r="H24" i="76" s="1"/>
  <c r="I24" i="76" s="1"/>
  <c r="D25" i="75"/>
  <c r="H24" i="75" s="1" a="1"/>
  <c r="H24" i="75" s="1"/>
  <c r="I24" i="75" s="1"/>
  <c r="D11" i="74"/>
  <c r="E11" i="74" s="1"/>
  <c r="F11" i="74" s="1"/>
  <c r="H25" i="73" a="1"/>
  <c r="H25" i="73" s="1"/>
  <c r="I25" i="73" s="1"/>
  <c r="L26" i="73"/>
  <c r="J25" i="73" a="1"/>
  <c r="J25" i="73" s="1"/>
  <c r="K25" i="73" s="1"/>
  <c r="H13" i="72" a="1"/>
  <c r="H13" i="72" s="1"/>
  <c r="I13" i="72" s="1"/>
  <c r="G13" i="72" s="1"/>
  <c r="L12" i="72"/>
  <c r="E12" i="72"/>
  <c r="F12" i="72" s="1"/>
  <c r="L11" i="71"/>
  <c r="H12" i="71" a="1"/>
  <c r="H12" i="71" s="1"/>
  <c r="I12" i="71" s="1"/>
  <c r="J12" i="71" a="1"/>
  <c r="J12" i="71" s="1"/>
  <c r="K12" i="71" s="1"/>
  <c r="D12" i="70"/>
  <c r="G26" i="69"/>
  <c r="D12" i="56"/>
  <c r="H13" i="56" s="1" a="1"/>
  <c r="H13" i="56" s="1"/>
  <c r="I13" i="56" s="1"/>
  <c r="G25" i="57"/>
  <c r="G12" i="51"/>
  <c r="H24" i="55" a="1"/>
  <c r="H24" i="55" s="1"/>
  <c r="I24" i="55" s="1"/>
  <c r="J24" i="55" a="1"/>
  <c r="J24" i="55" s="1"/>
  <c r="K24" i="55" s="1"/>
  <c r="L25" i="55"/>
  <c r="D12" i="52"/>
  <c r="J13" i="52" s="1" a="1"/>
  <c r="J13" i="52" s="1"/>
  <c r="K13" i="52" s="1"/>
  <c r="D13" i="72" a="1"/>
  <c r="L12" i="56" a="1"/>
  <c r="L11" i="74" a="1"/>
  <c r="D25" i="57" a="1"/>
  <c r="L25" i="75" a="1"/>
  <c r="L12" i="52" a="1"/>
  <c r="L25" i="77" a="1"/>
  <c r="L12" i="70" a="1"/>
  <c r="D26" i="69" a="1"/>
  <c r="D12" i="51" a="1"/>
  <c r="H24" i="77" l="1" a="1"/>
  <c r="H24" i="77" s="1"/>
  <c r="I24" i="77" s="1"/>
  <c r="L25" i="77"/>
  <c r="J24" i="77" a="1"/>
  <c r="J24" i="77" s="1"/>
  <c r="K24" i="77" s="1"/>
  <c r="G24" i="76"/>
  <c r="E25" i="75"/>
  <c r="F25" i="75" s="1"/>
  <c r="J24" i="75" a="1"/>
  <c r="J24" i="75" s="1"/>
  <c r="K24" i="75" s="1"/>
  <c r="G24" i="75" s="1"/>
  <c r="L25" i="75"/>
  <c r="J12" i="74" a="1"/>
  <c r="J12" i="74" s="1"/>
  <c r="K12" i="74" s="1"/>
  <c r="H12" i="74" a="1"/>
  <c r="H12" i="74" s="1"/>
  <c r="I12" i="74" s="1"/>
  <c r="L11" i="74"/>
  <c r="G25" i="73"/>
  <c r="D13" i="72"/>
  <c r="J14" i="72" s="1" a="1"/>
  <c r="J14" i="72" s="1"/>
  <c r="K14" i="72" s="1"/>
  <c r="G12" i="71"/>
  <c r="L12" i="70"/>
  <c r="H13" i="70" a="1"/>
  <c r="H13" i="70" s="1"/>
  <c r="I13" i="70" s="1"/>
  <c r="J13" i="70" a="1"/>
  <c r="J13" i="70" s="1"/>
  <c r="K13" i="70" s="1"/>
  <c r="E12" i="70"/>
  <c r="F12" i="70" s="1"/>
  <c r="J13" i="56" a="1"/>
  <c r="J13" i="56" s="1"/>
  <c r="K13" i="56" s="1"/>
  <c r="G13" i="56" s="1"/>
  <c r="D26" i="69"/>
  <c r="L12" i="56"/>
  <c r="E12" i="56"/>
  <c r="F12" i="56" s="1"/>
  <c r="D25" i="57"/>
  <c r="J24" i="57" s="1" a="1"/>
  <c r="J24" i="57" s="1"/>
  <c r="K24" i="57" s="1"/>
  <c r="D12" i="51"/>
  <c r="H13" i="51" s="1" a="1"/>
  <c r="H13" i="51" s="1"/>
  <c r="I13" i="51" s="1"/>
  <c r="G24" i="55"/>
  <c r="H13" i="52" a="1"/>
  <c r="H13" i="52" s="1"/>
  <c r="I13" i="52" s="1"/>
  <c r="G13" i="52" s="1"/>
  <c r="L12" i="52"/>
  <c r="E12" i="52"/>
  <c r="F12" i="52" s="1"/>
  <c r="D24" i="75" a="1"/>
  <c r="D25" i="73" a="1"/>
  <c r="D24" i="76" a="1"/>
  <c r="L25" i="57" a="1"/>
  <c r="D13" i="52" a="1"/>
  <c r="L13" i="72" a="1"/>
  <c r="L26" i="69" a="1"/>
  <c r="L12" i="51" a="1"/>
  <c r="D24" i="55" a="1"/>
  <c r="D13" i="56" a="1"/>
  <c r="D12" i="71" a="1"/>
  <c r="G24" i="77" l="1"/>
  <c r="D24" i="76"/>
  <c r="E24" i="76" s="1"/>
  <c r="F24" i="76" s="1"/>
  <c r="D24" i="75"/>
  <c r="J23" i="75" s="1" a="1"/>
  <c r="J23" i="75" s="1"/>
  <c r="K23" i="75" s="1"/>
  <c r="G12" i="74"/>
  <c r="D25" i="73"/>
  <c r="J24" i="73" s="1" a="1"/>
  <c r="J24" i="73" s="1"/>
  <c r="K24" i="73" s="1"/>
  <c r="E13" i="72"/>
  <c r="F13" i="72" s="1"/>
  <c r="L13" i="72"/>
  <c r="H14" i="72" a="1"/>
  <c r="H14" i="72" s="1"/>
  <c r="I14" i="72" s="1"/>
  <c r="G14" i="72" s="1"/>
  <c r="D12" i="71"/>
  <c r="G13" i="70"/>
  <c r="L26" i="69"/>
  <c r="H25" i="69" a="1"/>
  <c r="H25" i="69" s="1"/>
  <c r="I25" i="69" s="1"/>
  <c r="E26" i="69"/>
  <c r="F26" i="69" s="1"/>
  <c r="J25" i="69" a="1"/>
  <c r="J25" i="69" s="1"/>
  <c r="K25" i="69" s="1"/>
  <c r="D13" i="56"/>
  <c r="E25" i="57"/>
  <c r="F25" i="57" s="1"/>
  <c r="H24" i="57" a="1"/>
  <c r="H24" i="57" s="1"/>
  <c r="I24" i="57" s="1"/>
  <c r="G24" i="57" s="1"/>
  <c r="L25" i="57"/>
  <c r="J13" i="51" a="1"/>
  <c r="J13" i="51" s="1"/>
  <c r="K13" i="51" s="1"/>
  <c r="G13" i="51" s="1"/>
  <c r="L12" i="51"/>
  <c r="E12" i="51"/>
  <c r="F12" i="51" s="1"/>
  <c r="D24" i="55"/>
  <c r="J23" i="55" s="1" a="1"/>
  <c r="J23" i="55" s="1"/>
  <c r="K23" i="55" s="1"/>
  <c r="D13" i="52"/>
  <c r="H14" i="52" s="1" a="1"/>
  <c r="H14" i="52" s="1"/>
  <c r="I14" i="52" s="1"/>
  <c r="D24" i="77" a="1"/>
  <c r="D13" i="51" a="1"/>
  <c r="L12" i="71" a="1"/>
  <c r="L13" i="56" a="1"/>
  <c r="L24" i="76" a="1"/>
  <c r="L13" i="52" a="1"/>
  <c r="L25" i="73" a="1"/>
  <c r="D24" i="57" a="1"/>
  <c r="L24" i="75" a="1"/>
  <c r="L24" i="55" a="1"/>
  <c r="D12" i="74" a="1"/>
  <c r="D14" i="72" a="1"/>
  <c r="D13" i="70" a="1"/>
  <c r="D24" i="77" l="1"/>
  <c r="E24" i="77" s="1"/>
  <c r="F24" i="77" s="1"/>
  <c r="H23" i="76" a="1"/>
  <c r="H23" i="76" s="1"/>
  <c r="I23" i="76" s="1"/>
  <c r="J23" i="76" a="1"/>
  <c r="J23" i="76" s="1"/>
  <c r="K23" i="76" s="1"/>
  <c r="L24" i="76"/>
  <c r="E24" i="75"/>
  <c r="F24" i="75" s="1"/>
  <c r="H23" i="75" a="1"/>
  <c r="H23" i="75" s="1"/>
  <c r="I23" i="75" s="1"/>
  <c r="G23" i="75" s="1"/>
  <c r="L24" i="75"/>
  <c r="D12" i="74"/>
  <c r="E12" i="74" s="1"/>
  <c r="F12" i="74" s="1"/>
  <c r="H24" i="73" a="1"/>
  <c r="H24" i="73" s="1"/>
  <c r="I24" i="73" s="1"/>
  <c r="G24" i="73" s="1"/>
  <c r="L25" i="73"/>
  <c r="E25" i="73"/>
  <c r="F25" i="73" s="1"/>
  <c r="D14" i="72"/>
  <c r="L12" i="71"/>
  <c r="J13" i="71" a="1"/>
  <c r="J13" i="71" s="1"/>
  <c r="K13" i="71" s="1"/>
  <c r="E12" i="71"/>
  <c r="F12" i="71" s="1"/>
  <c r="H13" i="71" a="1"/>
  <c r="H13" i="71" s="1"/>
  <c r="I13" i="71" s="1"/>
  <c r="D13" i="70"/>
  <c r="G25" i="69"/>
  <c r="L13" i="56"/>
  <c r="H14" i="56" a="1"/>
  <c r="H14" i="56" s="1"/>
  <c r="I14" i="56" s="1"/>
  <c r="J14" i="56" a="1"/>
  <c r="J14" i="56" s="1"/>
  <c r="K14" i="56" s="1"/>
  <c r="E13" i="56"/>
  <c r="F13" i="56" s="1"/>
  <c r="D24" i="57"/>
  <c r="H23" i="55" a="1"/>
  <c r="H23" i="55" s="1"/>
  <c r="I23" i="55" s="1"/>
  <c r="G23" i="55" s="1"/>
  <c r="L24" i="55"/>
  <c r="E24" i="55"/>
  <c r="F24" i="55" s="1"/>
  <c r="J14" i="52" a="1"/>
  <c r="J14" i="52" s="1"/>
  <c r="K14" i="52" s="1"/>
  <c r="G14" i="52" s="1"/>
  <c r="L13" i="52"/>
  <c r="E13" i="52"/>
  <c r="F13" i="52" s="1"/>
  <c r="D13" i="51"/>
  <c r="E13" i="51" s="1"/>
  <c r="F13" i="51" s="1"/>
  <c r="L12" i="74" a="1"/>
  <c r="L13" i="70" a="1"/>
  <c r="L24" i="77" a="1"/>
  <c r="L24" i="57" a="1"/>
  <c r="L13" i="51" a="1"/>
  <c r="D14" i="52" a="1"/>
  <c r="D23" i="75" a="1"/>
  <c r="D24" i="73" a="1"/>
  <c r="D23" i="55" a="1"/>
  <c r="D25" i="69" a="1"/>
  <c r="L14" i="72" a="1"/>
  <c r="L24" i="77" l="1"/>
  <c r="H23" i="77" a="1"/>
  <c r="H23" i="77" s="1"/>
  <c r="I23" i="77" s="1"/>
  <c r="J23" i="77" a="1"/>
  <c r="J23" i="77" s="1"/>
  <c r="K23" i="77" s="1"/>
  <c r="G23" i="76"/>
  <c r="J13" i="74" a="1"/>
  <c r="J13" i="74" s="1"/>
  <c r="K13" i="74" s="1"/>
  <c r="H13" i="74" a="1"/>
  <c r="H13" i="74" s="1"/>
  <c r="I13" i="74" s="1"/>
  <c r="D23" i="75"/>
  <c r="E23" i="75" s="1"/>
  <c r="F23" i="75" s="1"/>
  <c r="L12" i="74"/>
  <c r="D24" i="73"/>
  <c r="E24" i="73" s="1"/>
  <c r="F24" i="73" s="1"/>
  <c r="L14" i="72"/>
  <c r="E14" i="72"/>
  <c r="F14" i="72" s="1"/>
  <c r="H15" i="72" a="1"/>
  <c r="H15" i="72" s="1"/>
  <c r="I15" i="72" s="1"/>
  <c r="J15" i="72" a="1"/>
  <c r="J15" i="72" s="1"/>
  <c r="K15" i="72" s="1"/>
  <c r="G13" i="71"/>
  <c r="L13" i="70"/>
  <c r="H14" i="70" a="1"/>
  <c r="H14" i="70" s="1"/>
  <c r="I14" i="70" s="1"/>
  <c r="E13" i="70"/>
  <c r="F13" i="70" s="1"/>
  <c r="J14" i="70" a="1"/>
  <c r="J14" i="70" s="1"/>
  <c r="K14" i="70" s="1"/>
  <c r="D25" i="69"/>
  <c r="E25" i="69" s="1"/>
  <c r="F25" i="69" s="1"/>
  <c r="G14" i="56"/>
  <c r="L24" i="57"/>
  <c r="H23" i="57" a="1"/>
  <c r="H23" i="57" s="1"/>
  <c r="I23" i="57" s="1"/>
  <c r="J23" i="57" a="1"/>
  <c r="J23" i="57" s="1"/>
  <c r="K23" i="57" s="1"/>
  <c r="E24" i="57"/>
  <c r="F24" i="57" s="1"/>
  <c r="D23" i="55"/>
  <c r="H14" i="51" a="1"/>
  <c r="H14" i="51" s="1"/>
  <c r="I14" i="51" s="1"/>
  <c r="J14" i="51" a="1"/>
  <c r="J14" i="51" s="1"/>
  <c r="K14" i="51" s="1"/>
  <c r="D14" i="52"/>
  <c r="J15" i="52" s="1" a="1"/>
  <c r="J15" i="52" s="1"/>
  <c r="K15" i="52" s="1"/>
  <c r="L13" i="51"/>
  <c r="L14" i="52" a="1"/>
  <c r="L24" i="73" a="1"/>
  <c r="L25" i="69" a="1"/>
  <c r="L23" i="75" a="1"/>
  <c r="D14" i="56" a="1"/>
  <c r="D13" i="71" a="1"/>
  <c r="L23" i="55" a="1"/>
  <c r="D23" i="76" a="1"/>
  <c r="G23" i="77" l="1"/>
  <c r="D23" i="76"/>
  <c r="E23" i="76" s="1"/>
  <c r="F23" i="76" s="1"/>
  <c r="H22" i="75" a="1"/>
  <c r="H22" i="75" s="1"/>
  <c r="I22" i="75" s="1"/>
  <c r="J22" i="75" a="1"/>
  <c r="J22" i="75" s="1"/>
  <c r="K22" i="75" s="1"/>
  <c r="G13" i="74"/>
  <c r="L23" i="75"/>
  <c r="L24" i="73"/>
  <c r="J23" i="73" a="1"/>
  <c r="J23" i="73" s="1"/>
  <c r="K23" i="73" s="1"/>
  <c r="H23" i="73" a="1"/>
  <c r="H23" i="73" s="1"/>
  <c r="I23" i="73" s="1"/>
  <c r="G15" i="72"/>
  <c r="D13" i="71"/>
  <c r="G14" i="70"/>
  <c r="H24" i="69" a="1"/>
  <c r="H24" i="69" s="1"/>
  <c r="I24" i="69" s="1"/>
  <c r="J24" i="69" a="1"/>
  <c r="J24" i="69" s="1"/>
  <c r="K24" i="69" s="1"/>
  <c r="L25" i="69"/>
  <c r="D14" i="56"/>
  <c r="E14" i="56" s="1"/>
  <c r="F14" i="56" s="1"/>
  <c r="G23" i="57"/>
  <c r="L23" i="55"/>
  <c r="E23" i="55"/>
  <c r="F23" i="55" s="1"/>
  <c r="H22" i="55" a="1"/>
  <c r="H22" i="55" s="1"/>
  <c r="I22" i="55" s="1"/>
  <c r="J22" i="55" a="1"/>
  <c r="J22" i="55" s="1"/>
  <c r="K22" i="55" s="1"/>
  <c r="G14" i="51"/>
  <c r="H15" i="52" a="1"/>
  <c r="H15" i="52" s="1"/>
  <c r="I15" i="52" s="1"/>
  <c r="G15" i="52" s="1"/>
  <c r="L14" i="52"/>
  <c r="E14" i="52"/>
  <c r="F14" i="52" s="1"/>
  <c r="D23" i="77" a="1"/>
  <c r="D14" i="70" a="1"/>
  <c r="L23" i="76" a="1"/>
  <c r="D13" i="74" a="1"/>
  <c r="D15" i="52" a="1"/>
  <c r="L13" i="71" a="1"/>
  <c r="L14" i="56" a="1"/>
  <c r="D14" i="51" a="1"/>
  <c r="D15" i="72" a="1"/>
  <c r="D23" i="57" a="1"/>
  <c r="D23" i="77" l="1"/>
  <c r="E23" i="77" s="1"/>
  <c r="F23" i="77" s="1"/>
  <c r="L23" i="76"/>
  <c r="J22" i="76" a="1"/>
  <c r="J22" i="76" s="1"/>
  <c r="K22" i="76" s="1"/>
  <c r="H22" i="76" a="1"/>
  <c r="H22" i="76" s="1"/>
  <c r="I22" i="76" s="1"/>
  <c r="G22" i="75"/>
  <c r="D13" i="74"/>
  <c r="E13" i="74" s="1"/>
  <c r="F13" i="74" s="1"/>
  <c r="G23" i="73"/>
  <c r="D15" i="72"/>
  <c r="L13" i="71"/>
  <c r="E13" i="71"/>
  <c r="F13" i="71" s="1"/>
  <c r="J14" i="71" a="1"/>
  <c r="J14" i="71" s="1"/>
  <c r="K14" i="71" s="1"/>
  <c r="H14" i="71" a="1"/>
  <c r="H14" i="71" s="1"/>
  <c r="I14" i="71" s="1"/>
  <c r="D14" i="70"/>
  <c r="E14" i="70" s="1"/>
  <c r="F14" i="70" s="1"/>
  <c r="H15" i="56" a="1"/>
  <c r="H15" i="56" s="1"/>
  <c r="I15" i="56" s="1"/>
  <c r="J15" i="56" a="1"/>
  <c r="J15" i="56" s="1"/>
  <c r="K15" i="56" s="1"/>
  <c r="G24" i="69"/>
  <c r="L14" i="56"/>
  <c r="D23" i="57"/>
  <c r="H22" i="57" s="1" a="1"/>
  <c r="H22" i="57" s="1"/>
  <c r="I22" i="57" s="1"/>
  <c r="G22" i="55"/>
  <c r="D14" i="51"/>
  <c r="E14" i="51" s="1"/>
  <c r="F14" i="51" s="1"/>
  <c r="D15" i="52"/>
  <c r="D23" i="73" a="1"/>
  <c r="L23" i="57" a="1"/>
  <c r="L13" i="74" a="1"/>
  <c r="D22" i="75" a="1"/>
  <c r="L23" i="77" a="1"/>
  <c r="L15" i="72" a="1"/>
  <c r="D22" i="55" a="1"/>
  <c r="L14" i="70" a="1"/>
  <c r="L14" i="51" a="1"/>
  <c r="L15" i="52" a="1"/>
  <c r="D24" i="69" a="1"/>
  <c r="J22" i="77" l="1" a="1"/>
  <c r="J22" i="77" s="1"/>
  <c r="K22" i="77" s="1"/>
  <c r="L23" i="77"/>
  <c r="H22" i="77" a="1"/>
  <c r="H22" i="77" s="1"/>
  <c r="I22" i="77" s="1"/>
  <c r="G22" i="76"/>
  <c r="J14" i="74" a="1"/>
  <c r="J14" i="74" s="1"/>
  <c r="K14" i="74" s="1"/>
  <c r="H14" i="74" a="1"/>
  <c r="H14" i="74" s="1"/>
  <c r="I14" i="74" s="1"/>
  <c r="D22" i="75"/>
  <c r="H21" i="75" s="1" a="1"/>
  <c r="H21" i="75" s="1"/>
  <c r="I21" i="75" s="1"/>
  <c r="L13" i="74"/>
  <c r="D23" i="73"/>
  <c r="E23" i="73" s="1"/>
  <c r="F23" i="73" s="1"/>
  <c r="L15" i="72"/>
  <c r="E15" i="72"/>
  <c r="F15" i="72" s="1"/>
  <c r="H16" i="72" a="1"/>
  <c r="H16" i="72" s="1"/>
  <c r="I16" i="72" s="1"/>
  <c r="J16" i="72" a="1"/>
  <c r="J16" i="72" s="1"/>
  <c r="K16" i="72" s="1"/>
  <c r="G14" i="71"/>
  <c r="J15" i="70" a="1"/>
  <c r="J15" i="70" s="1"/>
  <c r="K15" i="70" s="1"/>
  <c r="H15" i="70" a="1"/>
  <c r="H15" i="70" s="1"/>
  <c r="I15" i="70" s="1"/>
  <c r="L14" i="70"/>
  <c r="G15" i="56"/>
  <c r="D24" i="69"/>
  <c r="H23" i="69" s="1" a="1"/>
  <c r="H23" i="69" s="1"/>
  <c r="I23" i="69" s="1"/>
  <c r="J22" i="57" a="1"/>
  <c r="J22" i="57" s="1"/>
  <c r="K22" i="57" s="1"/>
  <c r="G22" i="57" s="1"/>
  <c r="L23" i="57"/>
  <c r="E23" i="57"/>
  <c r="F23" i="57" s="1"/>
  <c r="H15" i="51" a="1"/>
  <c r="H15" i="51" s="1"/>
  <c r="I15" i="51" s="1"/>
  <c r="J15" i="51" a="1"/>
  <c r="J15" i="51" s="1"/>
  <c r="K15" i="51" s="1"/>
  <c r="D22" i="55"/>
  <c r="L14" i="51"/>
  <c r="L15" i="52"/>
  <c r="J16" i="52" a="1"/>
  <c r="J16" i="52" s="1"/>
  <c r="K16" i="52" s="1"/>
  <c r="H16" i="52" a="1"/>
  <c r="H16" i="52" s="1"/>
  <c r="I16" i="52" s="1"/>
  <c r="E15" i="52"/>
  <c r="F15" i="52" s="1"/>
  <c r="D14" i="71" a="1"/>
  <c r="L22" i="75" a="1"/>
  <c r="L23" i="73" a="1"/>
  <c r="D22" i="57" a="1"/>
  <c r="D22" i="76" a="1"/>
  <c r="L24" i="69" a="1"/>
  <c r="L22" i="55" a="1"/>
  <c r="D15" i="56" a="1"/>
  <c r="G22" i="77" l="1"/>
  <c r="D22" i="76"/>
  <c r="H21" i="76" s="1" a="1"/>
  <c r="H21" i="76" s="1"/>
  <c r="I21" i="76" s="1"/>
  <c r="G14" i="74"/>
  <c r="E22" i="75"/>
  <c r="F22" i="75" s="1"/>
  <c r="J21" i="75" a="1"/>
  <c r="J21" i="75" s="1"/>
  <c r="K21" i="75" s="1"/>
  <c r="G21" i="75" s="1"/>
  <c r="L22" i="75"/>
  <c r="L23" i="73"/>
  <c r="J22" i="73" a="1"/>
  <c r="J22" i="73" s="1"/>
  <c r="K22" i="73" s="1"/>
  <c r="H22" i="73" a="1"/>
  <c r="H22" i="73" s="1"/>
  <c r="I22" i="73" s="1"/>
  <c r="G16" i="72"/>
  <c r="G15" i="70"/>
  <c r="D14" i="71"/>
  <c r="H15" i="71" s="1" a="1"/>
  <c r="H15" i="71" s="1"/>
  <c r="I15" i="71" s="1"/>
  <c r="D15" i="56"/>
  <c r="E15" i="56" s="1"/>
  <c r="F15" i="56" s="1"/>
  <c r="L24" i="69"/>
  <c r="E24" i="69"/>
  <c r="F24" i="69" s="1"/>
  <c r="J23" i="69" a="1"/>
  <c r="J23" i="69" s="1"/>
  <c r="K23" i="69" s="1"/>
  <c r="G23" i="69" s="1"/>
  <c r="D22" i="57"/>
  <c r="G15" i="51"/>
  <c r="L22" i="55"/>
  <c r="E22" i="55"/>
  <c r="F22" i="55" s="1"/>
  <c r="H21" i="55" a="1"/>
  <c r="H21" i="55" s="1"/>
  <c r="I21" i="55" s="1"/>
  <c r="J21" i="55" a="1"/>
  <c r="J21" i="55" s="1"/>
  <c r="K21" i="55" s="1"/>
  <c r="G16" i="52"/>
  <c r="D15" i="51" a="1"/>
  <c r="L22" i="76" a="1"/>
  <c r="D22" i="77" a="1"/>
  <c r="L15" i="56" a="1"/>
  <c r="D14" i="74" a="1"/>
  <c r="D23" i="69" a="1"/>
  <c r="L14" i="71" a="1"/>
  <c r="D16" i="52" a="1"/>
  <c r="L22" i="57" a="1"/>
  <c r="D15" i="70" a="1"/>
  <c r="D16" i="72" a="1"/>
  <c r="D21" i="75" a="1"/>
  <c r="D22" i="77" l="1"/>
  <c r="E22" i="77" s="1"/>
  <c r="F22" i="77" s="1"/>
  <c r="L22" i="76"/>
  <c r="E22" i="76"/>
  <c r="F22" i="76" s="1"/>
  <c r="J21" i="76" a="1"/>
  <c r="J21" i="76" s="1"/>
  <c r="K21" i="76" s="1"/>
  <c r="G21" i="76" s="1"/>
  <c r="D14" i="74"/>
  <c r="H15" i="74" s="1" a="1"/>
  <c r="H15" i="74" s="1"/>
  <c r="I15" i="74" s="1"/>
  <c r="D21" i="75"/>
  <c r="E21" i="75" s="1"/>
  <c r="F21" i="75" s="1"/>
  <c r="G22" i="73"/>
  <c r="D16" i="72"/>
  <c r="J15" i="71" a="1"/>
  <c r="J15" i="71" s="1"/>
  <c r="K15" i="71" s="1"/>
  <c r="G15" i="71" s="1"/>
  <c r="H16" i="56" a="1"/>
  <c r="H16" i="56" s="1"/>
  <c r="I16" i="56" s="1"/>
  <c r="J16" i="56" a="1"/>
  <c r="J16" i="56" s="1"/>
  <c r="K16" i="56" s="1"/>
  <c r="D15" i="70"/>
  <c r="H16" i="70" s="1" a="1"/>
  <c r="H16" i="70" s="1"/>
  <c r="I16" i="70" s="1"/>
  <c r="L14" i="71"/>
  <c r="E14" i="71"/>
  <c r="F14" i="71" s="1"/>
  <c r="L15" i="56"/>
  <c r="D23" i="69"/>
  <c r="E23" i="69" s="1"/>
  <c r="F23" i="69" s="1"/>
  <c r="L22" i="57"/>
  <c r="H21" i="57" a="1"/>
  <c r="H21" i="57" s="1"/>
  <c r="I21" i="57" s="1"/>
  <c r="E22" i="57"/>
  <c r="F22" i="57" s="1"/>
  <c r="J21" i="57" a="1"/>
  <c r="J21" i="57" s="1"/>
  <c r="K21" i="57" s="1"/>
  <c r="D15" i="51"/>
  <c r="J16" i="51" s="1" a="1"/>
  <c r="J16" i="51" s="1"/>
  <c r="K16" i="51" s="1"/>
  <c r="G21" i="55"/>
  <c r="D16" i="52"/>
  <c r="E16" i="52" s="1"/>
  <c r="F16" i="52" s="1"/>
  <c r="L15" i="51" a="1"/>
  <c r="D15" i="71" a="1"/>
  <c r="L21" i="75" a="1"/>
  <c r="L15" i="70" a="1"/>
  <c r="D22" i="73" a="1"/>
  <c r="L14" i="74" a="1"/>
  <c r="L16" i="72" a="1"/>
  <c r="L22" i="77" a="1"/>
  <c r="D21" i="55" a="1"/>
  <c r="L16" i="52" a="1"/>
  <c r="D21" i="76" a="1"/>
  <c r="L23" i="69" a="1"/>
  <c r="L22" i="77" l="1"/>
  <c r="J21" i="77" a="1"/>
  <c r="J21" i="77" s="1"/>
  <c r="K21" i="77" s="1"/>
  <c r="H21" i="77" a="1"/>
  <c r="H21" i="77" s="1"/>
  <c r="I21" i="77" s="1"/>
  <c r="D21" i="76"/>
  <c r="E21" i="76" s="1"/>
  <c r="F21" i="76" s="1"/>
  <c r="E14" i="74"/>
  <c r="F14" i="74" s="1"/>
  <c r="L14" i="74"/>
  <c r="J15" i="74" a="1"/>
  <c r="J15" i="74" s="1"/>
  <c r="K15" i="74" s="1"/>
  <c r="G15" i="74" s="1"/>
  <c r="H20" i="75" a="1"/>
  <c r="H20" i="75" s="1"/>
  <c r="I20" i="75" s="1"/>
  <c r="J20" i="75" a="1"/>
  <c r="J20" i="75" s="1"/>
  <c r="K20" i="75" s="1"/>
  <c r="L21" i="75"/>
  <c r="D22" i="73"/>
  <c r="J21" i="73" s="1" a="1"/>
  <c r="J21" i="73" s="1"/>
  <c r="K21" i="73" s="1"/>
  <c r="L16" i="72"/>
  <c r="J17" i="72" a="1"/>
  <c r="J17" i="72" s="1"/>
  <c r="K17" i="72" s="1"/>
  <c r="E16" i="72"/>
  <c r="F16" i="72" s="1"/>
  <c r="H17" i="72" a="1"/>
  <c r="H17" i="72" s="1"/>
  <c r="I17" i="72" s="1"/>
  <c r="J16" i="70" a="1"/>
  <c r="J16" i="70" s="1"/>
  <c r="K16" i="70" s="1"/>
  <c r="G16" i="70" s="1"/>
  <c r="G16" i="56"/>
  <c r="L15" i="70"/>
  <c r="E15" i="70"/>
  <c r="F15" i="70" s="1"/>
  <c r="D15" i="71"/>
  <c r="H22" i="69" a="1"/>
  <c r="H22" i="69" s="1"/>
  <c r="I22" i="69" s="1"/>
  <c r="J22" i="69" a="1"/>
  <c r="J22" i="69" s="1"/>
  <c r="K22" i="69" s="1"/>
  <c r="L23" i="69"/>
  <c r="G21" i="57"/>
  <c r="H16" i="51" a="1"/>
  <c r="H16" i="51" s="1"/>
  <c r="I16" i="51" s="1"/>
  <c r="G16" i="51" s="1"/>
  <c r="L15" i="51"/>
  <c r="E15" i="51"/>
  <c r="F15" i="51" s="1"/>
  <c r="D21" i="55"/>
  <c r="J17" i="52" a="1"/>
  <c r="J17" i="52" s="1"/>
  <c r="K17" i="52" s="1"/>
  <c r="H17" i="52" a="1"/>
  <c r="H17" i="52" s="1"/>
  <c r="I17" i="52" s="1"/>
  <c r="L16" i="52"/>
  <c r="D21" i="57" a="1"/>
  <c r="D16" i="70" a="1"/>
  <c r="D15" i="74" a="1"/>
  <c r="D16" i="51" a="1"/>
  <c r="D16" i="56" a="1"/>
  <c r="L21" i="76" a="1"/>
  <c r="L15" i="71" a="1"/>
  <c r="L22" i="73" a="1"/>
  <c r="L21" i="55" a="1"/>
  <c r="G21" i="77" l="1"/>
  <c r="L21" i="76"/>
  <c r="J20" i="76" a="1"/>
  <c r="J20" i="76" s="1"/>
  <c r="K20" i="76" s="1"/>
  <c r="H20" i="76" a="1"/>
  <c r="H20" i="76" s="1"/>
  <c r="I20" i="76" s="1"/>
  <c r="D15" i="74"/>
  <c r="E15" i="74" s="1"/>
  <c r="F15" i="74" s="1"/>
  <c r="G20" i="75"/>
  <c r="E22" i="73"/>
  <c r="F22" i="73" s="1"/>
  <c r="L22" i="73"/>
  <c r="H21" i="73" a="1"/>
  <c r="H21" i="73" s="1"/>
  <c r="I21" i="73" s="1"/>
  <c r="G21" i="73" s="1"/>
  <c r="G17" i="72"/>
  <c r="D16" i="56"/>
  <c r="J17" i="56" s="1" a="1"/>
  <c r="J17" i="56" s="1"/>
  <c r="K17" i="56" s="1"/>
  <c r="L15" i="71"/>
  <c r="E15" i="71"/>
  <c r="F15" i="71" s="1"/>
  <c r="H16" i="71" a="1"/>
  <c r="H16" i="71" s="1"/>
  <c r="I16" i="71" s="1"/>
  <c r="J16" i="71" a="1"/>
  <c r="J16" i="71" s="1"/>
  <c r="K16" i="71" s="1"/>
  <c r="D16" i="70"/>
  <c r="G22" i="69"/>
  <c r="D21" i="57"/>
  <c r="L21" i="55"/>
  <c r="J20" i="55" a="1"/>
  <c r="J20" i="55" s="1"/>
  <c r="K20" i="55" s="1"/>
  <c r="H20" i="55" a="1"/>
  <c r="H20" i="55" s="1"/>
  <c r="I20" i="55" s="1"/>
  <c r="E21" i="55"/>
  <c r="F21" i="55" s="1"/>
  <c r="G17" i="52"/>
  <c r="D16" i="51"/>
  <c r="E16" i="51" s="1"/>
  <c r="F16" i="51" s="1"/>
  <c r="D21" i="77" a="1"/>
  <c r="L21" i="57" a="1"/>
  <c r="L16" i="70" a="1"/>
  <c r="D21" i="73" a="1"/>
  <c r="L16" i="51" a="1"/>
  <c r="D17" i="72" a="1"/>
  <c r="L16" i="56" a="1"/>
  <c r="D20" i="75" a="1"/>
  <c r="D22" i="69" a="1"/>
  <c r="L15" i="74" a="1"/>
  <c r="D17" i="52" a="1"/>
  <c r="D21" i="77" l="1"/>
  <c r="E21" i="77" s="1"/>
  <c r="F21" i="77" s="1"/>
  <c r="G20" i="76"/>
  <c r="J16" i="74" a="1"/>
  <c r="J16" i="74" s="1"/>
  <c r="K16" i="74" s="1"/>
  <c r="L15" i="74"/>
  <c r="H16" i="74" a="1"/>
  <c r="H16" i="74" s="1"/>
  <c r="I16" i="74" s="1"/>
  <c r="D20" i="75"/>
  <c r="H19" i="75" s="1" a="1"/>
  <c r="H19" i="75" s="1"/>
  <c r="I19" i="75" s="1"/>
  <c r="D21" i="73"/>
  <c r="E21" i="73" s="1"/>
  <c r="F21" i="73" s="1"/>
  <c r="D17" i="72"/>
  <c r="E17" i="72" s="1"/>
  <c r="F17" i="72" s="1"/>
  <c r="L16" i="56"/>
  <c r="H17" i="56" a="1"/>
  <c r="H17" i="56" s="1"/>
  <c r="I17" i="56" s="1"/>
  <c r="G17" i="56" s="1"/>
  <c r="E16" i="56"/>
  <c r="F16" i="56" s="1"/>
  <c r="G16" i="71"/>
  <c r="L16" i="70"/>
  <c r="E16" i="70"/>
  <c r="F16" i="70" s="1"/>
  <c r="H17" i="70" a="1"/>
  <c r="H17" i="70" s="1"/>
  <c r="I17" i="70" s="1"/>
  <c r="J17" i="70" a="1"/>
  <c r="J17" i="70" s="1"/>
  <c r="K17" i="70" s="1"/>
  <c r="D22" i="69"/>
  <c r="H21" i="69" s="1" a="1"/>
  <c r="H21" i="69" s="1"/>
  <c r="I21" i="69" s="1"/>
  <c r="L21" i="57"/>
  <c r="E21" i="57"/>
  <c r="F21" i="57" s="1"/>
  <c r="H20" i="57" a="1"/>
  <c r="H20" i="57" s="1"/>
  <c r="I20" i="57" s="1"/>
  <c r="J20" i="57" a="1"/>
  <c r="J20" i="57" s="1"/>
  <c r="K20" i="57" s="1"/>
  <c r="G20" i="55"/>
  <c r="J17" i="51" a="1"/>
  <c r="J17" i="51" s="1"/>
  <c r="K17" i="51" s="1"/>
  <c r="D17" i="52"/>
  <c r="E17" i="52" s="1"/>
  <c r="F17" i="52" s="1"/>
  <c r="H17" i="51" a="1"/>
  <c r="H17" i="51" s="1"/>
  <c r="I17" i="51" s="1"/>
  <c r="L16" i="51"/>
  <c r="L21" i="73" a="1"/>
  <c r="D16" i="71" a="1"/>
  <c r="L17" i="72" a="1"/>
  <c r="L22" i="69" a="1"/>
  <c r="L17" i="52" a="1"/>
  <c r="D20" i="55" a="1"/>
  <c r="L20" i="75" a="1"/>
  <c r="D20" i="76" a="1"/>
  <c r="L21" i="77" a="1"/>
  <c r="D17" i="56" a="1"/>
  <c r="H20" i="77" l="1" a="1"/>
  <c r="H20" i="77" s="1"/>
  <c r="I20" i="77" s="1"/>
  <c r="L21" i="77"/>
  <c r="J20" i="77" a="1"/>
  <c r="J20" i="77" s="1"/>
  <c r="K20" i="77" s="1"/>
  <c r="D20" i="76"/>
  <c r="G16" i="74"/>
  <c r="E20" i="75"/>
  <c r="F20" i="75" s="1"/>
  <c r="L20" i="75"/>
  <c r="J19" i="75" a="1"/>
  <c r="J19" i="75" s="1"/>
  <c r="K19" i="75" s="1"/>
  <c r="G19" i="75" s="1"/>
  <c r="H20" i="73" a="1"/>
  <c r="H20" i="73" s="1"/>
  <c r="I20" i="73" s="1"/>
  <c r="L21" i="73"/>
  <c r="J20" i="73" a="1"/>
  <c r="J20" i="73" s="1"/>
  <c r="K20" i="73" s="1"/>
  <c r="J18" i="72" a="1"/>
  <c r="J18" i="72" s="1"/>
  <c r="K18" i="72" s="1"/>
  <c r="H18" i="72" a="1"/>
  <c r="H18" i="72" s="1"/>
  <c r="I18" i="72" s="1"/>
  <c r="L17" i="72"/>
  <c r="D17" i="56"/>
  <c r="H18" i="56" s="1" a="1"/>
  <c r="H18" i="56" s="1"/>
  <c r="I18" i="56" s="1"/>
  <c r="D16" i="71"/>
  <c r="H17" i="71" s="1" a="1"/>
  <c r="H17" i="71" s="1"/>
  <c r="I17" i="71" s="1"/>
  <c r="G17" i="70"/>
  <c r="J21" i="69" a="1"/>
  <c r="J21" i="69" s="1"/>
  <c r="K21" i="69" s="1"/>
  <c r="G21" i="69" s="1"/>
  <c r="L22" i="69"/>
  <c r="E22" i="69"/>
  <c r="F22" i="69" s="1"/>
  <c r="G20" i="57"/>
  <c r="D20" i="55"/>
  <c r="E20" i="55" s="1"/>
  <c r="F20" i="55" s="1"/>
  <c r="J18" i="52" a="1"/>
  <c r="J18" i="52" s="1"/>
  <c r="K18" i="52" s="1"/>
  <c r="H18" i="52" a="1"/>
  <c r="H18" i="52" s="1"/>
  <c r="I18" i="52" s="1"/>
  <c r="G17" i="51"/>
  <c r="L17" i="52"/>
  <c r="D21" i="69" a="1"/>
  <c r="L20" i="76" a="1"/>
  <c r="D20" i="57" a="1"/>
  <c r="L17" i="56" a="1"/>
  <c r="D17" i="70" a="1"/>
  <c r="D19" i="75" a="1"/>
  <c r="L16" i="71" a="1"/>
  <c r="D17" i="51" a="1"/>
  <c r="L20" i="55" a="1"/>
  <c r="D16" i="74" a="1"/>
  <c r="G20" i="77" l="1"/>
  <c r="L20" i="76"/>
  <c r="H19" i="76" a="1"/>
  <c r="H19" i="76" s="1"/>
  <c r="I19" i="76" s="1"/>
  <c r="E20" i="76"/>
  <c r="F20" i="76" s="1"/>
  <c r="J19" i="76" a="1"/>
  <c r="J19" i="76" s="1"/>
  <c r="K19" i="76" s="1"/>
  <c r="D16" i="74"/>
  <c r="H17" i="74" s="1" a="1"/>
  <c r="H17" i="74" s="1"/>
  <c r="I17" i="74" s="1"/>
  <c r="D19" i="75"/>
  <c r="J18" i="75" s="1" a="1"/>
  <c r="J18" i="75" s="1"/>
  <c r="K18" i="75" s="1"/>
  <c r="G20" i="73"/>
  <c r="G18" i="72"/>
  <c r="J18" i="56" a="1"/>
  <c r="J18" i="56" s="1"/>
  <c r="K18" i="56" s="1"/>
  <c r="G18" i="56" s="1"/>
  <c r="L17" i="56"/>
  <c r="E17" i="56"/>
  <c r="F17" i="56" s="1"/>
  <c r="J17" i="71" a="1"/>
  <c r="J17" i="71" s="1"/>
  <c r="K17" i="71" s="1"/>
  <c r="G17" i="71" s="1"/>
  <c r="L16" i="71"/>
  <c r="E16" i="71"/>
  <c r="F16" i="71" s="1"/>
  <c r="D17" i="70"/>
  <c r="D21" i="69"/>
  <c r="J20" i="69" s="1" a="1"/>
  <c r="J20" i="69" s="1"/>
  <c r="K20" i="69" s="1"/>
  <c r="D20" i="57"/>
  <c r="E20" i="57" s="1"/>
  <c r="F20" i="57" s="1"/>
  <c r="H19" i="55" a="1"/>
  <c r="H19" i="55" s="1"/>
  <c r="I19" i="55" s="1"/>
  <c r="J19" i="55" a="1"/>
  <c r="J19" i="55" s="1"/>
  <c r="K19" i="55" s="1"/>
  <c r="L20" i="55"/>
  <c r="G18" i="52"/>
  <c r="D17" i="51"/>
  <c r="E17" i="51" s="1"/>
  <c r="F17" i="51" s="1"/>
  <c r="L16" i="74" a="1"/>
  <c r="L21" i="69" a="1"/>
  <c r="D18" i="52" a="1"/>
  <c r="D17" i="71" a="1"/>
  <c r="L17" i="51" a="1"/>
  <c r="L20" i="57" a="1"/>
  <c r="L17" i="70" a="1"/>
  <c r="D18" i="72" a="1"/>
  <c r="D18" i="56" a="1"/>
  <c r="D20" i="73" a="1"/>
  <c r="D20" i="77" a="1"/>
  <c r="L19" i="75" a="1"/>
  <c r="D20" i="77" l="1"/>
  <c r="E20" i="77" s="1"/>
  <c r="F20" i="77" s="1"/>
  <c r="G19" i="76"/>
  <c r="H18" i="75" a="1"/>
  <c r="H18" i="75" s="1"/>
  <c r="I18" i="75" s="1"/>
  <c r="G18" i="75" s="1"/>
  <c r="L16" i="74"/>
  <c r="J17" i="74" a="1"/>
  <c r="J17" i="74" s="1"/>
  <c r="K17" i="74" s="1"/>
  <c r="G17" i="74" s="1"/>
  <c r="E16" i="74"/>
  <c r="F16" i="74" s="1"/>
  <c r="L19" i="75"/>
  <c r="E19" i="75"/>
  <c r="F19" i="75" s="1"/>
  <c r="D20" i="73"/>
  <c r="E20" i="73" s="1"/>
  <c r="F20" i="73" s="1"/>
  <c r="D18" i="72"/>
  <c r="J19" i="72" s="1" a="1"/>
  <c r="J19" i="72" s="1"/>
  <c r="K19" i="72" s="1"/>
  <c r="D17" i="71"/>
  <c r="E17" i="71" s="1"/>
  <c r="F17" i="71" s="1"/>
  <c r="H20" i="69" a="1"/>
  <c r="H20" i="69" s="1"/>
  <c r="I20" i="69" s="1"/>
  <c r="G20" i="69" s="1"/>
  <c r="D18" i="56"/>
  <c r="E18" i="56" s="1"/>
  <c r="F18" i="56" s="1"/>
  <c r="L17" i="70"/>
  <c r="H18" i="70" a="1"/>
  <c r="H18" i="70" s="1"/>
  <c r="I18" i="70" s="1"/>
  <c r="J18" i="70" a="1"/>
  <c r="J18" i="70" s="1"/>
  <c r="K18" i="70" s="1"/>
  <c r="E17" i="70"/>
  <c r="F17" i="70" s="1"/>
  <c r="L21" i="69"/>
  <c r="E21" i="69"/>
  <c r="F21" i="69" s="1"/>
  <c r="H19" i="57" a="1"/>
  <c r="H19" i="57" s="1"/>
  <c r="I19" i="57" s="1"/>
  <c r="J19" i="57" a="1"/>
  <c r="J19" i="57" s="1"/>
  <c r="K19" i="57" s="1"/>
  <c r="L20" i="57"/>
  <c r="G19" i="55"/>
  <c r="H18" i="51" a="1"/>
  <c r="H18" i="51" s="1"/>
  <c r="I18" i="51" s="1"/>
  <c r="J18" i="51" a="1"/>
  <c r="J18" i="51" s="1"/>
  <c r="K18" i="51" s="1"/>
  <c r="D18" i="52"/>
  <c r="E18" i="52" s="1"/>
  <c r="F18" i="52" s="1"/>
  <c r="L17" i="51"/>
  <c r="L18" i="52" a="1"/>
  <c r="D18" i="75" a="1"/>
  <c r="D20" i="69" a="1"/>
  <c r="L17" i="71" a="1"/>
  <c r="L20" i="77" a="1"/>
  <c r="L20" i="73" a="1"/>
  <c r="L18" i="56" a="1"/>
  <c r="D19" i="55" a="1"/>
  <c r="L18" i="72" a="1"/>
  <c r="D19" i="76" a="1"/>
  <c r="D17" i="74" a="1"/>
  <c r="H19" i="77" l="1" a="1"/>
  <c r="H19" i="77" s="1"/>
  <c r="I19" i="77" s="1"/>
  <c r="L20" i="77"/>
  <c r="J19" i="77" a="1"/>
  <c r="J19" i="77" s="1"/>
  <c r="K19" i="77" s="1"/>
  <c r="D19" i="76"/>
  <c r="D17" i="74"/>
  <c r="E17" i="74" s="1"/>
  <c r="F17" i="74" s="1"/>
  <c r="D18" i="75"/>
  <c r="E18" i="75" s="1"/>
  <c r="F18" i="75" s="1"/>
  <c r="H19" i="73" a="1"/>
  <c r="H19" i="73" s="1"/>
  <c r="I19" i="73" s="1"/>
  <c r="L20" i="73"/>
  <c r="J19" i="73" a="1"/>
  <c r="J19" i="73" s="1"/>
  <c r="K19" i="73" s="1"/>
  <c r="H19" i="72" a="1"/>
  <c r="H19" i="72" s="1"/>
  <c r="I19" i="72" s="1"/>
  <c r="G19" i="72" s="1"/>
  <c r="L18" i="72"/>
  <c r="E18" i="72"/>
  <c r="F18" i="72" s="1"/>
  <c r="J18" i="71" a="1"/>
  <c r="J18" i="71" s="1"/>
  <c r="K18" i="71" s="1"/>
  <c r="L17" i="71"/>
  <c r="H18" i="71" a="1"/>
  <c r="H18" i="71" s="1"/>
  <c r="I18" i="71" s="1"/>
  <c r="J19" i="56" a="1"/>
  <c r="J19" i="56" s="1"/>
  <c r="K19" i="56" s="1"/>
  <c r="H19" i="56" a="1"/>
  <c r="H19" i="56" s="1"/>
  <c r="I19" i="56" s="1"/>
  <c r="L18" i="56"/>
  <c r="G18" i="70"/>
  <c r="D20" i="69"/>
  <c r="H19" i="69" s="1" a="1"/>
  <c r="H19" i="69" s="1"/>
  <c r="I19" i="69" s="1"/>
  <c r="G19" i="57"/>
  <c r="D19" i="55"/>
  <c r="H19" i="52" a="1"/>
  <c r="H19" i="52" s="1"/>
  <c r="I19" i="52" s="1"/>
  <c r="G18" i="51"/>
  <c r="L18" i="52"/>
  <c r="J19" i="52" a="1"/>
  <c r="J19" i="52" s="1"/>
  <c r="K19" i="52" s="1"/>
  <c r="L17" i="74" a="1"/>
  <c r="L18" i="75" a="1"/>
  <c r="L20" i="69" a="1"/>
  <c r="D18" i="70" a="1"/>
  <c r="D18" i="51" a="1"/>
  <c r="L19" i="55" a="1"/>
  <c r="D19" i="57" a="1"/>
  <c r="L19" i="76" a="1"/>
  <c r="D19" i="72" a="1"/>
  <c r="G19" i="77" l="1"/>
  <c r="L19" i="76"/>
  <c r="E19" i="76"/>
  <c r="F19" i="76" s="1"/>
  <c r="J18" i="76" a="1"/>
  <c r="J18" i="76" s="1"/>
  <c r="K18" i="76" s="1"/>
  <c r="H18" i="76" a="1"/>
  <c r="H18" i="76" s="1"/>
  <c r="I18" i="76" s="1"/>
  <c r="L17" i="74"/>
  <c r="H18" i="74" a="1"/>
  <c r="H18" i="74" s="1"/>
  <c r="I18" i="74" s="1"/>
  <c r="J18" i="74" a="1"/>
  <c r="J18" i="74" s="1"/>
  <c r="K18" i="74" s="1"/>
  <c r="H17" i="75" a="1"/>
  <c r="H17" i="75" s="1"/>
  <c r="I17" i="75" s="1"/>
  <c r="J17" i="75" a="1"/>
  <c r="J17" i="75" s="1"/>
  <c r="K17" i="75" s="1"/>
  <c r="L18" i="75"/>
  <c r="G19" i="73"/>
  <c r="D19" i="72"/>
  <c r="H20" i="72" s="1" a="1"/>
  <c r="H20" i="72" s="1"/>
  <c r="I20" i="72" s="1"/>
  <c r="G18" i="71"/>
  <c r="G19" i="56"/>
  <c r="D18" i="70"/>
  <c r="L20" i="69"/>
  <c r="E20" i="69"/>
  <c r="F20" i="69" s="1"/>
  <c r="J19" i="69" a="1"/>
  <c r="J19" i="69" s="1"/>
  <c r="K19" i="69" s="1"/>
  <c r="G19" i="69" s="1"/>
  <c r="D19" i="57"/>
  <c r="E19" i="57" s="1"/>
  <c r="F19" i="57" s="1"/>
  <c r="L19" i="55"/>
  <c r="E19" i="55"/>
  <c r="F19" i="55" s="1"/>
  <c r="H18" i="55" a="1"/>
  <c r="H18" i="55" s="1"/>
  <c r="I18" i="55" s="1"/>
  <c r="J18" i="55" a="1"/>
  <c r="J18" i="55" s="1"/>
  <c r="K18" i="55" s="1"/>
  <c r="G19" i="52"/>
  <c r="D18" i="51"/>
  <c r="J19" i="51" s="1" a="1"/>
  <c r="J19" i="51" s="1"/>
  <c r="K19" i="51" s="1"/>
  <c r="D19" i="56" a="1"/>
  <c r="L18" i="51" a="1"/>
  <c r="D19" i="73" a="1"/>
  <c r="D19" i="77" a="1"/>
  <c r="L19" i="72" a="1"/>
  <c r="D19" i="69" a="1"/>
  <c r="L19" i="57" a="1"/>
  <c r="D18" i="71" a="1"/>
  <c r="D19" i="52" a="1"/>
  <c r="L18" i="70" a="1"/>
  <c r="D19" i="77" l="1"/>
  <c r="E19" i="77" s="1"/>
  <c r="F19" i="77" s="1"/>
  <c r="G18" i="76"/>
  <c r="G18" i="74"/>
  <c r="G17" i="75"/>
  <c r="D19" i="73"/>
  <c r="J18" i="73" s="1" a="1"/>
  <c r="J18" i="73" s="1"/>
  <c r="K18" i="73" s="1"/>
  <c r="E19" i="72"/>
  <c r="F19" i="72" s="1"/>
  <c r="J20" i="72" a="1"/>
  <c r="J20" i="72" s="1"/>
  <c r="K20" i="72" s="1"/>
  <c r="G20" i="72" s="1"/>
  <c r="L19" i="72"/>
  <c r="D18" i="71"/>
  <c r="J19" i="71" s="1" a="1"/>
  <c r="J19" i="71" s="1"/>
  <c r="K19" i="71" s="1"/>
  <c r="D19" i="56"/>
  <c r="J20" i="56" s="1" a="1"/>
  <c r="J20" i="56" s="1"/>
  <c r="K20" i="56" s="1"/>
  <c r="L18" i="70"/>
  <c r="E18" i="70"/>
  <c r="F18" i="70" s="1"/>
  <c r="J19" i="70" a="1"/>
  <c r="J19" i="70" s="1"/>
  <c r="K19" i="70" s="1"/>
  <c r="H19" i="70" a="1"/>
  <c r="H19" i="70" s="1"/>
  <c r="I19" i="70" s="1"/>
  <c r="D19" i="69"/>
  <c r="H18" i="69" s="1" a="1"/>
  <c r="H18" i="69" s="1"/>
  <c r="I18" i="69" s="1"/>
  <c r="H18" i="57" a="1"/>
  <c r="H18" i="57" s="1"/>
  <c r="I18" i="57" s="1"/>
  <c r="J18" i="57" a="1"/>
  <c r="J18" i="57" s="1"/>
  <c r="K18" i="57" s="1"/>
  <c r="L19" i="57"/>
  <c r="H19" i="51" a="1"/>
  <c r="H19" i="51" s="1"/>
  <c r="I19" i="51" s="1"/>
  <c r="G19" i="51" s="1"/>
  <c r="G18" i="55"/>
  <c r="D19" i="52"/>
  <c r="E19" i="52" s="1"/>
  <c r="F19" i="52" s="1"/>
  <c r="L18" i="51"/>
  <c r="E18" i="51"/>
  <c r="F18" i="51" s="1"/>
  <c r="D18" i="55" a="1"/>
  <c r="L19" i="56" a="1"/>
  <c r="L19" i="73" a="1"/>
  <c r="D19" i="51" a="1"/>
  <c r="D17" i="75" a="1"/>
  <c r="L18" i="71" a="1"/>
  <c r="D20" i="72" a="1"/>
  <c r="L19" i="69" a="1"/>
  <c r="D18" i="74" a="1"/>
  <c r="D18" i="76" a="1"/>
  <c r="L19" i="52" a="1"/>
  <c r="L19" i="77" a="1"/>
  <c r="J18" i="77" l="1" a="1"/>
  <c r="J18" i="77" s="1"/>
  <c r="K18" i="77" s="1"/>
  <c r="L19" i="77"/>
  <c r="H18" i="77" a="1"/>
  <c r="H18" i="77" s="1"/>
  <c r="I18" i="77" s="1"/>
  <c r="D18" i="76"/>
  <c r="D18" i="74"/>
  <c r="D17" i="75"/>
  <c r="J16" i="75" s="1" a="1"/>
  <c r="J16" i="75" s="1"/>
  <c r="K16" i="75" s="1"/>
  <c r="L19" i="73"/>
  <c r="E19" i="73"/>
  <c r="F19" i="73" s="1"/>
  <c r="H18" i="73" a="1"/>
  <c r="H18" i="73" s="1"/>
  <c r="I18" i="73" s="1"/>
  <c r="G18" i="73" s="1"/>
  <c r="D20" i="72"/>
  <c r="H19" i="71" a="1"/>
  <c r="H19" i="71" s="1"/>
  <c r="I19" i="71" s="1"/>
  <c r="G19" i="71" s="1"/>
  <c r="L18" i="71"/>
  <c r="H20" i="56" a="1"/>
  <c r="H20" i="56" s="1"/>
  <c r="I20" i="56" s="1"/>
  <c r="G20" i="56" s="1"/>
  <c r="E18" i="71"/>
  <c r="F18" i="71" s="1"/>
  <c r="L19" i="56"/>
  <c r="E19" i="56"/>
  <c r="F19" i="56" s="1"/>
  <c r="G19" i="70"/>
  <c r="L19" i="69"/>
  <c r="E19" i="69"/>
  <c r="F19" i="69" s="1"/>
  <c r="J18" i="69" a="1"/>
  <c r="J18" i="69" s="1"/>
  <c r="K18" i="69" s="1"/>
  <c r="G18" i="69" s="1"/>
  <c r="G18" i="57"/>
  <c r="D18" i="55"/>
  <c r="E18" i="55" s="1"/>
  <c r="F18" i="55" s="1"/>
  <c r="H20" i="52" a="1"/>
  <c r="H20" i="52" s="1"/>
  <c r="I20" i="52" s="1"/>
  <c r="L19" i="52"/>
  <c r="J20" i="52" a="1"/>
  <c r="J20" i="52" s="1"/>
  <c r="K20" i="52" s="1"/>
  <c r="D19" i="51"/>
  <c r="L19" i="51" a="1"/>
  <c r="D19" i="70" a="1"/>
  <c r="D18" i="69" a="1"/>
  <c r="D20" i="56" a="1"/>
  <c r="D18" i="73" a="1"/>
  <c r="L17" i="75" a="1"/>
  <c r="L18" i="76" a="1"/>
  <c r="D19" i="71" a="1"/>
  <c r="L18" i="74" a="1"/>
  <c r="D18" i="57" a="1"/>
  <c r="L20" i="72" a="1"/>
  <c r="L18" i="55" a="1"/>
  <c r="G18" i="77" l="1"/>
  <c r="L18" i="76"/>
  <c r="E18" i="76"/>
  <c r="F18" i="76" s="1"/>
  <c r="H17" i="76" a="1"/>
  <c r="H17" i="76" s="1"/>
  <c r="I17" i="76" s="1"/>
  <c r="J17" i="76" a="1"/>
  <c r="J17" i="76" s="1"/>
  <c r="K17" i="76" s="1"/>
  <c r="L18" i="74"/>
  <c r="E18" i="74"/>
  <c r="F18" i="74" s="1"/>
  <c r="H19" i="74" a="1"/>
  <c r="H19" i="74" s="1"/>
  <c r="I19" i="74" s="1"/>
  <c r="J19" i="74" a="1"/>
  <c r="J19" i="74" s="1"/>
  <c r="K19" i="74" s="1"/>
  <c r="H16" i="75" a="1"/>
  <c r="H16" i="75" s="1"/>
  <c r="I16" i="75" s="1"/>
  <c r="G16" i="75" s="1"/>
  <c r="L17" i="75"/>
  <c r="E17" i="75"/>
  <c r="F17" i="75" s="1"/>
  <c r="D18" i="73"/>
  <c r="H17" i="73" s="1" a="1"/>
  <c r="H17" i="73" s="1"/>
  <c r="I17" i="73" s="1"/>
  <c r="L20" i="72"/>
  <c r="J21" i="72" a="1"/>
  <c r="J21" i="72" s="1"/>
  <c r="K21" i="72" s="1"/>
  <c r="H21" i="72" a="1"/>
  <c r="H21" i="72" s="1"/>
  <c r="I21" i="72" s="1"/>
  <c r="E20" i="72"/>
  <c r="F20" i="72" s="1"/>
  <c r="D19" i="71"/>
  <c r="E19" i="71" s="1"/>
  <c r="F19" i="71" s="1"/>
  <c r="D19" i="70"/>
  <c r="H20" i="70" s="1" a="1"/>
  <c r="H20" i="70" s="1"/>
  <c r="I20" i="70" s="1"/>
  <c r="D18" i="69"/>
  <c r="E18" i="69" s="1"/>
  <c r="F18" i="69" s="1"/>
  <c r="D20" i="56"/>
  <c r="E20" i="56" s="1"/>
  <c r="F20" i="56" s="1"/>
  <c r="D18" i="57"/>
  <c r="E18" i="57" s="1"/>
  <c r="F18" i="57" s="1"/>
  <c r="J17" i="55" a="1"/>
  <c r="J17" i="55" s="1"/>
  <c r="K17" i="55" s="1"/>
  <c r="H17" i="55" a="1"/>
  <c r="H17" i="55" s="1"/>
  <c r="I17" i="55" s="1"/>
  <c r="L18" i="55"/>
  <c r="G20" i="52"/>
  <c r="L19" i="51"/>
  <c r="H20" i="51" a="1"/>
  <c r="H20" i="51" s="1"/>
  <c r="I20" i="51" s="1"/>
  <c r="J20" i="51" a="1"/>
  <c r="J20" i="51" s="1"/>
  <c r="K20" i="51" s="1"/>
  <c r="E19" i="51"/>
  <c r="F19" i="51" s="1"/>
  <c r="D20" i="52" a="1"/>
  <c r="L20" i="56" a="1"/>
  <c r="L19" i="71" a="1"/>
  <c r="D16" i="75" a="1"/>
  <c r="L18" i="57" a="1"/>
  <c r="D18" i="77" a="1"/>
  <c r="L19" i="70" a="1"/>
  <c r="L18" i="69" a="1"/>
  <c r="L18" i="73" a="1"/>
  <c r="D18" i="77" l="1"/>
  <c r="H17" i="77" s="1" a="1"/>
  <c r="H17" i="77" s="1"/>
  <c r="I17" i="77" s="1"/>
  <c r="G17" i="76"/>
  <c r="G19" i="74"/>
  <c r="D16" i="75"/>
  <c r="E18" i="73"/>
  <c r="F18" i="73" s="1"/>
  <c r="J17" i="73" a="1"/>
  <c r="J17" i="73" s="1"/>
  <c r="K17" i="73" s="1"/>
  <c r="G17" i="73" s="1"/>
  <c r="L18" i="73"/>
  <c r="G21" i="72"/>
  <c r="H20" i="71" a="1"/>
  <c r="H20" i="71" s="1"/>
  <c r="I20" i="71" s="1"/>
  <c r="J20" i="71" a="1"/>
  <c r="J20" i="71" s="1"/>
  <c r="K20" i="71" s="1"/>
  <c r="L19" i="71"/>
  <c r="J20" i="70" a="1"/>
  <c r="J20" i="70" s="1"/>
  <c r="K20" i="70" s="1"/>
  <c r="G20" i="70" s="1"/>
  <c r="E19" i="70"/>
  <c r="F19" i="70" s="1"/>
  <c r="L19" i="70"/>
  <c r="J21" i="56" a="1"/>
  <c r="J21" i="56" s="1"/>
  <c r="K21" i="56" s="1"/>
  <c r="J17" i="69" a="1"/>
  <c r="J17" i="69" s="1"/>
  <c r="K17" i="69" s="1"/>
  <c r="H17" i="69" a="1"/>
  <c r="H17" i="69" s="1"/>
  <c r="I17" i="69" s="1"/>
  <c r="L18" i="69"/>
  <c r="L20" i="56"/>
  <c r="H21" i="56" a="1"/>
  <c r="H21" i="56" s="1"/>
  <c r="I21" i="56" s="1"/>
  <c r="H17" i="57" a="1"/>
  <c r="H17" i="57" s="1"/>
  <c r="I17" i="57" s="1"/>
  <c r="J17" i="57" a="1"/>
  <c r="J17" i="57" s="1"/>
  <c r="K17" i="57" s="1"/>
  <c r="L18" i="57"/>
  <c r="G17" i="55"/>
  <c r="D20" i="52"/>
  <c r="H21" i="52" s="1" a="1"/>
  <c r="H21" i="52" s="1"/>
  <c r="I21" i="52" s="1"/>
  <c r="G20" i="51"/>
  <c r="D17" i="73" a="1"/>
  <c r="D17" i="76" a="1"/>
  <c r="L16" i="75" a="1"/>
  <c r="D21" i="72" a="1"/>
  <c r="D20" i="51" a="1"/>
  <c r="D20" i="70" a="1"/>
  <c r="L20" i="52" a="1"/>
  <c r="D17" i="55" a="1"/>
  <c r="D19" i="74" a="1"/>
  <c r="L18" i="77" a="1"/>
  <c r="E18" i="77" l="1"/>
  <c r="F18" i="77" s="1"/>
  <c r="L18" i="77"/>
  <c r="J17" i="77" a="1"/>
  <c r="J17" i="77" s="1"/>
  <c r="K17" i="77" s="1"/>
  <c r="G17" i="77" s="1"/>
  <c r="D17" i="76"/>
  <c r="D19" i="74"/>
  <c r="E19" i="74" s="1"/>
  <c r="F19" i="74" s="1"/>
  <c r="L16" i="75"/>
  <c r="J15" i="75" a="1"/>
  <c r="J15" i="75" s="1"/>
  <c r="K15" i="75" s="1"/>
  <c r="H15" i="75" a="1"/>
  <c r="H15" i="75" s="1"/>
  <c r="I15" i="75" s="1"/>
  <c r="E16" i="75"/>
  <c r="F16" i="75" s="1"/>
  <c r="D17" i="73"/>
  <c r="D21" i="72"/>
  <c r="E21" i="72" s="1"/>
  <c r="F21" i="72" s="1"/>
  <c r="G20" i="71"/>
  <c r="D20" i="70"/>
  <c r="H21" i="70" s="1" a="1"/>
  <c r="H21" i="70" s="1"/>
  <c r="I21" i="70" s="1"/>
  <c r="G21" i="56"/>
  <c r="G17" i="69"/>
  <c r="G17" i="57"/>
  <c r="D17" i="55"/>
  <c r="E17" i="55" s="1"/>
  <c r="F17" i="55" s="1"/>
  <c r="J21" i="52" a="1"/>
  <c r="J21" i="52" s="1"/>
  <c r="K21" i="52" s="1"/>
  <c r="G21" i="52" s="1"/>
  <c r="L20" i="52"/>
  <c r="E20" i="52"/>
  <c r="F20" i="52" s="1"/>
  <c r="D20" i="51"/>
  <c r="L17" i="55" a="1"/>
  <c r="D21" i="52" a="1"/>
  <c r="D20" i="71" a="1"/>
  <c r="L19" i="74" a="1"/>
  <c r="D17" i="57" a="1"/>
  <c r="L20" i="51" a="1"/>
  <c r="D17" i="77" a="1"/>
  <c r="L20" i="70" a="1"/>
  <c r="L17" i="73" a="1"/>
  <c r="L17" i="76" a="1"/>
  <c r="D17" i="69" a="1"/>
  <c r="D21" i="56" a="1"/>
  <c r="L21" i="72" a="1"/>
  <c r="D17" i="77" l="1"/>
  <c r="E17" i="77" s="1"/>
  <c r="F17" i="77" s="1"/>
  <c r="L17" i="76"/>
  <c r="E17" i="76"/>
  <c r="F17" i="76" s="1"/>
  <c r="J16" i="76" a="1"/>
  <c r="J16" i="76" s="1"/>
  <c r="K16" i="76" s="1"/>
  <c r="H16" i="76" a="1"/>
  <c r="H16" i="76" s="1"/>
  <c r="I16" i="76" s="1"/>
  <c r="J20" i="74" a="1"/>
  <c r="J20" i="74" s="1"/>
  <c r="K20" i="74" s="1"/>
  <c r="L19" i="74"/>
  <c r="H20" i="74" a="1"/>
  <c r="H20" i="74" s="1"/>
  <c r="I20" i="74" s="1"/>
  <c r="G15" i="75"/>
  <c r="L17" i="73"/>
  <c r="H16" i="73" a="1"/>
  <c r="H16" i="73" s="1"/>
  <c r="I16" i="73" s="1"/>
  <c r="E17" i="73"/>
  <c r="F17" i="73" s="1"/>
  <c r="J16" i="73" a="1"/>
  <c r="J16" i="73" s="1"/>
  <c r="K16" i="73" s="1"/>
  <c r="H22" i="72" a="1"/>
  <c r="H22" i="72" s="1"/>
  <c r="I22" i="72" s="1"/>
  <c r="J22" i="72" a="1"/>
  <c r="J22" i="72" s="1"/>
  <c r="K22" i="72" s="1"/>
  <c r="L21" i="72"/>
  <c r="D20" i="71"/>
  <c r="H21" i="71" s="1" a="1"/>
  <c r="H21" i="71" s="1"/>
  <c r="I21" i="71" s="1"/>
  <c r="E20" i="70"/>
  <c r="F20" i="70" s="1"/>
  <c r="J21" i="70" a="1"/>
  <c r="J21" i="70" s="1"/>
  <c r="K21" i="70" s="1"/>
  <c r="G21" i="70" s="1"/>
  <c r="L20" i="70"/>
  <c r="D21" i="56"/>
  <c r="H22" i="56" s="1" a="1"/>
  <c r="H22" i="56" s="1"/>
  <c r="I22" i="56" s="1"/>
  <c r="D17" i="69"/>
  <c r="E17" i="69" s="1"/>
  <c r="F17" i="69" s="1"/>
  <c r="H16" i="55" a="1"/>
  <c r="H16" i="55" s="1"/>
  <c r="I16" i="55" s="1"/>
  <c r="J16" i="55" a="1"/>
  <c r="J16" i="55" s="1"/>
  <c r="K16" i="55" s="1"/>
  <c r="D17" i="57"/>
  <c r="H16" i="57" s="1" a="1"/>
  <c r="H16" i="57" s="1"/>
  <c r="I16" i="57" s="1"/>
  <c r="L17" i="55"/>
  <c r="D21" i="52"/>
  <c r="L20" i="51"/>
  <c r="E20" i="51"/>
  <c r="F20" i="51" s="1"/>
  <c r="H21" i="51" a="1"/>
  <c r="H21" i="51" s="1"/>
  <c r="I21" i="51" s="1"/>
  <c r="J21" i="51" a="1"/>
  <c r="J21" i="51" s="1"/>
  <c r="K21" i="51" s="1"/>
  <c r="L17" i="69" a="1"/>
  <c r="L17" i="57" a="1"/>
  <c r="L20" i="71" a="1"/>
  <c r="D21" i="70" a="1"/>
  <c r="L17" i="77" a="1"/>
  <c r="L21" i="56" a="1"/>
  <c r="D15" i="75" a="1"/>
  <c r="L21" i="52" a="1"/>
  <c r="H16" i="77" l="1" a="1"/>
  <c r="H16" i="77" s="1"/>
  <c r="I16" i="77" s="1"/>
  <c r="L17" i="77"/>
  <c r="J16" i="77" a="1"/>
  <c r="J16" i="77" s="1"/>
  <c r="K16" i="77" s="1"/>
  <c r="G16" i="76"/>
  <c r="G20" i="74"/>
  <c r="D15" i="75"/>
  <c r="E15" i="75" s="1"/>
  <c r="F15" i="75" s="1"/>
  <c r="G16" i="73"/>
  <c r="G22" i="72"/>
  <c r="L20" i="71"/>
  <c r="J21" i="71" a="1"/>
  <c r="J21" i="71" s="1"/>
  <c r="K21" i="71" s="1"/>
  <c r="G21" i="71" s="1"/>
  <c r="E20" i="71"/>
  <c r="F20" i="71" s="1"/>
  <c r="D21" i="70"/>
  <c r="L21" i="56"/>
  <c r="L17" i="69"/>
  <c r="J22" i="56" a="1"/>
  <c r="J22" i="56" s="1"/>
  <c r="K22" i="56" s="1"/>
  <c r="G22" i="56" s="1"/>
  <c r="E21" i="56"/>
  <c r="F21" i="56" s="1"/>
  <c r="H16" i="69" a="1"/>
  <c r="H16" i="69" s="1"/>
  <c r="I16" i="69" s="1"/>
  <c r="J16" i="69" a="1"/>
  <c r="J16" i="69" s="1"/>
  <c r="K16" i="69" s="1"/>
  <c r="J16" i="57" a="1"/>
  <c r="J16" i="57" s="1"/>
  <c r="K16" i="57" s="1"/>
  <c r="G16" i="57" s="1"/>
  <c r="G16" i="55"/>
  <c r="L17" i="57"/>
  <c r="E17" i="57"/>
  <c r="F17" i="57" s="1"/>
  <c r="L21" i="52"/>
  <c r="E21" i="52"/>
  <c r="F21" i="52" s="1"/>
  <c r="H22" i="52" a="1"/>
  <c r="H22" i="52" s="1"/>
  <c r="I22" i="52" s="1"/>
  <c r="J22" i="52" a="1"/>
  <c r="J22" i="52" s="1"/>
  <c r="K22" i="52" s="1"/>
  <c r="G21" i="51"/>
  <c r="D16" i="73" a="1"/>
  <c r="L15" i="75" a="1"/>
  <c r="L21" i="70" a="1"/>
  <c r="D16" i="76" a="1"/>
  <c r="D20" i="74" a="1"/>
  <c r="D21" i="51" a="1"/>
  <c r="D16" i="57" a="1"/>
  <c r="D21" i="71" a="1"/>
  <c r="D16" i="55" a="1"/>
  <c r="D22" i="56" a="1"/>
  <c r="D22" i="72" a="1"/>
  <c r="G16" i="77" l="1"/>
  <c r="D16" i="76"/>
  <c r="E16" i="76" s="1"/>
  <c r="F16" i="76" s="1"/>
  <c r="D20" i="74"/>
  <c r="H21" i="74" s="1" a="1"/>
  <c r="H21" i="74" s="1"/>
  <c r="I21" i="74" s="1"/>
  <c r="L15" i="75"/>
  <c r="H14" i="75" a="1"/>
  <c r="H14" i="75" s="1"/>
  <c r="I14" i="75" s="1"/>
  <c r="J14" i="75" a="1"/>
  <c r="J14" i="75" s="1"/>
  <c r="K14" i="75" s="1"/>
  <c r="D16" i="73"/>
  <c r="E16" i="73" s="1"/>
  <c r="F16" i="73" s="1"/>
  <c r="D22" i="72"/>
  <c r="E22" i="72" s="1"/>
  <c r="F22" i="72" s="1"/>
  <c r="D21" i="71"/>
  <c r="E21" i="71" s="1"/>
  <c r="F21" i="71" s="1"/>
  <c r="L21" i="70"/>
  <c r="E21" i="70"/>
  <c r="F21" i="70" s="1"/>
  <c r="J22" i="70" a="1"/>
  <c r="J22" i="70" s="1"/>
  <c r="K22" i="70" s="1"/>
  <c r="H22" i="70" a="1"/>
  <c r="H22" i="70" s="1"/>
  <c r="I22" i="70" s="1"/>
  <c r="G16" i="69"/>
  <c r="D22" i="56"/>
  <c r="D16" i="55"/>
  <c r="H15" i="55" s="1" a="1"/>
  <c r="H15" i="55" s="1"/>
  <c r="I15" i="55" s="1"/>
  <c r="D16" i="57"/>
  <c r="J15" i="57" s="1" a="1"/>
  <c r="J15" i="57" s="1"/>
  <c r="K15" i="57" s="1"/>
  <c r="G22" i="52"/>
  <c r="D21" i="51"/>
  <c r="J22" i="51" s="1" a="1"/>
  <c r="J22" i="51" s="1"/>
  <c r="K22" i="51" s="1"/>
  <c r="L16" i="76" a="1"/>
  <c r="L20" i="74" a="1"/>
  <c r="D16" i="77" a="1"/>
  <c r="L16" i="57" a="1"/>
  <c r="D22" i="52" a="1"/>
  <c r="L21" i="51" a="1"/>
  <c r="L16" i="73" a="1"/>
  <c r="D16" i="69" a="1"/>
  <c r="L22" i="56" a="1"/>
  <c r="L16" i="55" a="1"/>
  <c r="L21" i="71" a="1"/>
  <c r="L22" i="72" a="1"/>
  <c r="D16" i="77" l="1"/>
  <c r="E16" i="77" s="1"/>
  <c r="F16" i="77" s="1"/>
  <c r="L16" i="76"/>
  <c r="H15" i="76" a="1"/>
  <c r="H15" i="76" s="1"/>
  <c r="I15" i="76" s="1"/>
  <c r="J15" i="76" a="1"/>
  <c r="J15" i="76" s="1"/>
  <c r="K15" i="76" s="1"/>
  <c r="J21" i="74" a="1"/>
  <c r="J21" i="74" s="1"/>
  <c r="K21" i="74" s="1"/>
  <c r="G21" i="74" s="1"/>
  <c r="L20" i="74"/>
  <c r="E20" i="74"/>
  <c r="F20" i="74" s="1"/>
  <c r="G14" i="75"/>
  <c r="H15" i="73" a="1"/>
  <c r="H15" i="73" s="1"/>
  <c r="I15" i="73" s="1"/>
  <c r="J15" i="73" a="1"/>
  <c r="J15" i="73" s="1"/>
  <c r="K15" i="73" s="1"/>
  <c r="L16" i="73"/>
  <c r="H23" i="72" a="1"/>
  <c r="H23" i="72" s="1"/>
  <c r="I23" i="72" s="1"/>
  <c r="J23" i="72" a="1"/>
  <c r="J23" i="72" s="1"/>
  <c r="K23" i="72" s="1"/>
  <c r="L22" i="72"/>
  <c r="L21" i="71"/>
  <c r="H22" i="71" a="1"/>
  <c r="H22" i="71" s="1"/>
  <c r="I22" i="71" s="1"/>
  <c r="J22" i="71" a="1"/>
  <c r="J22" i="71" s="1"/>
  <c r="K22" i="71" s="1"/>
  <c r="G22" i="70"/>
  <c r="D16" i="69"/>
  <c r="H15" i="69" s="1" a="1"/>
  <c r="H15" i="69" s="1"/>
  <c r="I15" i="69" s="1"/>
  <c r="L22" i="56"/>
  <c r="E22" i="56"/>
  <c r="F22" i="56" s="1"/>
  <c r="J23" i="56" a="1"/>
  <c r="J23" i="56" s="1"/>
  <c r="K23" i="56" s="1"/>
  <c r="H23" i="56" a="1"/>
  <c r="H23" i="56" s="1"/>
  <c r="I23" i="56" s="1"/>
  <c r="J15" i="55" a="1"/>
  <c r="J15" i="55" s="1"/>
  <c r="K15" i="55" s="1"/>
  <c r="G15" i="55" s="1"/>
  <c r="L16" i="55"/>
  <c r="E16" i="55"/>
  <c r="F16" i="55" s="1"/>
  <c r="E16" i="57"/>
  <c r="F16" i="57" s="1"/>
  <c r="H15" i="57" a="1"/>
  <c r="H15" i="57" s="1"/>
  <c r="I15" i="57" s="1"/>
  <c r="G15" i="57" s="1"/>
  <c r="L16" i="57"/>
  <c r="H22" i="51" a="1"/>
  <c r="H22" i="51" s="1"/>
  <c r="I22" i="51" s="1"/>
  <c r="G22" i="51" s="1"/>
  <c r="D22" i="52"/>
  <c r="L21" i="51"/>
  <c r="E21" i="51"/>
  <c r="F21" i="51" s="1"/>
  <c r="L16" i="77" a="1"/>
  <c r="D21" i="74" a="1"/>
  <c r="D15" i="55" a="1"/>
  <c r="D15" i="57" a="1"/>
  <c r="D22" i="70" a="1"/>
  <c r="D22" i="51" a="1"/>
  <c r="D14" i="75" a="1"/>
  <c r="L16" i="69" a="1"/>
  <c r="L22" i="52" a="1"/>
  <c r="L16" i="77" l="1"/>
  <c r="J15" i="77" a="1"/>
  <c r="J15" i="77" s="1"/>
  <c r="K15" i="77" s="1"/>
  <c r="H15" i="77" a="1"/>
  <c r="H15" i="77" s="1"/>
  <c r="I15" i="77" s="1"/>
  <c r="G15" i="76"/>
  <c r="D21" i="74"/>
  <c r="H22" i="74" s="1" a="1"/>
  <c r="H22" i="74" s="1"/>
  <c r="I22" i="74" s="1"/>
  <c r="D14" i="75"/>
  <c r="J13" i="75" s="1" a="1"/>
  <c r="J13" i="75" s="1"/>
  <c r="K13" i="75" s="1"/>
  <c r="G15" i="73"/>
  <c r="G23" i="72"/>
  <c r="G22" i="71"/>
  <c r="D22" i="70"/>
  <c r="E22" i="70" s="1"/>
  <c r="F22" i="70" s="1"/>
  <c r="E16" i="69"/>
  <c r="F16" i="69" s="1"/>
  <c r="J15" i="69" a="1"/>
  <c r="J15" i="69" s="1"/>
  <c r="K15" i="69" s="1"/>
  <c r="G15" i="69" s="1"/>
  <c r="L16" i="69"/>
  <c r="G23" i="56"/>
  <c r="D15" i="57"/>
  <c r="E15" i="57" s="1"/>
  <c r="F15" i="57" s="1"/>
  <c r="D15" i="55"/>
  <c r="J14" i="55" s="1" a="1"/>
  <c r="J14" i="55" s="1"/>
  <c r="K14" i="55" s="1"/>
  <c r="L22" i="52"/>
  <c r="E22" i="52"/>
  <c r="F22" i="52" s="1"/>
  <c r="J23" i="52" a="1"/>
  <c r="J23" i="52" s="1"/>
  <c r="K23" i="52" s="1"/>
  <c r="H23" i="52" a="1"/>
  <c r="H23" i="52" s="1"/>
  <c r="I23" i="52" s="1"/>
  <c r="D22" i="51"/>
  <c r="E22" i="51" s="1"/>
  <c r="F22" i="51" s="1"/>
  <c r="L15" i="55" a="1"/>
  <c r="D22" i="71" a="1"/>
  <c r="D23" i="56" a="1"/>
  <c r="L22" i="70" a="1"/>
  <c r="D15" i="73" a="1"/>
  <c r="L21" i="74" a="1"/>
  <c r="D23" i="72" a="1"/>
  <c r="L15" i="57" a="1"/>
  <c r="L14" i="75" a="1"/>
  <c r="D15" i="76" a="1"/>
  <c r="D15" i="69" a="1"/>
  <c r="L22" i="51" a="1"/>
  <c r="G15" i="77" l="1"/>
  <c r="D15" i="76"/>
  <c r="H14" i="76" s="1" a="1"/>
  <c r="H14" i="76" s="1"/>
  <c r="I14" i="76" s="1"/>
  <c r="J22" i="74" a="1"/>
  <c r="J22" i="74" s="1"/>
  <c r="K22" i="74" s="1"/>
  <c r="G22" i="74" s="1"/>
  <c r="E21" i="74"/>
  <c r="F21" i="74" s="1"/>
  <c r="L21" i="74"/>
  <c r="L14" i="75"/>
  <c r="H13" i="75" a="1"/>
  <c r="H13" i="75" s="1"/>
  <c r="I13" i="75" s="1"/>
  <c r="G13" i="75" s="1"/>
  <c r="E14" i="75"/>
  <c r="F14" i="75" s="1"/>
  <c r="D15" i="73"/>
  <c r="J14" i="73" s="1" a="1"/>
  <c r="J14" i="73" s="1"/>
  <c r="K14" i="73" s="1"/>
  <c r="D23" i="72"/>
  <c r="E23" i="72" s="1"/>
  <c r="F23" i="72" s="1"/>
  <c r="D22" i="71"/>
  <c r="H23" i="71" s="1" a="1"/>
  <c r="H23" i="71" s="1"/>
  <c r="I23" i="71" s="1"/>
  <c r="J23" i="70" a="1"/>
  <c r="J23" i="70" s="1"/>
  <c r="K23" i="70" s="1"/>
  <c r="H23" i="70" a="1"/>
  <c r="H23" i="70" s="1"/>
  <c r="I23" i="70" s="1"/>
  <c r="L22" i="70"/>
  <c r="D15" i="69"/>
  <c r="J14" i="69" s="1" a="1"/>
  <c r="J14" i="69" s="1"/>
  <c r="K14" i="69" s="1"/>
  <c r="D23" i="56"/>
  <c r="H14" i="57" a="1"/>
  <c r="H14" i="57" s="1"/>
  <c r="I14" i="57" s="1"/>
  <c r="J14" i="57" a="1"/>
  <c r="J14" i="57" s="1"/>
  <c r="K14" i="57" s="1"/>
  <c r="L15" i="57"/>
  <c r="E15" i="55"/>
  <c r="F15" i="55" s="1"/>
  <c r="H14" i="55" a="1"/>
  <c r="H14" i="55" s="1"/>
  <c r="I14" i="55" s="1"/>
  <c r="G14" i="55" s="1"/>
  <c r="L15" i="55"/>
  <c r="G23" i="52"/>
  <c r="H23" i="51" a="1"/>
  <c r="H23" i="51" s="1"/>
  <c r="I23" i="51" s="1"/>
  <c r="L22" i="51"/>
  <c r="J23" i="51" a="1"/>
  <c r="J23" i="51" s="1"/>
  <c r="K23" i="51" s="1"/>
  <c r="L15" i="73" a="1"/>
  <c r="D22" i="74" a="1"/>
  <c r="L22" i="71" a="1"/>
  <c r="D13" i="75" a="1"/>
  <c r="D14" i="55" a="1"/>
  <c r="L15" i="69" a="1"/>
  <c r="D23" i="52" a="1"/>
  <c r="L15" i="76" a="1"/>
  <c r="D15" i="77" a="1"/>
  <c r="L23" i="56" a="1"/>
  <c r="L23" i="72" a="1"/>
  <c r="D15" i="77" l="1"/>
  <c r="J14" i="76" a="1"/>
  <c r="J14" i="76" s="1"/>
  <c r="K14" i="76" s="1"/>
  <c r="G14" i="76" s="1"/>
  <c r="L15" i="76"/>
  <c r="E15" i="76"/>
  <c r="F15" i="76" s="1"/>
  <c r="D22" i="74"/>
  <c r="D13" i="75"/>
  <c r="E13" i="75" s="1"/>
  <c r="F13" i="75" s="1"/>
  <c r="H14" i="73" a="1"/>
  <c r="H14" i="73" s="1"/>
  <c r="I14" i="73" s="1"/>
  <c r="G14" i="73" s="1"/>
  <c r="L15" i="73"/>
  <c r="E15" i="73"/>
  <c r="F15" i="73" s="1"/>
  <c r="H24" i="72" a="1"/>
  <c r="H24" i="72" s="1"/>
  <c r="I24" i="72" s="1"/>
  <c r="L23" i="72"/>
  <c r="J24" i="72" a="1"/>
  <c r="J24" i="72" s="1"/>
  <c r="K24" i="72" s="1"/>
  <c r="J23" i="71" a="1"/>
  <c r="J23" i="71" s="1"/>
  <c r="K23" i="71" s="1"/>
  <c r="G23" i="71" s="1"/>
  <c r="E22" i="71"/>
  <c r="F22" i="71" s="1"/>
  <c r="L22" i="71"/>
  <c r="G23" i="70"/>
  <c r="E15" i="69"/>
  <c r="F15" i="69" s="1"/>
  <c r="L15" i="69"/>
  <c r="H14" i="69" a="1"/>
  <c r="H14" i="69" s="1"/>
  <c r="I14" i="69" s="1"/>
  <c r="G14" i="69" s="1"/>
  <c r="L23" i="56"/>
  <c r="E23" i="56"/>
  <c r="F23" i="56" s="1"/>
  <c r="H24" i="56" a="1"/>
  <c r="H24" i="56" s="1"/>
  <c r="I24" i="56" s="1"/>
  <c r="J24" i="56" a="1"/>
  <c r="J24" i="56" s="1"/>
  <c r="K24" i="56" s="1"/>
  <c r="G14" i="57"/>
  <c r="D14" i="55"/>
  <c r="E14" i="55" s="1"/>
  <c r="F14" i="55" s="1"/>
  <c r="D23" i="52"/>
  <c r="G23" i="51"/>
  <c r="L14" i="55" a="1"/>
  <c r="L22" i="74" a="1"/>
  <c r="L23" i="52" a="1"/>
  <c r="D14" i="57" a="1"/>
  <c r="L15" i="77" a="1"/>
  <c r="L13" i="75" a="1"/>
  <c r="D23" i="51" a="1"/>
  <c r="D23" i="70" a="1"/>
  <c r="D14" i="69" a="1"/>
  <c r="D14" i="73" a="1"/>
  <c r="D14" i="76" a="1"/>
  <c r="D23" i="71" a="1"/>
  <c r="L15" i="77" l="1"/>
  <c r="E15" i="77"/>
  <c r="F15" i="77" s="1"/>
  <c r="H14" i="77" a="1"/>
  <c r="H14" i="77" s="1"/>
  <c r="I14" i="77" s="1"/>
  <c r="J14" i="77" a="1"/>
  <c r="J14" i="77" s="1"/>
  <c r="K14" i="77" s="1"/>
  <c r="D14" i="76"/>
  <c r="L22" i="74"/>
  <c r="H23" i="74" a="1"/>
  <c r="H23" i="74" s="1"/>
  <c r="I23" i="74" s="1"/>
  <c r="J23" i="74" a="1"/>
  <c r="J23" i="74" s="1"/>
  <c r="K23" i="74" s="1"/>
  <c r="E22" i="74"/>
  <c r="F22" i="74" s="1"/>
  <c r="J12" i="75" a="1"/>
  <c r="J12" i="75" s="1"/>
  <c r="K12" i="75" s="1"/>
  <c r="H12" i="75" a="1"/>
  <c r="H12" i="75" s="1"/>
  <c r="I12" i="75" s="1"/>
  <c r="L13" i="75"/>
  <c r="D14" i="73"/>
  <c r="H13" i="73" s="1" a="1"/>
  <c r="H13" i="73" s="1"/>
  <c r="I13" i="73" s="1"/>
  <c r="G24" i="72"/>
  <c r="D23" i="71"/>
  <c r="J24" i="71" s="1" a="1"/>
  <c r="J24" i="71" s="1"/>
  <c r="K24" i="71" s="1"/>
  <c r="D23" i="70"/>
  <c r="J24" i="70" s="1" a="1"/>
  <c r="J24" i="70" s="1"/>
  <c r="K24" i="70" s="1"/>
  <c r="D14" i="69"/>
  <c r="G24" i="56"/>
  <c r="D14" i="57"/>
  <c r="H13" i="57" s="1" a="1"/>
  <c r="H13" i="57" s="1"/>
  <c r="I13" i="57" s="1"/>
  <c r="J13" i="55" a="1"/>
  <c r="J13" i="55" s="1"/>
  <c r="K13" i="55" s="1"/>
  <c r="H13" i="55" a="1"/>
  <c r="H13" i="55" s="1"/>
  <c r="I13" i="55" s="1"/>
  <c r="L14" i="55"/>
  <c r="L23" i="52"/>
  <c r="E23" i="52"/>
  <c r="F23" i="52" s="1"/>
  <c r="H24" i="52" a="1"/>
  <c r="H24" i="52" s="1"/>
  <c r="I24" i="52" s="1"/>
  <c r="J24" i="52" a="1"/>
  <c r="J24" i="52" s="1"/>
  <c r="K24" i="52" s="1"/>
  <c r="D23" i="51"/>
  <c r="E23" i="51" s="1"/>
  <c r="F23" i="51" s="1"/>
  <c r="L14" i="76" a="1"/>
  <c r="L23" i="70" a="1"/>
  <c r="L14" i="57" a="1"/>
  <c r="L14" i="73" a="1"/>
  <c r="L23" i="51" a="1"/>
  <c r="D24" i="72" a="1"/>
  <c r="L23" i="71" a="1"/>
  <c r="L14" i="69" a="1"/>
  <c r="D24" i="56" a="1"/>
  <c r="G14" i="77" l="1"/>
  <c r="L14" i="76"/>
  <c r="E14" i="76"/>
  <c r="F14" i="76" s="1"/>
  <c r="J13" i="76" a="1"/>
  <c r="J13" i="76" s="1"/>
  <c r="K13" i="76" s="1"/>
  <c r="H13" i="76" a="1"/>
  <c r="H13" i="76" s="1"/>
  <c r="I13" i="76" s="1"/>
  <c r="G23" i="74"/>
  <c r="G12" i="75"/>
  <c r="J13" i="73" a="1"/>
  <c r="J13" i="73" s="1"/>
  <c r="K13" i="73" s="1"/>
  <c r="G13" i="73" s="1"/>
  <c r="L14" i="73"/>
  <c r="E14" i="73"/>
  <c r="F14" i="73" s="1"/>
  <c r="D24" i="72"/>
  <c r="E24" i="72" s="1"/>
  <c r="F24" i="72" s="1"/>
  <c r="H24" i="71" a="1"/>
  <c r="H24" i="71" s="1"/>
  <c r="I24" i="71" s="1"/>
  <c r="G24" i="71" s="1"/>
  <c r="E23" i="71"/>
  <c r="F23" i="71" s="1"/>
  <c r="L23" i="71"/>
  <c r="E23" i="70"/>
  <c r="F23" i="70" s="1"/>
  <c r="L23" i="70"/>
  <c r="H24" i="70" a="1"/>
  <c r="H24" i="70" s="1"/>
  <c r="I24" i="70" s="1"/>
  <c r="G24" i="70" s="1"/>
  <c r="L14" i="69"/>
  <c r="E14" i="69"/>
  <c r="F14" i="69" s="1"/>
  <c r="J13" i="69" a="1"/>
  <c r="J13" i="69" s="1"/>
  <c r="K13" i="69" s="1"/>
  <c r="H13" i="69" a="1"/>
  <c r="H13" i="69" s="1"/>
  <c r="I13" i="69" s="1"/>
  <c r="D24" i="56"/>
  <c r="L14" i="57"/>
  <c r="J13" i="57" a="1"/>
  <c r="J13" i="57" s="1"/>
  <c r="K13" i="57" s="1"/>
  <c r="G13" i="57" s="1"/>
  <c r="E14" i="57"/>
  <c r="F14" i="57" s="1"/>
  <c r="G13" i="55"/>
  <c r="H24" i="51" a="1"/>
  <c r="H24" i="51" s="1"/>
  <c r="I24" i="51" s="1"/>
  <c r="J24" i="51" a="1"/>
  <c r="J24" i="51" s="1"/>
  <c r="K24" i="51" s="1"/>
  <c r="G24" i="52"/>
  <c r="L23" i="51"/>
  <c r="D24" i="70" a="1"/>
  <c r="D13" i="57" a="1"/>
  <c r="L24" i="72" a="1"/>
  <c r="D13" i="73" a="1"/>
  <c r="D23" i="74" a="1"/>
  <c r="D24" i="71" a="1"/>
  <c r="D12" i="75" a="1"/>
  <c r="L24" i="56" a="1"/>
  <c r="D14" i="77" a="1"/>
  <c r="D24" i="52" a="1"/>
  <c r="D13" i="55" a="1"/>
  <c r="D14" i="77" l="1"/>
  <c r="J13" i="77" s="1" a="1"/>
  <c r="J13" i="77" s="1"/>
  <c r="K13" i="77" s="1"/>
  <c r="G13" i="76"/>
  <c r="D23" i="74"/>
  <c r="J24" i="74" s="1" a="1"/>
  <c r="J24" i="74" s="1"/>
  <c r="K24" i="74" s="1"/>
  <c r="D12" i="75"/>
  <c r="E12" i="75" s="1"/>
  <c r="F12" i="75" s="1"/>
  <c r="D13" i="73"/>
  <c r="E13" i="73" s="1"/>
  <c r="F13" i="73" s="1"/>
  <c r="H25" i="72" a="1"/>
  <c r="H25" i="72" s="1"/>
  <c r="I25" i="72" s="1"/>
  <c r="L24" i="72"/>
  <c r="J25" i="72" a="1"/>
  <c r="J25" i="72" s="1"/>
  <c r="K25" i="72" s="1"/>
  <c r="D24" i="71"/>
  <c r="D24" i="70"/>
  <c r="E24" i="70" s="1"/>
  <c r="F24" i="70" s="1"/>
  <c r="G13" i="69"/>
  <c r="L24" i="56"/>
  <c r="E24" i="56"/>
  <c r="F24" i="56" s="1"/>
  <c r="J25" i="56" a="1"/>
  <c r="J25" i="56" s="1"/>
  <c r="K25" i="56" s="1"/>
  <c r="H25" i="56" a="1"/>
  <c r="H25" i="56" s="1"/>
  <c r="I25" i="56" s="1"/>
  <c r="D13" i="57"/>
  <c r="H12" i="57" s="1" a="1"/>
  <c r="H12" i="57" s="1"/>
  <c r="I12" i="57" s="1"/>
  <c r="D13" i="55"/>
  <c r="H12" i="55" s="1" a="1"/>
  <c r="H12" i="55" s="1"/>
  <c r="I12" i="55" s="1"/>
  <c r="G24" i="51"/>
  <c r="D24" i="52"/>
  <c r="L24" i="71" a="1"/>
  <c r="L24" i="52" a="1"/>
  <c r="L14" i="77" a="1"/>
  <c r="D13" i="76" a="1"/>
  <c r="D13" i="69" a="1"/>
  <c r="L12" i="75" a="1"/>
  <c r="L13" i="57" a="1"/>
  <c r="L13" i="73" a="1"/>
  <c r="D24" i="51" a="1"/>
  <c r="L13" i="55" a="1"/>
  <c r="L23" i="74" a="1"/>
  <c r="L24" i="70" a="1"/>
  <c r="H13" i="77" l="1" a="1"/>
  <c r="H13" i="77" s="1"/>
  <c r="I13" i="77" s="1"/>
  <c r="G13" i="77" s="1"/>
  <c r="E14" i="77"/>
  <c r="F14" i="77" s="1"/>
  <c r="L14" i="77"/>
  <c r="D13" i="76"/>
  <c r="H11" i="75" a="1"/>
  <c r="H11" i="75" s="1"/>
  <c r="I11" i="75" s="1"/>
  <c r="J11" i="75" a="1"/>
  <c r="J11" i="75" s="1"/>
  <c r="K11" i="75" s="1"/>
  <c r="E23" i="74"/>
  <c r="F23" i="74" s="1"/>
  <c r="L23" i="74"/>
  <c r="H24" i="74" a="1"/>
  <c r="H24" i="74" s="1"/>
  <c r="I24" i="74" s="1"/>
  <c r="G24" i="74" s="1"/>
  <c r="L12" i="75"/>
  <c r="H12" i="73" a="1"/>
  <c r="H12" i="73" s="1"/>
  <c r="I12" i="73" s="1"/>
  <c r="J12" i="73" a="1"/>
  <c r="J12" i="73" s="1"/>
  <c r="K12" i="73" s="1"/>
  <c r="L13" i="73"/>
  <c r="G25" i="72"/>
  <c r="L24" i="71"/>
  <c r="E24" i="71"/>
  <c r="F24" i="71" s="1"/>
  <c r="H25" i="71" a="1"/>
  <c r="H25" i="71" s="1"/>
  <c r="I25" i="71" s="1"/>
  <c r="J25" i="71" a="1"/>
  <c r="J25" i="71" s="1"/>
  <c r="K25" i="71" s="1"/>
  <c r="J25" i="70" a="1"/>
  <c r="J25" i="70" s="1"/>
  <c r="K25" i="70" s="1"/>
  <c r="H25" i="70" a="1"/>
  <c r="H25" i="70" s="1"/>
  <c r="I25" i="70" s="1"/>
  <c r="L24" i="70"/>
  <c r="D13" i="69"/>
  <c r="J12" i="69" s="1" a="1"/>
  <c r="J12" i="69" s="1"/>
  <c r="K12" i="69" s="1"/>
  <c r="G25" i="56"/>
  <c r="E13" i="57"/>
  <c r="F13" i="57" s="1"/>
  <c r="L13" i="57"/>
  <c r="J12" i="57" a="1"/>
  <c r="J12" i="57" s="1"/>
  <c r="K12" i="57" s="1"/>
  <c r="G12" i="57" s="1"/>
  <c r="J12" i="55" a="1"/>
  <c r="J12" i="55" s="1"/>
  <c r="K12" i="55" s="1"/>
  <c r="G12" i="55" s="1"/>
  <c r="E13" i="55"/>
  <c r="F13" i="55" s="1"/>
  <c r="L13" i="55"/>
  <c r="D24" i="51"/>
  <c r="E24" i="51" s="1"/>
  <c r="F24" i="51" s="1"/>
  <c r="L24" i="52"/>
  <c r="E24" i="52"/>
  <c r="F24" i="52" s="1"/>
  <c r="J25" i="52" a="1"/>
  <c r="J25" i="52" s="1"/>
  <c r="K25" i="52" s="1"/>
  <c r="H25" i="52" a="1"/>
  <c r="H25" i="52" s="1"/>
  <c r="I25" i="52" s="1"/>
  <c r="D24" i="74" a="1"/>
  <c r="D12" i="55" a="1"/>
  <c r="D13" i="77" a="1"/>
  <c r="D25" i="72" a="1"/>
  <c r="L24" i="51" a="1"/>
  <c r="L13" i="69" a="1"/>
  <c r="D12" i="57" a="1"/>
  <c r="L13" i="76" a="1"/>
  <c r="D25" i="56" a="1"/>
  <c r="D13" i="77" l="1"/>
  <c r="H12" i="77" s="1" a="1"/>
  <c r="H12" i="77" s="1"/>
  <c r="I12" i="77" s="1"/>
  <c r="L13" i="76"/>
  <c r="H12" i="76" a="1"/>
  <c r="H12" i="76" s="1"/>
  <c r="I12" i="76" s="1"/>
  <c r="E13" i="76"/>
  <c r="F13" i="76" s="1"/>
  <c r="J12" i="76" a="1"/>
  <c r="J12" i="76" s="1"/>
  <c r="K12" i="76" s="1"/>
  <c r="G11" i="75"/>
  <c r="D24" i="74"/>
  <c r="E24" i="74" s="1"/>
  <c r="F24" i="74" s="1"/>
  <c r="G12" i="73"/>
  <c r="D25" i="72"/>
  <c r="J26" i="72" s="1" a="1"/>
  <c r="J26" i="72" s="1"/>
  <c r="K26" i="72" s="1"/>
  <c r="G25" i="71"/>
  <c r="G25" i="70"/>
  <c r="H12" i="69" a="1"/>
  <c r="H12" i="69" s="1"/>
  <c r="I12" i="69" s="1"/>
  <c r="G12" i="69" s="1"/>
  <c r="L13" i="69"/>
  <c r="E13" i="69"/>
  <c r="F13" i="69" s="1"/>
  <c r="D25" i="56"/>
  <c r="D12" i="57"/>
  <c r="H11" i="57" s="1" a="1"/>
  <c r="H11" i="57" s="1"/>
  <c r="I11" i="57" s="1"/>
  <c r="D12" i="55"/>
  <c r="H11" i="55" s="1" a="1"/>
  <c r="H11" i="55" s="1"/>
  <c r="I11" i="55" s="1"/>
  <c r="L24" i="51"/>
  <c r="H25" i="51" a="1"/>
  <c r="H25" i="51" s="1"/>
  <c r="I25" i="51" s="1"/>
  <c r="J25" i="51" a="1"/>
  <c r="J25" i="51" s="1"/>
  <c r="K25" i="51" s="1"/>
  <c r="G25" i="52"/>
  <c r="D12" i="73" a="1"/>
  <c r="L13" i="77" a="1"/>
  <c r="L25" i="72" a="1"/>
  <c r="D12" i="69" a="1"/>
  <c r="D11" i="75" a="1"/>
  <c r="L12" i="55" a="1"/>
  <c r="L25" i="56" a="1"/>
  <c r="D25" i="70" a="1"/>
  <c r="D25" i="52" a="1"/>
  <c r="L12" i="57" a="1"/>
  <c r="L24" i="74" a="1"/>
  <c r="D25" i="71" a="1"/>
  <c r="E13" i="77" l="1"/>
  <c r="F13" i="77" s="1"/>
  <c r="J12" i="77" a="1"/>
  <c r="J12" i="77" s="1"/>
  <c r="K12" i="77" s="1"/>
  <c r="G12" i="77" s="1"/>
  <c r="L13" i="77"/>
  <c r="G12" i="76"/>
  <c r="D11" i="75"/>
  <c r="H10" i="75" s="1" a="1"/>
  <c r="H10" i="75" s="1"/>
  <c r="I10" i="75" s="1"/>
  <c r="H25" i="74" a="1"/>
  <c r="H25" i="74" s="1"/>
  <c r="I25" i="74" s="1"/>
  <c r="L24" i="74"/>
  <c r="J25" i="74" a="1"/>
  <c r="J25" i="74" s="1"/>
  <c r="K25" i="74" s="1"/>
  <c r="D12" i="73"/>
  <c r="E12" i="73" s="1"/>
  <c r="F12" i="73" s="1"/>
  <c r="L25" i="72"/>
  <c r="E25" i="72"/>
  <c r="F25" i="72" s="1"/>
  <c r="H26" i="72" a="1"/>
  <c r="H26" i="72" s="1"/>
  <c r="I26" i="72" s="1"/>
  <c r="G26" i="72" s="1"/>
  <c r="D25" i="71"/>
  <c r="D25" i="70"/>
  <c r="H26" i="70" s="1" a="1"/>
  <c r="H26" i="70" s="1"/>
  <c r="I26" i="70" s="1"/>
  <c r="D12" i="69"/>
  <c r="J11" i="69" s="1" a="1"/>
  <c r="J11" i="69" s="1"/>
  <c r="K11" i="69" s="1"/>
  <c r="L25" i="56"/>
  <c r="E25" i="56"/>
  <c r="F25" i="56" s="1"/>
  <c r="J26" i="56" a="1"/>
  <c r="J26" i="56" s="1"/>
  <c r="K26" i="56" s="1"/>
  <c r="H26" i="56" a="1"/>
  <c r="H26" i="56" s="1"/>
  <c r="I26" i="56" s="1"/>
  <c r="J11" i="57" a="1"/>
  <c r="J11" i="57" s="1"/>
  <c r="K11" i="57" s="1"/>
  <c r="G11" i="57" s="1"/>
  <c r="L12" i="57"/>
  <c r="E12" i="57"/>
  <c r="F12" i="57" s="1"/>
  <c r="J11" i="55" a="1"/>
  <c r="J11" i="55" s="1"/>
  <c r="K11" i="55" s="1"/>
  <c r="G11" i="55" s="1"/>
  <c r="E12" i="55"/>
  <c r="F12" i="55" s="1"/>
  <c r="L12" i="55"/>
  <c r="G25" i="51"/>
  <c r="D25" i="52"/>
  <c r="E25" i="52" s="1"/>
  <c r="F25" i="52" s="1"/>
  <c r="L25" i="71" a="1"/>
  <c r="O6" i="41" a="1"/>
  <c r="L12" i="69" a="1"/>
  <c r="D12" i="76" a="1"/>
  <c r="L12" i="73" a="1"/>
  <c r="L11" i="75" a="1"/>
  <c r="L25" i="70" a="1"/>
  <c r="D11" i="57" a="1"/>
  <c r="L25" i="52" a="1"/>
  <c r="D26" i="72" a="1"/>
  <c r="D12" i="77" a="1"/>
  <c r="D25" i="51" a="1"/>
  <c r="D11" i="55" a="1"/>
  <c r="D12" i="77" l="1"/>
  <c r="E12" i="77" s="1"/>
  <c r="F12" i="77" s="1"/>
  <c r="D12" i="76"/>
  <c r="J10" i="75" a="1"/>
  <c r="J10" i="75" s="1"/>
  <c r="K10" i="75" s="1"/>
  <c r="G10" i="75" s="1"/>
  <c r="L11" i="75"/>
  <c r="E11" i="75"/>
  <c r="F11" i="75" s="1"/>
  <c r="G25" i="74"/>
  <c r="H11" i="73" a="1"/>
  <c r="H11" i="73" s="1"/>
  <c r="I11" i="73" s="1"/>
  <c r="L12" i="73"/>
  <c r="J11" i="73" a="1"/>
  <c r="J11" i="73" s="1"/>
  <c r="K11" i="73" s="1"/>
  <c r="D26" i="72"/>
  <c r="E26" i="72" s="1"/>
  <c r="F26" i="72" s="1"/>
  <c r="L25" i="71"/>
  <c r="H26" i="71" a="1"/>
  <c r="H26" i="71" s="1"/>
  <c r="I26" i="71" s="1"/>
  <c r="J26" i="71" a="1"/>
  <c r="J26" i="71" s="1"/>
  <c r="K26" i="71" s="1"/>
  <c r="E25" i="71"/>
  <c r="F25" i="71" s="1"/>
  <c r="J26" i="70" a="1"/>
  <c r="J26" i="70" s="1"/>
  <c r="K26" i="70" s="1"/>
  <c r="G26" i="70" s="1"/>
  <c r="L25" i="70"/>
  <c r="E25" i="70"/>
  <c r="F25" i="70" s="1"/>
  <c r="H11" i="69" a="1"/>
  <c r="H11" i="69" s="1"/>
  <c r="I11" i="69" s="1"/>
  <c r="G11" i="69" s="1"/>
  <c r="E12" i="69"/>
  <c r="F12" i="69" s="1"/>
  <c r="L12" i="69"/>
  <c r="G26" i="56"/>
  <c r="D11" i="57"/>
  <c r="D11" i="55"/>
  <c r="E11" i="55" s="1"/>
  <c r="F11" i="55" s="1"/>
  <c r="H26" i="52" a="1"/>
  <c r="H26" i="52" s="1"/>
  <c r="I26" i="52" s="1"/>
  <c r="J26" i="52" a="1"/>
  <c r="J26" i="52" s="1"/>
  <c r="K26" i="52" s="1"/>
  <c r="D25" i="51"/>
  <c r="L25" i="52"/>
  <c r="O6" i="41"/>
  <c r="C4" i="46"/>
  <c r="C5" i="46"/>
  <c r="C6" i="46"/>
  <c r="C7" i="46"/>
  <c r="C8" i="46"/>
  <c r="C9" i="46"/>
  <c r="C10" i="46"/>
  <c r="C11" i="46"/>
  <c r="C12" i="46"/>
  <c r="C13" i="46"/>
  <c r="C14" i="46"/>
  <c r="C15" i="46"/>
  <c r="C16" i="46"/>
  <c r="C17" i="46"/>
  <c r="O12" i="46" s="1"/>
  <c r="C18" i="46"/>
  <c r="C19" i="46"/>
  <c r="C20" i="46"/>
  <c r="C21" i="46"/>
  <c r="C22" i="46"/>
  <c r="C23" i="46"/>
  <c r="C24" i="46"/>
  <c r="C25" i="46"/>
  <c r="C26" i="46"/>
  <c r="C27" i="46"/>
  <c r="C28" i="46"/>
  <c r="C29" i="46"/>
  <c r="C30" i="46"/>
  <c r="C31" i="46"/>
  <c r="O13" i="46" s="1"/>
  <c r="C32" i="46"/>
  <c r="C33" i="46"/>
  <c r="C34" i="46"/>
  <c r="C3" i="46"/>
  <c r="O11" i="46" s="1"/>
  <c r="C4" i="45"/>
  <c r="C5" i="45"/>
  <c r="C6" i="45"/>
  <c r="C7" i="45"/>
  <c r="C8" i="45"/>
  <c r="C9" i="45"/>
  <c r="C10" i="45"/>
  <c r="C11" i="45"/>
  <c r="C12" i="45"/>
  <c r="C13" i="45"/>
  <c r="C14" i="45"/>
  <c r="C15" i="45"/>
  <c r="C16" i="45"/>
  <c r="C17" i="45"/>
  <c r="O12" i="45" s="1"/>
  <c r="C18" i="45"/>
  <c r="C19" i="45"/>
  <c r="C20" i="45"/>
  <c r="C21" i="45"/>
  <c r="C22" i="45"/>
  <c r="C23" i="45"/>
  <c r="C24" i="45"/>
  <c r="C25" i="45"/>
  <c r="C26" i="45"/>
  <c r="C27" i="45"/>
  <c r="C28" i="45"/>
  <c r="C29" i="45"/>
  <c r="C30" i="45"/>
  <c r="C31" i="45"/>
  <c r="O13" i="45" s="1"/>
  <c r="C32" i="45"/>
  <c r="C33" i="45"/>
  <c r="C34" i="45"/>
  <c r="C3" i="45"/>
  <c r="O11" i="45" s="1"/>
  <c r="L11" i="57" a="1"/>
  <c r="D25" i="74" a="1"/>
  <c r="P6" i="41" a="1"/>
  <c r="D26" i="70" a="1"/>
  <c r="L12" i="76" a="1"/>
  <c r="L25" i="51" a="1"/>
  <c r="L26" i="72" a="1"/>
  <c r="D10" i="75" a="1"/>
  <c r="L12" i="77" a="1"/>
  <c r="D11" i="69" a="1"/>
  <c r="L11" i="55" a="1"/>
  <c r="D26" i="56" a="1"/>
  <c r="J11" i="77" l="1" a="1"/>
  <c r="J11" i="77" s="1"/>
  <c r="K11" i="77" s="1"/>
  <c r="H11" i="77" a="1"/>
  <c r="H11" i="77" s="1"/>
  <c r="I11" i="77" s="1"/>
  <c r="L12" i="77"/>
  <c r="L12" i="76"/>
  <c r="J11" i="76" a="1"/>
  <c r="J11" i="76" s="1"/>
  <c r="K11" i="76" s="1"/>
  <c r="H11" i="76" a="1"/>
  <c r="H11" i="76" s="1"/>
  <c r="I11" i="76" s="1"/>
  <c r="E12" i="76"/>
  <c r="F12" i="76" s="1"/>
  <c r="D25" i="74"/>
  <c r="D10" i="75"/>
  <c r="H9" i="75" s="1" a="1"/>
  <c r="H9" i="75" s="1"/>
  <c r="I9" i="75" s="1"/>
  <c r="G11" i="73"/>
  <c r="H27" i="72" a="1"/>
  <c r="H27" i="72" s="1"/>
  <c r="I27" i="72" s="1"/>
  <c r="J27" i="72" a="1"/>
  <c r="J27" i="72" s="1"/>
  <c r="K27" i="72" s="1"/>
  <c r="L26" i="72"/>
  <c r="G26" i="71"/>
  <c r="D26" i="70"/>
  <c r="E26" i="70" s="1"/>
  <c r="F26" i="70" s="1"/>
  <c r="D26" i="56"/>
  <c r="E26" i="56" s="1"/>
  <c r="F26" i="56" s="1"/>
  <c r="D11" i="69"/>
  <c r="H10" i="69" s="1" a="1"/>
  <c r="H10" i="69" s="1"/>
  <c r="I10" i="69" s="1"/>
  <c r="L11" i="57"/>
  <c r="E11" i="57"/>
  <c r="F11" i="57" s="1"/>
  <c r="J10" i="57" a="1"/>
  <c r="J10" i="57" s="1"/>
  <c r="K10" i="57" s="1"/>
  <c r="H10" i="57" a="1"/>
  <c r="H10" i="57" s="1"/>
  <c r="I10" i="57" s="1"/>
  <c r="O10" i="45"/>
  <c r="O9" i="45"/>
  <c r="O9" i="46"/>
  <c r="O10" i="46"/>
  <c r="H10" i="55" a="1"/>
  <c r="H10" i="55" s="1"/>
  <c r="I10" i="55" s="1"/>
  <c r="J10" i="55" a="1"/>
  <c r="J10" i="55" s="1"/>
  <c r="K10" i="55" s="1"/>
  <c r="L11" i="55"/>
  <c r="G26" i="52"/>
  <c r="L25" i="51"/>
  <c r="E25" i="51"/>
  <c r="F25" i="51" s="1"/>
  <c r="J26" i="51" a="1"/>
  <c r="J26" i="51" s="1"/>
  <c r="K26" i="51" s="1"/>
  <c r="H26" i="51" a="1"/>
  <c r="H26" i="51" s="1"/>
  <c r="I26" i="51" s="1"/>
  <c r="H34" i="45" a="1"/>
  <c r="H34" i="45" s="1"/>
  <c r="I34" i="45" s="1"/>
  <c r="J34" i="45" a="1"/>
  <c r="J34" i="45" s="1"/>
  <c r="K34" i="45" s="1"/>
  <c r="J34" i="46" a="1"/>
  <c r="J34" i="46" s="1"/>
  <c r="K34" i="46" s="1"/>
  <c r="H34" i="46" a="1"/>
  <c r="H34" i="46" s="1"/>
  <c r="I34" i="46" s="1"/>
  <c r="J34" i="42" a="1"/>
  <c r="J34" i="42" s="1"/>
  <c r="K34" i="42" s="1"/>
  <c r="H34" i="42" a="1"/>
  <c r="H34" i="42" s="1"/>
  <c r="I34" i="42" s="1"/>
  <c r="H34" i="49" a="1"/>
  <c r="H34" i="49" s="1"/>
  <c r="I34" i="49" s="1"/>
  <c r="J34" i="49" a="1"/>
  <c r="J34" i="49" s="1"/>
  <c r="K34" i="49" s="1"/>
  <c r="H3" i="50" a="1"/>
  <c r="H3" i="50" s="1"/>
  <c r="I3" i="50" s="1"/>
  <c r="J3" i="50" a="1"/>
  <c r="J3" i="50" s="1"/>
  <c r="K3" i="50" s="1"/>
  <c r="P6" i="41"/>
  <c r="P40" i="41" s="1"/>
  <c r="P41" i="41" s="1"/>
  <c r="L25" i="74" a="1"/>
  <c r="L10" i="75" a="1"/>
  <c r="L26" i="56" a="1"/>
  <c r="K3" i="41" a="1"/>
  <c r="D26" i="71" a="1"/>
  <c r="L26" i="70" a="1"/>
  <c r="L11" i="69" a="1"/>
  <c r="D26" i="52" a="1"/>
  <c r="D11" i="73" a="1"/>
  <c r="G11" i="77" l="1"/>
  <c r="G11" i="76"/>
  <c r="L25" i="74"/>
  <c r="E25" i="74"/>
  <c r="F25" i="74" s="1"/>
  <c r="J26" i="74" a="1"/>
  <c r="J26" i="74" s="1"/>
  <c r="K26" i="74" s="1"/>
  <c r="H26" i="74" a="1"/>
  <c r="H26" i="74" s="1"/>
  <c r="I26" i="74" s="1"/>
  <c r="J9" i="75" a="1"/>
  <c r="J9" i="75" s="1"/>
  <c r="K9" i="75" s="1"/>
  <c r="G9" i="75" s="1"/>
  <c r="L10" i="75"/>
  <c r="E10" i="75"/>
  <c r="F10" i="75" s="1"/>
  <c r="D11" i="73"/>
  <c r="J10" i="73" s="1" a="1"/>
  <c r="J10" i="73" s="1"/>
  <c r="K10" i="73" s="1"/>
  <c r="G27" i="72"/>
  <c r="P43" i="41"/>
  <c r="P45" i="41"/>
  <c r="D26" i="71"/>
  <c r="H27" i="70" a="1"/>
  <c r="H27" i="70" s="1"/>
  <c r="I27" i="70" s="1"/>
  <c r="J27" i="70" a="1"/>
  <c r="J27" i="70" s="1"/>
  <c r="K27" i="70" s="1"/>
  <c r="L26" i="70"/>
  <c r="H27" i="56" a="1"/>
  <c r="H27" i="56" s="1"/>
  <c r="I27" i="56" s="1"/>
  <c r="J27" i="56" a="1"/>
  <c r="J27" i="56" s="1"/>
  <c r="K27" i="56" s="1"/>
  <c r="O8" i="46"/>
  <c r="O7" i="46" s="1"/>
  <c r="O6" i="46" s="1"/>
  <c r="J10" i="69" a="1"/>
  <c r="J10" i="69" s="1"/>
  <c r="K10" i="69" s="1"/>
  <c r="G10" i="69" s="1"/>
  <c r="L26" i="56"/>
  <c r="E11" i="69"/>
  <c r="F11" i="69" s="1"/>
  <c r="L11" i="69"/>
  <c r="K3" i="41"/>
  <c r="G10" i="57"/>
  <c r="G10" i="55"/>
  <c r="O8" i="45"/>
  <c r="O7" i="45" s="1"/>
  <c r="O6" i="45" s="1"/>
  <c r="D26" i="52"/>
  <c r="E26" i="52" s="1"/>
  <c r="F26" i="52" s="1"/>
  <c r="G26" i="51"/>
  <c r="G34" i="45"/>
  <c r="O2" i="45" s="1"/>
  <c r="G34" i="46"/>
  <c r="O2" i="46" s="1"/>
  <c r="G34" i="49"/>
  <c r="O2" i="49" s="1"/>
  <c r="G34" i="42"/>
  <c r="O2" i="42" s="1"/>
  <c r="G3" i="50"/>
  <c r="O2" i="50" s="1"/>
  <c r="D11" i="76" a="1"/>
  <c r="L26" i="52" a="1"/>
  <c r="D11" i="77" a="1"/>
  <c r="D10" i="57" a="1"/>
  <c r="D10" i="55" a="1"/>
  <c r="D34" i="49" a="1"/>
  <c r="D26" i="51" a="1"/>
  <c r="D10" i="69" a="1"/>
  <c r="G36" i="41" a="1"/>
  <c r="L26" i="71" a="1"/>
  <c r="D34" i="45" a="1"/>
  <c r="E1" i="41" a="1"/>
  <c r="D34" i="46" a="1"/>
  <c r="L11" i="73" a="1"/>
  <c r="D9" i="75" a="1"/>
  <c r="D27" i="72" a="1"/>
  <c r="D11" i="77" l="1"/>
  <c r="E11" i="77" s="1"/>
  <c r="F11" i="77" s="1"/>
  <c r="D11" i="76"/>
  <c r="H10" i="76" s="1" a="1"/>
  <c r="H10" i="76" s="1"/>
  <c r="I10" i="76" s="1"/>
  <c r="G26" i="74"/>
  <c r="D9" i="75"/>
  <c r="J8" i="75" s="1" a="1"/>
  <c r="J8" i="75" s="1"/>
  <c r="K8" i="75" s="1"/>
  <c r="E11" i="73"/>
  <c r="F11" i="73" s="1"/>
  <c r="L11" i="73"/>
  <c r="H10" i="73" a="1"/>
  <c r="H10" i="73" s="1"/>
  <c r="I10" i="73" s="1"/>
  <c r="G10" i="73" s="1"/>
  <c r="D27" i="72"/>
  <c r="J28" i="72" s="1" a="1"/>
  <c r="J28" i="72" s="1"/>
  <c r="K28" i="72" s="1"/>
  <c r="L26" i="71"/>
  <c r="H27" i="71" a="1"/>
  <c r="H27" i="71" s="1"/>
  <c r="I27" i="71" s="1"/>
  <c r="J27" i="71" a="1"/>
  <c r="J27" i="71" s="1"/>
  <c r="K27" i="71" s="1"/>
  <c r="E26" i="71"/>
  <c r="F26" i="71" s="1"/>
  <c r="G27" i="70"/>
  <c r="G27" i="56"/>
  <c r="D10" i="69"/>
  <c r="H9" i="69" s="1" a="1"/>
  <c r="H9" i="69" s="1"/>
  <c r="I9" i="69" s="1"/>
  <c r="D10" i="57"/>
  <c r="E10" i="57" s="1"/>
  <c r="F10" i="57" s="1"/>
  <c r="D10" i="55"/>
  <c r="E10" i="55" s="1"/>
  <c r="F10" i="55" s="1"/>
  <c r="H27" i="52" a="1"/>
  <c r="H27" i="52" s="1"/>
  <c r="I27" i="52" s="1"/>
  <c r="J27" i="52" a="1"/>
  <c r="J27" i="52" s="1"/>
  <c r="K27" i="52" s="1"/>
  <c r="E1" i="41"/>
  <c r="L26" i="52"/>
  <c r="D26" i="51"/>
  <c r="E26" i="51" s="1"/>
  <c r="F26" i="51" s="1"/>
  <c r="D34" i="49"/>
  <c r="D34" i="45"/>
  <c r="J33" i="45" s="1" a="1"/>
  <c r="J33" i="45" s="1"/>
  <c r="K33" i="45" s="1"/>
  <c r="D34" i="46"/>
  <c r="G36" i="41"/>
  <c r="D26" i="74" a="1"/>
  <c r="L34" i="46" a="1"/>
  <c r="L9" i="75" a="1"/>
  <c r="L34" i="45" a="1"/>
  <c r="L27" i="72" a="1"/>
  <c r="L26" i="51" a="1"/>
  <c r="D27" i="70" a="1"/>
  <c r="D27" i="56" a="1"/>
  <c r="L11" i="76" a="1"/>
  <c r="D34" i="42" a="1"/>
  <c r="L10" i="57" a="1"/>
  <c r="L10" i="69" a="1"/>
  <c r="L10" i="55" a="1"/>
  <c r="L11" i="77" a="1"/>
  <c r="L34" i="49" a="1"/>
  <c r="D10" i="73" a="1"/>
  <c r="J10" i="77" l="1" a="1"/>
  <c r="J10" i="77" s="1"/>
  <c r="K10" i="77" s="1"/>
  <c r="H10" i="77" a="1"/>
  <c r="H10" i="77" s="1"/>
  <c r="I10" i="77" s="1"/>
  <c r="L11" i="77"/>
  <c r="E11" i="76"/>
  <c r="F11" i="76" s="1"/>
  <c r="L11" i="76"/>
  <c r="J10" i="76" a="1"/>
  <c r="J10" i="76" s="1"/>
  <c r="K10" i="76" s="1"/>
  <c r="G10" i="76" s="1"/>
  <c r="D26" i="74"/>
  <c r="E26" i="74" s="1"/>
  <c r="F26" i="74" s="1"/>
  <c r="E9" i="75"/>
  <c r="F9" i="75" s="1"/>
  <c r="H8" i="75" a="1"/>
  <c r="H8" i="75" s="1"/>
  <c r="I8" i="75" s="1"/>
  <c r="G8" i="75" s="1"/>
  <c r="L9" i="75"/>
  <c r="D10" i="73"/>
  <c r="L27" i="72"/>
  <c r="E27" i="72"/>
  <c r="F27" i="72" s="1"/>
  <c r="H28" i="72" a="1"/>
  <c r="H28" i="72" s="1"/>
  <c r="I28" i="72" s="1"/>
  <c r="G28" i="72" s="1"/>
  <c r="G27" i="71"/>
  <c r="D27" i="70"/>
  <c r="J28" i="70" s="1" a="1"/>
  <c r="J28" i="70" s="1"/>
  <c r="K28" i="70" s="1"/>
  <c r="J9" i="69" a="1"/>
  <c r="J9" i="69" s="1"/>
  <c r="K9" i="69" s="1"/>
  <c r="G9" i="69" s="1"/>
  <c r="D27" i="56"/>
  <c r="E10" i="69"/>
  <c r="F10" i="69" s="1"/>
  <c r="L10" i="69"/>
  <c r="L10" i="57"/>
  <c r="J9" i="57" a="1"/>
  <c r="J9" i="57" s="1"/>
  <c r="K9" i="57" s="1"/>
  <c r="H9" i="57" a="1"/>
  <c r="H9" i="57" s="1"/>
  <c r="I9" i="57" s="1"/>
  <c r="L10" i="55"/>
  <c r="J9" i="55" a="1"/>
  <c r="J9" i="55" s="1"/>
  <c r="K9" i="55" s="1"/>
  <c r="H9" i="55" a="1"/>
  <c r="H9" i="55" s="1"/>
  <c r="I9" i="55" s="1"/>
  <c r="G27" i="52"/>
  <c r="H33" i="49" a="1"/>
  <c r="H33" i="49" s="1"/>
  <c r="I33" i="49" s="1"/>
  <c r="J33" i="49" a="1"/>
  <c r="J33" i="49" s="1"/>
  <c r="K33" i="49" s="1"/>
  <c r="L26" i="51"/>
  <c r="H27" i="51" a="1"/>
  <c r="H27" i="51" s="1"/>
  <c r="I27" i="51" s="1"/>
  <c r="J27" i="51" a="1"/>
  <c r="J27" i="51" s="1"/>
  <c r="K27" i="51" s="1"/>
  <c r="L34" i="49"/>
  <c r="E34" i="49"/>
  <c r="F34" i="49" s="1"/>
  <c r="H33" i="46" a="1"/>
  <c r="H33" i="46" s="1"/>
  <c r="I33" i="46" s="1"/>
  <c r="J33" i="46" a="1"/>
  <c r="J33" i="46" s="1"/>
  <c r="K33" i="46" s="1"/>
  <c r="E34" i="45"/>
  <c r="F34" i="45" s="1"/>
  <c r="H33" i="45" a="1"/>
  <c r="H33" i="45" s="1"/>
  <c r="I33" i="45" s="1"/>
  <c r="L34" i="45"/>
  <c r="D34" i="42"/>
  <c r="E34" i="46"/>
  <c r="F34" i="46" s="1"/>
  <c r="L34" i="46"/>
  <c r="D27" i="71" a="1"/>
  <c r="L27" i="70" a="1"/>
  <c r="L26" i="74" a="1"/>
  <c r="D10" i="76" a="1"/>
  <c r="L27" i="56" a="1"/>
  <c r="D28" i="72" a="1"/>
  <c r="L34" i="42" a="1"/>
  <c r="D27" i="52" a="1"/>
  <c r="D8" i="75" a="1"/>
  <c r="D9" i="69" a="1"/>
  <c r="L10" i="73" a="1"/>
  <c r="G10" i="77" l="1"/>
  <c r="D10" i="76"/>
  <c r="E10" i="76" s="1"/>
  <c r="F10" i="76" s="1"/>
  <c r="L26" i="74"/>
  <c r="H27" i="74" a="1"/>
  <c r="H27" i="74" s="1"/>
  <c r="I27" i="74" s="1"/>
  <c r="J27" i="74" a="1"/>
  <c r="J27" i="74" s="1"/>
  <c r="K27" i="74" s="1"/>
  <c r="D8" i="75"/>
  <c r="J7" i="75" s="1" a="1"/>
  <c r="J7" i="75" s="1"/>
  <c r="K7" i="75" s="1"/>
  <c r="L10" i="73"/>
  <c r="E10" i="73"/>
  <c r="F10" i="73" s="1"/>
  <c r="J9" i="73" a="1"/>
  <c r="J9" i="73" s="1"/>
  <c r="K9" i="73" s="1"/>
  <c r="H9" i="73" a="1"/>
  <c r="H9" i="73" s="1"/>
  <c r="I9" i="73" s="1"/>
  <c r="D28" i="72"/>
  <c r="J29" i="72" s="1" a="1"/>
  <c r="J29" i="72" s="1"/>
  <c r="K29" i="72" s="1"/>
  <c r="H28" i="70" a="1"/>
  <c r="H28" i="70" s="1"/>
  <c r="I28" i="70" s="1"/>
  <c r="G28" i="70" s="1"/>
  <c r="D27" i="71"/>
  <c r="L27" i="70"/>
  <c r="E27" i="70"/>
  <c r="F27" i="70" s="1"/>
  <c r="L27" i="56"/>
  <c r="H28" i="56" a="1"/>
  <c r="H28" i="56" s="1"/>
  <c r="I28" i="56" s="1"/>
  <c r="J28" i="56" a="1"/>
  <c r="J28" i="56" s="1"/>
  <c r="K28" i="56" s="1"/>
  <c r="E27" i="56"/>
  <c r="F27" i="56" s="1"/>
  <c r="D9" i="69"/>
  <c r="H8" i="69" s="1" a="1"/>
  <c r="H8" i="69" s="1"/>
  <c r="I8" i="69" s="1"/>
  <c r="G9" i="57"/>
  <c r="G9" i="55"/>
  <c r="D27" i="52"/>
  <c r="E27" i="52" s="1"/>
  <c r="F27" i="52" s="1"/>
  <c r="G33" i="49"/>
  <c r="G27" i="51"/>
  <c r="H33" i="42" a="1"/>
  <c r="H33" i="42" s="1"/>
  <c r="I33" i="42" s="1"/>
  <c r="J33" i="42" a="1"/>
  <c r="J33" i="42" s="1"/>
  <c r="K33" i="42" s="1"/>
  <c r="G33" i="46"/>
  <c r="G33" i="45"/>
  <c r="H32" i="49" a="1"/>
  <c r="H32" i="49" s="1"/>
  <c r="I32" i="49" s="1"/>
  <c r="J32" i="49" a="1"/>
  <c r="J32" i="49" s="1"/>
  <c r="K32" i="49" s="1"/>
  <c r="L34" i="42"/>
  <c r="E34" i="42"/>
  <c r="F34" i="42" s="1"/>
  <c r="L8" i="75" a="1"/>
  <c r="D10" i="77" a="1"/>
  <c r="D27" i="51" a="1"/>
  <c r="L27" i="71" a="1"/>
  <c r="L27" i="52" a="1"/>
  <c r="L10" i="76" a="1"/>
  <c r="D28" i="70" a="1"/>
  <c r="D33" i="46" a="1"/>
  <c r="L28" i="72" a="1"/>
  <c r="D9" i="57" a="1"/>
  <c r="D9" i="55" a="1"/>
  <c r="L9" i="69" a="1"/>
  <c r="D33" i="45" a="1"/>
  <c r="D33" i="49" a="1"/>
  <c r="D10" i="77" l="1"/>
  <c r="E10" i="77" s="1"/>
  <c r="F10" i="77" s="1"/>
  <c r="J9" i="76" a="1"/>
  <c r="J9" i="76" s="1"/>
  <c r="K9" i="76" s="1"/>
  <c r="H9" i="76" a="1"/>
  <c r="H9" i="76" s="1"/>
  <c r="I9" i="76" s="1"/>
  <c r="L10" i="76"/>
  <c r="G27" i="74"/>
  <c r="E8" i="75"/>
  <c r="F8" i="75" s="1"/>
  <c r="L8" i="75"/>
  <c r="H7" i="75" a="1"/>
  <c r="H7" i="75" s="1"/>
  <c r="I7" i="75" s="1"/>
  <c r="G7" i="75" s="1"/>
  <c r="G9" i="73"/>
  <c r="E28" i="72"/>
  <c r="F28" i="72" s="1"/>
  <c r="L28" i="72"/>
  <c r="H29" i="72" a="1"/>
  <c r="H29" i="72" s="1"/>
  <c r="I29" i="72" s="1"/>
  <c r="G29" i="72" s="1"/>
  <c r="L27" i="71"/>
  <c r="H28" i="71" a="1"/>
  <c r="H28" i="71" s="1"/>
  <c r="I28" i="71" s="1"/>
  <c r="J28" i="71" a="1"/>
  <c r="J28" i="71" s="1"/>
  <c r="K28" i="71" s="1"/>
  <c r="E27" i="71"/>
  <c r="F27" i="71" s="1"/>
  <c r="D28" i="70"/>
  <c r="E28" i="70" s="1"/>
  <c r="F28" i="70" s="1"/>
  <c r="G28" i="56"/>
  <c r="L9" i="69"/>
  <c r="J8" i="69" a="1"/>
  <c r="J8" i="69" s="1"/>
  <c r="K8" i="69" s="1"/>
  <c r="G8" i="69" s="1"/>
  <c r="E9" i="69"/>
  <c r="F9" i="69" s="1"/>
  <c r="D9" i="57"/>
  <c r="J8" i="57" s="1" a="1"/>
  <c r="J8" i="57" s="1"/>
  <c r="K8" i="57" s="1"/>
  <c r="D9" i="55"/>
  <c r="H28" i="52" a="1"/>
  <c r="H28" i="52" s="1"/>
  <c r="I28" i="52" s="1"/>
  <c r="J28" i="52" a="1"/>
  <c r="J28" i="52" s="1"/>
  <c r="K28" i="52" s="1"/>
  <c r="L27" i="52"/>
  <c r="D33" i="49"/>
  <c r="D27" i="51"/>
  <c r="G33" i="42"/>
  <c r="G32" i="49"/>
  <c r="D33" i="45"/>
  <c r="J32" i="45" s="1" a="1"/>
  <c r="J32" i="45" s="1"/>
  <c r="K32" i="45" s="1"/>
  <c r="D33" i="46"/>
  <c r="D33" i="42" a="1"/>
  <c r="L33" i="45" a="1"/>
  <c r="D32" i="49" a="1"/>
  <c r="D7" i="75" a="1"/>
  <c r="D29" i="72" a="1"/>
  <c r="D9" i="73" a="1"/>
  <c r="L33" i="49" a="1"/>
  <c r="L9" i="55" a="1"/>
  <c r="D8" i="69" a="1"/>
  <c r="L9" i="57" a="1"/>
  <c r="C36" i="41" a="1"/>
  <c r="D28" i="56" a="1"/>
  <c r="L27" i="51" a="1"/>
  <c r="L28" i="70" a="1"/>
  <c r="L33" i="46" a="1"/>
  <c r="D27" i="74" a="1"/>
  <c r="L10" i="77" a="1"/>
  <c r="J9" i="77" l="1" a="1"/>
  <c r="J9" i="77" s="1"/>
  <c r="K9" i="77" s="1"/>
  <c r="H9" i="77" a="1"/>
  <c r="H9" i="77" s="1"/>
  <c r="I9" i="77" s="1"/>
  <c r="L10" i="77"/>
  <c r="G9" i="76"/>
  <c r="D27" i="74"/>
  <c r="D7" i="75"/>
  <c r="E7" i="75" s="1"/>
  <c r="F7" i="75" s="1"/>
  <c r="D9" i="73"/>
  <c r="D29" i="72"/>
  <c r="H30" i="72" s="1" a="1"/>
  <c r="H30" i="72" s="1"/>
  <c r="I30" i="72" s="1"/>
  <c r="G28" i="71"/>
  <c r="J29" i="70" a="1"/>
  <c r="J29" i="70" s="1"/>
  <c r="K29" i="70" s="1"/>
  <c r="H29" i="70" a="1"/>
  <c r="H29" i="70" s="1"/>
  <c r="I29" i="70" s="1"/>
  <c r="L28" i="70"/>
  <c r="D28" i="56"/>
  <c r="J29" i="56" s="1" a="1"/>
  <c r="J29" i="56" s="1"/>
  <c r="K29" i="56" s="1"/>
  <c r="D8" i="69"/>
  <c r="H8" i="57" a="1"/>
  <c r="H8" i="57" s="1"/>
  <c r="I8" i="57" s="1"/>
  <c r="G8" i="57" s="1"/>
  <c r="E9" i="57"/>
  <c r="F9" i="57" s="1"/>
  <c r="L9" i="57"/>
  <c r="L9" i="55"/>
  <c r="E9" i="55"/>
  <c r="F9" i="55" s="1"/>
  <c r="H8" i="55" a="1"/>
  <c r="H8" i="55" s="1"/>
  <c r="I8" i="55" s="1"/>
  <c r="J8" i="55" a="1"/>
  <c r="J8" i="55" s="1"/>
  <c r="K8" i="55" s="1"/>
  <c r="G28" i="52"/>
  <c r="L33" i="49"/>
  <c r="E33" i="49"/>
  <c r="F33" i="49" s="1"/>
  <c r="L27" i="51"/>
  <c r="E27" i="51"/>
  <c r="F27" i="51" s="1"/>
  <c r="H28" i="51" a="1"/>
  <c r="H28" i="51" s="1"/>
  <c r="I28" i="51" s="1"/>
  <c r="J28" i="51" a="1"/>
  <c r="J28" i="51" s="1"/>
  <c r="K28" i="51" s="1"/>
  <c r="H32" i="46" a="1"/>
  <c r="H32" i="46" s="1"/>
  <c r="I32" i="46" s="1"/>
  <c r="J32" i="46" a="1"/>
  <c r="J32" i="46" s="1"/>
  <c r="K32" i="46" s="1"/>
  <c r="H32" i="45" a="1"/>
  <c r="H32" i="45" s="1"/>
  <c r="E33" i="45"/>
  <c r="F33" i="45" s="1"/>
  <c r="D32" i="49"/>
  <c r="J31" i="49" s="1" a="1"/>
  <c r="J31" i="49" s="1"/>
  <c r="K31" i="49" s="1"/>
  <c r="L33" i="45"/>
  <c r="E33" i="46"/>
  <c r="F33" i="46" s="1"/>
  <c r="L33" i="46"/>
  <c r="D33" i="42"/>
  <c r="C36" i="41"/>
  <c r="L27" i="74" a="1"/>
  <c r="D28" i="52" a="1"/>
  <c r="L28" i="56" a="1"/>
  <c r="L33" i="42" a="1"/>
  <c r="D28" i="71" a="1"/>
  <c r="L29" i="72" a="1"/>
  <c r="D8" i="57" a="1"/>
  <c r="L9" i="73" a="1"/>
  <c r="L8" i="69" a="1"/>
  <c r="L32" i="49" a="1"/>
  <c r="L7" i="75" a="1"/>
  <c r="D9" i="76" a="1"/>
  <c r="G9" i="77" l="1"/>
  <c r="D9" i="76"/>
  <c r="J8" i="76" s="1" a="1"/>
  <c r="J8" i="76" s="1"/>
  <c r="K8" i="76" s="1"/>
  <c r="H6" i="75" a="1"/>
  <c r="H6" i="75" s="1"/>
  <c r="I6" i="75" s="1"/>
  <c r="J6" i="75" a="1"/>
  <c r="J6" i="75" s="1"/>
  <c r="K6" i="75" s="1"/>
  <c r="L27" i="74"/>
  <c r="H28" i="74" a="1"/>
  <c r="H28" i="74" s="1"/>
  <c r="I28" i="74" s="1"/>
  <c r="J28" i="74" a="1"/>
  <c r="J28" i="74" s="1"/>
  <c r="K28" i="74" s="1"/>
  <c r="E27" i="74"/>
  <c r="F27" i="74" s="1"/>
  <c r="L7" i="75"/>
  <c r="L9" i="73"/>
  <c r="H8" i="73" a="1"/>
  <c r="H8" i="73" s="1"/>
  <c r="I8" i="73" s="1"/>
  <c r="J8" i="73" a="1"/>
  <c r="J8" i="73" s="1"/>
  <c r="K8" i="73" s="1"/>
  <c r="E9" i="73"/>
  <c r="F9" i="73" s="1"/>
  <c r="L29" i="72"/>
  <c r="J30" i="72" a="1"/>
  <c r="J30" i="72" s="1"/>
  <c r="K30" i="72" s="1"/>
  <c r="G30" i="72" s="1"/>
  <c r="E29" i="72"/>
  <c r="F29" i="72" s="1"/>
  <c r="D28" i="71"/>
  <c r="G29" i="70"/>
  <c r="L28" i="56"/>
  <c r="H29" i="56" a="1"/>
  <c r="H29" i="56" s="1"/>
  <c r="I29" i="56" s="1"/>
  <c r="G29" i="56" s="1"/>
  <c r="E28" i="56"/>
  <c r="F28" i="56" s="1"/>
  <c r="L8" i="69"/>
  <c r="H7" i="69" a="1"/>
  <c r="H7" i="69" s="1"/>
  <c r="I7" i="69" s="1"/>
  <c r="E8" i="69"/>
  <c r="F8" i="69" s="1"/>
  <c r="J7" i="69" a="1"/>
  <c r="J7" i="69" s="1"/>
  <c r="K7" i="69" s="1"/>
  <c r="D8" i="57"/>
  <c r="J7" i="57" s="1" a="1"/>
  <c r="J7" i="57" s="1"/>
  <c r="K7" i="57" s="1"/>
  <c r="G8" i="55"/>
  <c r="D28" i="52"/>
  <c r="E28" i="52" s="1"/>
  <c r="F28" i="52" s="1"/>
  <c r="G28" i="51"/>
  <c r="H32" i="42" a="1"/>
  <c r="H32" i="42" s="1"/>
  <c r="I32" i="42" s="1"/>
  <c r="J32" i="42" a="1"/>
  <c r="J32" i="42" s="1"/>
  <c r="K32" i="42" s="1"/>
  <c r="I32" i="45"/>
  <c r="G32" i="45" s="1"/>
  <c r="G32" i="46"/>
  <c r="H31" i="49" a="1"/>
  <c r="H31" i="49" s="1"/>
  <c r="L32" i="49"/>
  <c r="E32" i="49"/>
  <c r="F32" i="49" s="1"/>
  <c r="E33" i="42"/>
  <c r="F33" i="42" s="1"/>
  <c r="L33" i="42"/>
  <c r="D32" i="45" a="1"/>
  <c r="L9" i="76" a="1"/>
  <c r="D9" i="77" a="1"/>
  <c r="D30" i="72" a="1"/>
  <c r="L8" i="57" a="1"/>
  <c r="L28" i="52" a="1"/>
  <c r="D29" i="70" a="1"/>
  <c r="L28" i="71" a="1"/>
  <c r="D8" i="55" a="1"/>
  <c r="D28" i="51" a="1"/>
  <c r="D32" i="46" a="1"/>
  <c r="D29" i="56" a="1"/>
  <c r="D9" i="77" l="1"/>
  <c r="J8" i="77" s="1" a="1"/>
  <c r="J8" i="77" s="1"/>
  <c r="K8" i="77" s="1"/>
  <c r="H8" i="76" a="1"/>
  <c r="H8" i="76" s="1"/>
  <c r="I8" i="76" s="1"/>
  <c r="G8" i="76" s="1"/>
  <c r="E9" i="76"/>
  <c r="F9" i="76" s="1"/>
  <c r="L9" i="76"/>
  <c r="G6" i="75"/>
  <c r="G28" i="74"/>
  <c r="G8" i="73"/>
  <c r="D30" i="72"/>
  <c r="H31" i="72" s="1" a="1"/>
  <c r="H31" i="72" s="1"/>
  <c r="I31" i="72" s="1"/>
  <c r="L28" i="71"/>
  <c r="H29" i="71" a="1"/>
  <c r="H29" i="71" s="1"/>
  <c r="I29" i="71" s="1"/>
  <c r="E28" i="71"/>
  <c r="F28" i="71" s="1"/>
  <c r="J29" i="71" a="1"/>
  <c r="J29" i="71" s="1"/>
  <c r="K29" i="71" s="1"/>
  <c r="D29" i="70"/>
  <c r="J30" i="70" s="1" a="1"/>
  <c r="J30" i="70" s="1"/>
  <c r="K30" i="70" s="1"/>
  <c r="D29" i="56"/>
  <c r="E29" i="56" s="1"/>
  <c r="F29" i="56" s="1"/>
  <c r="G7" i="69"/>
  <c r="E8" i="57"/>
  <c r="F8" i="57" s="1"/>
  <c r="L8" i="57"/>
  <c r="H7" i="57" a="1"/>
  <c r="H7" i="57" s="1"/>
  <c r="I7" i="57" s="1"/>
  <c r="G7" i="57" s="1"/>
  <c r="D8" i="55"/>
  <c r="J29" i="52" a="1"/>
  <c r="J29" i="52" s="1"/>
  <c r="K29" i="52" s="1"/>
  <c r="H29" i="52" a="1"/>
  <c r="H29" i="52" s="1"/>
  <c r="I29" i="52" s="1"/>
  <c r="L28" i="52"/>
  <c r="D28" i="51"/>
  <c r="H29" i="51" s="1" a="1"/>
  <c r="H29" i="51" s="1"/>
  <c r="I29" i="51" s="1"/>
  <c r="D32" i="45"/>
  <c r="G32" i="42"/>
  <c r="I31" i="49"/>
  <c r="G31" i="49" s="1"/>
  <c r="D32" i="46"/>
  <c r="L8" i="55" a="1"/>
  <c r="D32" i="42" a="1"/>
  <c r="D6" i="75" a="1"/>
  <c r="D7" i="57" a="1"/>
  <c r="G34" i="41" a="1"/>
  <c r="D28" i="74" a="1"/>
  <c r="D8" i="76" a="1"/>
  <c r="D8" i="73" a="1"/>
  <c r="L28" i="51" a="1"/>
  <c r="L32" i="45" a="1"/>
  <c r="L30" i="72" a="1"/>
  <c r="L9" i="77" a="1"/>
  <c r="D7" i="69" a="1"/>
  <c r="L29" i="56" a="1"/>
  <c r="L32" i="46" a="1"/>
  <c r="L29" i="70" a="1"/>
  <c r="D31" i="49" a="1"/>
  <c r="H8" i="77" l="1" a="1"/>
  <c r="H8" i="77" s="1"/>
  <c r="I8" i="77" s="1"/>
  <c r="G8" i="77" s="1"/>
  <c r="L9" i="77"/>
  <c r="E9" i="77"/>
  <c r="F9" i="77" s="1"/>
  <c r="D8" i="76"/>
  <c r="E8" i="76" s="1"/>
  <c r="F8" i="76" s="1"/>
  <c r="D6" i="75"/>
  <c r="J5" i="75" s="1" a="1"/>
  <c r="J5" i="75" s="1"/>
  <c r="K5" i="75" s="1"/>
  <c r="D28" i="74"/>
  <c r="J29" i="74" s="1" a="1"/>
  <c r="J29" i="74" s="1"/>
  <c r="K29" i="74" s="1"/>
  <c r="D8" i="73"/>
  <c r="L30" i="72"/>
  <c r="E30" i="72"/>
  <c r="F30" i="72" s="1"/>
  <c r="J31" i="72" a="1"/>
  <c r="J31" i="72" s="1"/>
  <c r="K31" i="72" s="1"/>
  <c r="G31" i="72" s="1"/>
  <c r="G29" i="71"/>
  <c r="E29" i="70"/>
  <c r="F29" i="70" s="1"/>
  <c r="H30" i="70" a="1"/>
  <c r="H30" i="70" s="1"/>
  <c r="I30" i="70" s="1"/>
  <c r="G30" i="70" s="1"/>
  <c r="L29" i="70"/>
  <c r="L29" i="56"/>
  <c r="J30" i="56" a="1"/>
  <c r="J30" i="56" s="1"/>
  <c r="K30" i="56" s="1"/>
  <c r="H30" i="56" a="1"/>
  <c r="H30" i="56" s="1"/>
  <c r="I30" i="56" s="1"/>
  <c r="D7" i="69"/>
  <c r="D7" i="57"/>
  <c r="H6" i="57" s="1" a="1"/>
  <c r="H6" i="57" s="1"/>
  <c r="I6" i="57" s="1"/>
  <c r="L8" i="55"/>
  <c r="E8" i="55"/>
  <c r="F8" i="55" s="1"/>
  <c r="H7" i="55" a="1"/>
  <c r="H7" i="55" s="1"/>
  <c r="I7" i="55" s="1"/>
  <c r="J7" i="55" a="1"/>
  <c r="J7" i="55" s="1"/>
  <c r="K7" i="55" s="1"/>
  <c r="G29" i="52"/>
  <c r="L28" i="51"/>
  <c r="E28" i="51"/>
  <c r="F28" i="51" s="1"/>
  <c r="J29" i="51" a="1"/>
  <c r="J29" i="51" s="1"/>
  <c r="K29" i="51" s="1"/>
  <c r="G29" i="51" s="1"/>
  <c r="E32" i="45"/>
  <c r="F32" i="45" s="1"/>
  <c r="J31" i="45" a="1"/>
  <c r="J31" i="45" s="1"/>
  <c r="K31" i="45" s="1"/>
  <c r="H31" i="46" a="1"/>
  <c r="H31" i="46" s="1"/>
  <c r="I31" i="46" s="1"/>
  <c r="J31" i="46" a="1"/>
  <c r="J31" i="46" s="1"/>
  <c r="K31" i="46" s="1"/>
  <c r="L32" i="45"/>
  <c r="H31" i="45" a="1"/>
  <c r="H31" i="45" s="1"/>
  <c r="I31" i="45" s="1"/>
  <c r="D31" i="49"/>
  <c r="J30" i="49" s="1" a="1"/>
  <c r="J30" i="49" s="1"/>
  <c r="K30" i="49" s="1"/>
  <c r="E32" i="46"/>
  <c r="F32" i="46" s="1"/>
  <c r="L32" i="46"/>
  <c r="D32" i="42"/>
  <c r="G34" i="41"/>
  <c r="L7" i="69" a="1"/>
  <c r="D29" i="71" a="1"/>
  <c r="L6" i="75" a="1"/>
  <c r="D31" i="72" a="1"/>
  <c r="L8" i="73" a="1"/>
  <c r="L8" i="76" a="1"/>
  <c r="L28" i="74" a="1"/>
  <c r="D29" i="52" a="1"/>
  <c r="D8" i="77" a="1"/>
  <c r="L7" i="57" a="1"/>
  <c r="L32" i="42" a="1"/>
  <c r="L31" i="49" a="1"/>
  <c r="D30" i="70" a="1"/>
  <c r="D29" i="51" a="1"/>
  <c r="D8" i="77" l="1"/>
  <c r="E8" i="77" s="1"/>
  <c r="F8" i="77" s="1"/>
  <c r="J7" i="76" a="1"/>
  <c r="J7" i="76" s="1"/>
  <c r="K7" i="76" s="1"/>
  <c r="H7" i="76" a="1"/>
  <c r="H7" i="76" s="1"/>
  <c r="I7" i="76" s="1"/>
  <c r="L8" i="76"/>
  <c r="E6" i="75"/>
  <c r="F6" i="75" s="1"/>
  <c r="L6" i="75"/>
  <c r="H5" i="75" a="1"/>
  <c r="H5" i="75" s="1"/>
  <c r="I5" i="75" s="1"/>
  <c r="G5" i="75" s="1"/>
  <c r="E28" i="74"/>
  <c r="F28" i="74" s="1"/>
  <c r="H29" i="74" a="1"/>
  <c r="H29" i="74" s="1"/>
  <c r="I29" i="74" s="1"/>
  <c r="G29" i="74" s="1"/>
  <c r="L28" i="74"/>
  <c r="L8" i="73"/>
  <c r="E8" i="73"/>
  <c r="F8" i="73" s="1"/>
  <c r="J7" i="73" a="1"/>
  <c r="J7" i="73" s="1"/>
  <c r="K7" i="73" s="1"/>
  <c r="H7" i="73" a="1"/>
  <c r="H7" i="73" s="1"/>
  <c r="I7" i="73" s="1"/>
  <c r="D31" i="72"/>
  <c r="H32" i="72" s="1" a="1"/>
  <c r="H32" i="72" s="1"/>
  <c r="I32" i="72" s="1"/>
  <c r="D29" i="71"/>
  <c r="E29" i="71" s="1"/>
  <c r="F29" i="71" s="1"/>
  <c r="D30" i="70"/>
  <c r="E30" i="70" s="1"/>
  <c r="F30" i="70" s="1"/>
  <c r="G30" i="56"/>
  <c r="L7" i="69"/>
  <c r="J6" i="69" a="1"/>
  <c r="J6" i="69" s="1"/>
  <c r="K6" i="69" s="1"/>
  <c r="E7" i="69"/>
  <c r="F7" i="69" s="1"/>
  <c r="H6" i="69" a="1"/>
  <c r="H6" i="69" s="1"/>
  <c r="I6" i="69" s="1"/>
  <c r="J6" i="57" a="1"/>
  <c r="J6" i="57" s="1"/>
  <c r="K6" i="57" s="1"/>
  <c r="G6" i="57" s="1"/>
  <c r="E7" i="57"/>
  <c r="F7" i="57" s="1"/>
  <c r="L7" i="57"/>
  <c r="G7" i="55"/>
  <c r="D29" i="52"/>
  <c r="J30" i="52" s="1" a="1"/>
  <c r="J30" i="52" s="1"/>
  <c r="K30" i="52" s="1"/>
  <c r="D29" i="51"/>
  <c r="H30" i="51" s="1" a="1"/>
  <c r="H30" i="51" s="1"/>
  <c r="I30" i="51" s="1"/>
  <c r="G31" i="45"/>
  <c r="H31" i="42" a="1"/>
  <c r="H31" i="42" s="1"/>
  <c r="I31" i="42" s="1"/>
  <c r="J31" i="42" a="1"/>
  <c r="J31" i="42" s="1"/>
  <c r="K31" i="42" s="1"/>
  <c r="G31" i="46"/>
  <c r="H30" i="49" a="1"/>
  <c r="H30" i="49" s="1"/>
  <c r="I30" i="49" s="1"/>
  <c r="G30" i="49" s="1"/>
  <c r="E31" i="49"/>
  <c r="F31" i="49" s="1"/>
  <c r="L31" i="49"/>
  <c r="L32" i="42"/>
  <c r="E32" i="42"/>
  <c r="F32" i="42" s="1"/>
  <c r="D29" i="74" a="1"/>
  <c r="D7" i="55" a="1"/>
  <c r="D5" i="75" a="1"/>
  <c r="D31" i="46" a="1"/>
  <c r="D31" i="45" a="1"/>
  <c r="L30" i="70" a="1"/>
  <c r="L29" i="71" a="1"/>
  <c r="L31" i="72" a="1"/>
  <c r="L29" i="51" a="1"/>
  <c r="D6" i="57" a="1"/>
  <c r="L8" i="77" a="1"/>
  <c r="D30" i="49" a="1"/>
  <c r="L29" i="52" a="1"/>
  <c r="D30" i="56" a="1"/>
  <c r="L8" i="77" l="1"/>
  <c r="J7" i="77" a="1"/>
  <c r="J7" i="77" s="1"/>
  <c r="K7" i="77" s="1"/>
  <c r="H7" i="77" a="1"/>
  <c r="H7" i="77" s="1"/>
  <c r="I7" i="77" s="1"/>
  <c r="G7" i="76"/>
  <c r="D5" i="75"/>
  <c r="E5" i="75" s="1"/>
  <c r="F5" i="75" s="1"/>
  <c r="D29" i="74"/>
  <c r="G7" i="73"/>
  <c r="E31" i="72"/>
  <c r="F31" i="72" s="1"/>
  <c r="L31" i="72"/>
  <c r="J32" i="72" a="1"/>
  <c r="J32" i="72" s="1"/>
  <c r="K32" i="72" s="1"/>
  <c r="G32" i="72" s="1"/>
  <c r="J30" i="71" a="1"/>
  <c r="J30" i="71" s="1"/>
  <c r="K30" i="71" s="1"/>
  <c r="H30" i="71" a="1"/>
  <c r="H30" i="71" s="1"/>
  <c r="I30" i="71" s="1"/>
  <c r="L29" i="71"/>
  <c r="J31" i="70" a="1"/>
  <c r="J31" i="70" s="1"/>
  <c r="K31" i="70" s="1"/>
  <c r="H31" i="70" a="1"/>
  <c r="H31" i="70" s="1"/>
  <c r="I31" i="70" s="1"/>
  <c r="L30" i="70"/>
  <c r="D30" i="56"/>
  <c r="E30" i="56" s="1"/>
  <c r="F30" i="56" s="1"/>
  <c r="G6" i="69"/>
  <c r="D6" i="57"/>
  <c r="J5" i="57" s="1" a="1"/>
  <c r="J5" i="57" s="1"/>
  <c r="K5" i="57" s="1"/>
  <c r="H30" i="52" a="1"/>
  <c r="H30" i="52" s="1"/>
  <c r="I30" i="52" s="1"/>
  <c r="G30" i="52" s="1"/>
  <c r="D7" i="55"/>
  <c r="E7" i="55" s="1"/>
  <c r="F7" i="55" s="1"/>
  <c r="L29" i="52"/>
  <c r="E29" i="52"/>
  <c r="F29" i="52" s="1"/>
  <c r="L29" i="51"/>
  <c r="J30" i="51" a="1"/>
  <c r="J30" i="51" s="1"/>
  <c r="K30" i="51" s="1"/>
  <c r="G30" i="51" s="1"/>
  <c r="E29" i="51"/>
  <c r="F29" i="51" s="1"/>
  <c r="D31" i="45"/>
  <c r="G31" i="42"/>
  <c r="D30" i="49"/>
  <c r="J29" i="49" s="1" a="1"/>
  <c r="J29" i="49" s="1"/>
  <c r="K29" i="49" s="1"/>
  <c r="D31" i="46"/>
  <c r="L31" i="45" a="1"/>
  <c r="D30" i="51" a="1"/>
  <c r="L29" i="74" a="1"/>
  <c r="D32" i="72" a="1"/>
  <c r="L5" i="75" a="1"/>
  <c r="C34" i="41" a="1"/>
  <c r="L7" i="55" a="1"/>
  <c r="D6" i="69" a="1"/>
  <c r="L30" i="56" a="1"/>
  <c r="L31" i="46" a="1"/>
  <c r="D7" i="76" a="1"/>
  <c r="D30" i="52" a="1"/>
  <c r="L30" i="49" a="1"/>
  <c r="L6" i="57" a="1"/>
  <c r="D31" i="42" a="1"/>
  <c r="D7" i="73" a="1"/>
  <c r="G7" i="77" l="1"/>
  <c r="D7" i="76"/>
  <c r="E7" i="76" s="1"/>
  <c r="F7" i="76" s="1"/>
  <c r="H4" i="75" a="1"/>
  <c r="H4" i="75" s="1"/>
  <c r="I4" i="75" s="1"/>
  <c r="L5" i="75"/>
  <c r="J4" i="75" a="1"/>
  <c r="J4" i="75" s="1"/>
  <c r="K4" i="75" s="1"/>
  <c r="L29" i="74"/>
  <c r="E29" i="74"/>
  <c r="F29" i="74" s="1"/>
  <c r="J30" i="74" a="1"/>
  <c r="J30" i="74" s="1"/>
  <c r="K30" i="74" s="1"/>
  <c r="H30" i="74" a="1"/>
  <c r="H30" i="74" s="1"/>
  <c r="I30" i="74" s="1"/>
  <c r="D7" i="73"/>
  <c r="E7" i="73" s="1"/>
  <c r="F7" i="73" s="1"/>
  <c r="D32" i="72"/>
  <c r="E32" i="72" s="1"/>
  <c r="F32" i="72" s="1"/>
  <c r="G30" i="71"/>
  <c r="J31" i="56" a="1"/>
  <c r="J31" i="56" s="1"/>
  <c r="K31" i="56" s="1"/>
  <c r="G31" i="70"/>
  <c r="L30" i="56"/>
  <c r="H31" i="56" a="1"/>
  <c r="H31" i="56" s="1"/>
  <c r="I31" i="56" s="1"/>
  <c r="D6" i="69"/>
  <c r="H5" i="57" a="1"/>
  <c r="H5" i="57" s="1"/>
  <c r="I5" i="57" s="1"/>
  <c r="G5" i="57" s="1"/>
  <c r="L6" i="57"/>
  <c r="E6" i="57"/>
  <c r="F6" i="57" s="1"/>
  <c r="L7" i="55"/>
  <c r="H6" i="55" a="1"/>
  <c r="H6" i="55" s="1"/>
  <c r="I6" i="55" s="1"/>
  <c r="J6" i="55" a="1"/>
  <c r="J6" i="55" s="1"/>
  <c r="K6" i="55" s="1"/>
  <c r="D30" i="52"/>
  <c r="E30" i="52" s="1"/>
  <c r="F30" i="52" s="1"/>
  <c r="D30" i="51"/>
  <c r="H31" i="51" s="1" a="1"/>
  <c r="H31" i="51" s="1"/>
  <c r="I31" i="51" s="1"/>
  <c r="L31" i="45"/>
  <c r="H30" i="45" a="1"/>
  <c r="H30" i="45" s="1"/>
  <c r="I30" i="45" s="1"/>
  <c r="J30" i="45" a="1"/>
  <c r="J30" i="45" s="1"/>
  <c r="K30" i="45" s="1"/>
  <c r="E31" i="45"/>
  <c r="F31" i="45" s="1"/>
  <c r="H30" i="46" a="1"/>
  <c r="H30" i="46" s="1"/>
  <c r="I30" i="46" s="1"/>
  <c r="J30" i="46" a="1"/>
  <c r="J30" i="46" s="1"/>
  <c r="K30" i="46" s="1"/>
  <c r="H29" i="49" a="1"/>
  <c r="H29" i="49" s="1"/>
  <c r="E30" i="49"/>
  <c r="F30" i="49" s="1"/>
  <c r="L30" i="49"/>
  <c r="L31" i="46"/>
  <c r="E31" i="46"/>
  <c r="F31" i="46" s="1"/>
  <c r="D31" i="42"/>
  <c r="C34" i="41"/>
  <c r="L31" i="42" a="1"/>
  <c r="L32" i="72" a="1"/>
  <c r="D31" i="70" a="1"/>
  <c r="L6" i="69" a="1"/>
  <c r="D5" i="57" a="1"/>
  <c r="L7" i="73" a="1"/>
  <c r="D30" i="71" a="1"/>
  <c r="L30" i="52" a="1"/>
  <c r="D7" i="77" a="1"/>
  <c r="L30" i="51" a="1"/>
  <c r="L7" i="76" a="1"/>
  <c r="D7" i="77" l="1"/>
  <c r="E7" i="77" s="1"/>
  <c r="F7" i="77" s="1"/>
  <c r="H6" i="76" a="1"/>
  <c r="H6" i="76" s="1"/>
  <c r="I6" i="76" s="1"/>
  <c r="J6" i="76" a="1"/>
  <c r="J6" i="76" s="1"/>
  <c r="K6" i="76" s="1"/>
  <c r="L7" i="76"/>
  <c r="G4" i="75"/>
  <c r="G30" i="74"/>
  <c r="H6" i="73" a="1"/>
  <c r="H6" i="73" s="1"/>
  <c r="I6" i="73" s="1"/>
  <c r="J6" i="73" a="1"/>
  <c r="J6" i="73" s="1"/>
  <c r="K6" i="73" s="1"/>
  <c r="L7" i="73"/>
  <c r="H33" i="72" a="1"/>
  <c r="H33" i="72" s="1"/>
  <c r="I33" i="72" s="1"/>
  <c r="J33" i="72" a="1"/>
  <c r="J33" i="72" s="1"/>
  <c r="K33" i="72" s="1"/>
  <c r="L32" i="72"/>
  <c r="D30" i="71"/>
  <c r="E30" i="71" s="1"/>
  <c r="F30" i="71" s="1"/>
  <c r="G31" i="56"/>
  <c r="D31" i="70"/>
  <c r="H32" i="70" s="1" a="1"/>
  <c r="H32" i="70" s="1"/>
  <c r="I32" i="70" s="1"/>
  <c r="L6" i="69"/>
  <c r="H5" i="69" a="1"/>
  <c r="H5" i="69" s="1"/>
  <c r="I5" i="69" s="1"/>
  <c r="E6" i="69"/>
  <c r="F6" i="69" s="1"/>
  <c r="J5" i="69" a="1"/>
  <c r="J5" i="69" s="1"/>
  <c r="K5" i="69" s="1"/>
  <c r="D5" i="57"/>
  <c r="H4" i="57" s="1" a="1"/>
  <c r="H4" i="57" s="1"/>
  <c r="I4" i="57" s="1"/>
  <c r="G6" i="55"/>
  <c r="J31" i="52" a="1"/>
  <c r="J31" i="52" s="1"/>
  <c r="K31" i="52" s="1"/>
  <c r="H31" i="52" a="1"/>
  <c r="H31" i="52" s="1"/>
  <c r="I31" i="52" s="1"/>
  <c r="L30" i="52"/>
  <c r="J31" i="51" a="1"/>
  <c r="J31" i="51" s="1"/>
  <c r="K31" i="51" s="1"/>
  <c r="G31" i="51" s="1"/>
  <c r="E30" i="51"/>
  <c r="F30" i="51" s="1"/>
  <c r="L30" i="51"/>
  <c r="G30" i="45"/>
  <c r="H30" i="42" a="1"/>
  <c r="H30" i="42" s="1"/>
  <c r="I30" i="42" s="1"/>
  <c r="J30" i="42" a="1"/>
  <c r="J30" i="42" s="1"/>
  <c r="K30" i="42" s="1"/>
  <c r="G30" i="46"/>
  <c r="I29" i="49"/>
  <c r="G29" i="49" s="1"/>
  <c r="E31" i="42"/>
  <c r="F31" i="42" s="1"/>
  <c r="L31" i="42"/>
  <c r="D30" i="46" a="1"/>
  <c r="D4" i="75" a="1"/>
  <c r="L7" i="77" a="1"/>
  <c r="L30" i="71" a="1"/>
  <c r="L5" i="57" a="1"/>
  <c r="D29" i="49" a="1"/>
  <c r="D31" i="56" a="1"/>
  <c r="L31" i="70" a="1"/>
  <c r="D31" i="51" a="1"/>
  <c r="D30" i="74" a="1"/>
  <c r="D6" i="55" a="1"/>
  <c r="D30" i="45" a="1"/>
  <c r="H6" i="77" l="1" a="1"/>
  <c r="H6" i="77" s="1"/>
  <c r="I6" i="77" s="1"/>
  <c r="L7" i="77"/>
  <c r="J6" i="77" a="1"/>
  <c r="J6" i="77" s="1"/>
  <c r="K6" i="77" s="1"/>
  <c r="G6" i="76"/>
  <c r="D4" i="75"/>
  <c r="J3" i="75" s="1" a="1"/>
  <c r="J3" i="75" s="1"/>
  <c r="K3" i="75" s="1"/>
  <c r="D30" i="74"/>
  <c r="E30" i="74" s="1"/>
  <c r="F30" i="74" s="1"/>
  <c r="G6" i="73"/>
  <c r="G33" i="72"/>
  <c r="H31" i="71" a="1"/>
  <c r="H31" i="71" s="1"/>
  <c r="I31" i="71" s="1"/>
  <c r="L30" i="71"/>
  <c r="J31" i="71" a="1"/>
  <c r="J31" i="71" s="1"/>
  <c r="K31" i="71" s="1"/>
  <c r="D31" i="56"/>
  <c r="H32" i="56" s="1" a="1"/>
  <c r="H32" i="56" s="1"/>
  <c r="I32" i="56" s="1"/>
  <c r="J32" i="70" a="1"/>
  <c r="J32" i="70" s="1"/>
  <c r="K32" i="70" s="1"/>
  <c r="G32" i="70" s="1"/>
  <c r="E31" i="70"/>
  <c r="F31" i="70" s="1"/>
  <c r="L31" i="70"/>
  <c r="G5" i="69"/>
  <c r="L5" i="57"/>
  <c r="E5" i="57"/>
  <c r="F5" i="57" s="1"/>
  <c r="J4" i="57" a="1"/>
  <c r="J4" i="57" s="1"/>
  <c r="K4" i="57" s="1"/>
  <c r="G4" i="57" s="1"/>
  <c r="D6" i="55"/>
  <c r="E6" i="55" s="1"/>
  <c r="F6" i="55" s="1"/>
  <c r="G31" i="52"/>
  <c r="D31" i="51"/>
  <c r="D30" i="45"/>
  <c r="E30" i="45" s="1"/>
  <c r="F30" i="45" s="1"/>
  <c r="G30" i="42"/>
  <c r="D29" i="49"/>
  <c r="J28" i="49" s="1" a="1"/>
  <c r="J28" i="49" s="1"/>
  <c r="K28" i="49" s="1"/>
  <c r="D30" i="46"/>
  <c r="L30" i="46" a="1"/>
  <c r="D33" i="72" a="1"/>
  <c r="D32" i="70" a="1"/>
  <c r="D6" i="76" a="1"/>
  <c r="L4" i="75" a="1"/>
  <c r="D31" i="52" a="1"/>
  <c r="L31" i="51" a="1"/>
  <c r="D4" i="57" a="1"/>
  <c r="L31" i="56" a="1"/>
  <c r="L29" i="49" a="1"/>
  <c r="L6" i="55" a="1"/>
  <c r="L30" i="45" a="1"/>
  <c r="D30" i="42" a="1"/>
  <c r="D5" i="69" a="1"/>
  <c r="G32" i="41" a="1"/>
  <c r="L30" i="74" a="1"/>
  <c r="D6" i="73" a="1"/>
  <c r="G6" i="77" l="1"/>
  <c r="D6" i="76"/>
  <c r="H5" i="76" s="1" a="1"/>
  <c r="H5" i="76" s="1"/>
  <c r="I5" i="76" s="1"/>
  <c r="H3" i="75" a="1"/>
  <c r="H3" i="75" s="1"/>
  <c r="I3" i="75" s="1"/>
  <c r="G3" i="75" s="1"/>
  <c r="L4" i="75"/>
  <c r="E4" i="75"/>
  <c r="F4" i="75" s="1"/>
  <c r="L30" i="74"/>
  <c r="J31" i="74" a="1"/>
  <c r="J31" i="74" s="1"/>
  <c r="K31" i="74" s="1"/>
  <c r="H31" i="74" a="1"/>
  <c r="H31" i="74" s="1"/>
  <c r="I31" i="74" s="1"/>
  <c r="D6" i="73"/>
  <c r="E6" i="73" s="1"/>
  <c r="F6" i="73" s="1"/>
  <c r="D33" i="72"/>
  <c r="E33" i="72" s="1"/>
  <c r="F33" i="72" s="1"/>
  <c r="G31" i="71"/>
  <c r="J32" i="56" a="1"/>
  <c r="J32" i="56" s="1"/>
  <c r="K32" i="56" s="1"/>
  <c r="G32" i="56" s="1"/>
  <c r="L31" i="56"/>
  <c r="E31" i="56"/>
  <c r="F31" i="56" s="1"/>
  <c r="D32" i="70"/>
  <c r="E32" i="70" s="1"/>
  <c r="F32" i="70" s="1"/>
  <c r="D5" i="69"/>
  <c r="D4" i="57"/>
  <c r="L6" i="55"/>
  <c r="J5" i="55" a="1"/>
  <c r="J5" i="55" s="1"/>
  <c r="K5" i="55" s="1"/>
  <c r="H5" i="55" a="1"/>
  <c r="H5" i="55" s="1"/>
  <c r="I5" i="55" s="1"/>
  <c r="D31" i="52"/>
  <c r="E31" i="52" s="1"/>
  <c r="F31" i="52" s="1"/>
  <c r="L31" i="51"/>
  <c r="E31" i="51"/>
  <c r="F31" i="51" s="1"/>
  <c r="J32" i="51" a="1"/>
  <c r="J32" i="51" s="1"/>
  <c r="K32" i="51" s="1"/>
  <c r="H32" i="51" a="1"/>
  <c r="H32" i="51" s="1"/>
  <c r="I32" i="51" s="1"/>
  <c r="J29" i="45" a="1"/>
  <c r="J29" i="45" s="1"/>
  <c r="K29" i="45" s="1"/>
  <c r="H29" i="45" a="1"/>
  <c r="H29" i="45" s="1"/>
  <c r="I29" i="45" s="1"/>
  <c r="L30" i="45"/>
  <c r="H29" i="46" a="1"/>
  <c r="H29" i="46" s="1"/>
  <c r="I29" i="46" s="1"/>
  <c r="J29" i="46" a="1"/>
  <c r="J29" i="46" s="1"/>
  <c r="K29" i="46" s="1"/>
  <c r="E29" i="49"/>
  <c r="F29" i="49" s="1"/>
  <c r="L29" i="49"/>
  <c r="H28" i="49" a="1"/>
  <c r="H28" i="49" s="1"/>
  <c r="I28" i="49" s="1"/>
  <c r="G28" i="49" s="1"/>
  <c r="G32" i="41"/>
  <c r="D30" i="42"/>
  <c r="L30" i="46"/>
  <c r="E30" i="46"/>
  <c r="F30" i="46" s="1"/>
  <c r="L6" i="76" a="1"/>
  <c r="L32" i="70" a="1"/>
  <c r="D6" i="77" a="1"/>
  <c r="L6" i="73" a="1"/>
  <c r="L5" i="69" a="1"/>
  <c r="D31" i="71" a="1"/>
  <c r="L33" i="72" a="1"/>
  <c r="D32" i="56" a="1"/>
  <c r="D28" i="49" a="1"/>
  <c r="L30" i="42" a="1"/>
  <c r="L4" i="57" a="1"/>
  <c r="L31" i="52" a="1"/>
  <c r="D3" i="75" a="1"/>
  <c r="D6" i="77" l="1"/>
  <c r="J5" i="77" s="1" a="1"/>
  <c r="J5" i="77" s="1"/>
  <c r="K5" i="77" s="1"/>
  <c r="J5" i="76" a="1"/>
  <c r="J5" i="76" s="1"/>
  <c r="K5" i="76" s="1"/>
  <c r="G5" i="76" s="1"/>
  <c r="E6" i="76"/>
  <c r="F6" i="76" s="1"/>
  <c r="L6" i="76"/>
  <c r="D3" i="75"/>
  <c r="G31" i="74"/>
  <c r="H5" i="73" a="1"/>
  <c r="H5" i="73" s="1"/>
  <c r="I5" i="73" s="1"/>
  <c r="J5" i="73" a="1"/>
  <c r="J5" i="73" s="1"/>
  <c r="K5" i="73" s="1"/>
  <c r="L6" i="73"/>
  <c r="J34" i="72" a="1"/>
  <c r="J34" i="72" s="1"/>
  <c r="K34" i="72" s="1"/>
  <c r="H34" i="72" a="1"/>
  <c r="H34" i="72" s="1"/>
  <c r="I34" i="72" s="1"/>
  <c r="L33" i="72"/>
  <c r="D31" i="71"/>
  <c r="E31" i="71" s="1"/>
  <c r="F31" i="71" s="1"/>
  <c r="H33" i="70" a="1"/>
  <c r="H33" i="70" s="1"/>
  <c r="I33" i="70" s="1"/>
  <c r="D32" i="56"/>
  <c r="H33" i="56" s="1" a="1"/>
  <c r="H33" i="56" s="1"/>
  <c r="I33" i="56" s="1"/>
  <c r="J33" i="70" a="1"/>
  <c r="J33" i="70" s="1"/>
  <c r="K33" i="70" s="1"/>
  <c r="L32" i="70"/>
  <c r="L5" i="69"/>
  <c r="E5" i="69"/>
  <c r="F5" i="69" s="1"/>
  <c r="J4" i="69" a="1"/>
  <c r="J4" i="69" s="1"/>
  <c r="K4" i="69" s="1"/>
  <c r="H4" i="69" a="1"/>
  <c r="H4" i="69" s="1"/>
  <c r="I4" i="69" s="1"/>
  <c r="L4" i="57"/>
  <c r="E4" i="57"/>
  <c r="F4" i="57" s="1"/>
  <c r="H3" i="57" a="1"/>
  <c r="H3" i="57" s="1"/>
  <c r="I3" i="57" s="1"/>
  <c r="J3" i="57" a="1"/>
  <c r="J3" i="57" s="1"/>
  <c r="K3" i="57" s="1"/>
  <c r="G5" i="55"/>
  <c r="J32" i="52" a="1"/>
  <c r="J32" i="52" s="1"/>
  <c r="K32" i="52" s="1"/>
  <c r="H32" i="52" a="1"/>
  <c r="H32" i="52" s="1"/>
  <c r="I32" i="52" s="1"/>
  <c r="L31" i="52"/>
  <c r="G32" i="51"/>
  <c r="G29" i="45"/>
  <c r="H29" i="42" a="1"/>
  <c r="H29" i="42" s="1"/>
  <c r="I29" i="42" s="1"/>
  <c r="J29" i="42" a="1"/>
  <c r="J29" i="42" s="1"/>
  <c r="K29" i="42" s="1"/>
  <c r="G29" i="46"/>
  <c r="L30" i="42"/>
  <c r="E30" i="42"/>
  <c r="F30" i="42" s="1"/>
  <c r="D28" i="49"/>
  <c r="D31" i="74" a="1"/>
  <c r="D29" i="45" a="1"/>
  <c r="L3" i="75" a="1"/>
  <c r="D5" i="76" a="1"/>
  <c r="D5" i="55" a="1"/>
  <c r="L28" i="49" a="1"/>
  <c r="D32" i="51" a="1"/>
  <c r="L31" i="71" a="1"/>
  <c r="L6" i="77" a="1"/>
  <c r="D29" i="46" a="1"/>
  <c r="L32" i="56" a="1"/>
  <c r="L6" i="77" l="1"/>
  <c r="H5" i="77" a="1"/>
  <c r="H5" i="77" s="1"/>
  <c r="I5" i="77" s="1"/>
  <c r="G5" i="77" s="1"/>
  <c r="E6" i="77"/>
  <c r="F6" i="77" s="1"/>
  <c r="D5" i="76"/>
  <c r="E5" i="76" s="1"/>
  <c r="F5" i="76" s="1"/>
  <c r="L3" i="75"/>
  <c r="E3" i="75"/>
  <c r="F3" i="75" s="1"/>
  <c r="D31" i="74"/>
  <c r="E31" i="74" s="1"/>
  <c r="F31" i="74" s="1"/>
  <c r="G5" i="73"/>
  <c r="G34" i="72"/>
  <c r="L31" i="71"/>
  <c r="H32" i="71" a="1"/>
  <c r="H32" i="71" s="1"/>
  <c r="I32" i="71" s="1"/>
  <c r="J32" i="71" a="1"/>
  <c r="J32" i="71" s="1"/>
  <c r="K32" i="71" s="1"/>
  <c r="J33" i="56" a="1"/>
  <c r="J33" i="56" s="1"/>
  <c r="K33" i="56" s="1"/>
  <c r="G33" i="56" s="1"/>
  <c r="G33" i="70"/>
  <c r="L32" i="56"/>
  <c r="E32" i="56"/>
  <c r="F32" i="56" s="1"/>
  <c r="G4" i="69"/>
  <c r="G3" i="57"/>
  <c r="D5" i="55"/>
  <c r="H4" i="55" s="1" a="1"/>
  <c r="H4" i="55" s="1"/>
  <c r="I4" i="55" s="1"/>
  <c r="G32" i="52"/>
  <c r="D32" i="51"/>
  <c r="E32" i="51" s="1"/>
  <c r="F32" i="51" s="1"/>
  <c r="D29" i="45"/>
  <c r="E29" i="45" s="1"/>
  <c r="F29" i="45" s="1"/>
  <c r="G29" i="42"/>
  <c r="H27" i="49" a="1"/>
  <c r="H27" i="49" s="1"/>
  <c r="I27" i="49" s="1"/>
  <c r="J27" i="49" a="1"/>
  <c r="J27" i="49" s="1"/>
  <c r="K27" i="49" s="1"/>
  <c r="D29" i="46"/>
  <c r="L28" i="49"/>
  <c r="E28" i="49"/>
  <c r="F28" i="49" s="1"/>
  <c r="L5" i="76" a="1"/>
  <c r="D5" i="73" a="1"/>
  <c r="D33" i="70" a="1"/>
  <c r="L29" i="46" a="1"/>
  <c r="D5" i="77" a="1"/>
  <c r="L5" i="55" a="1"/>
  <c r="D32" i="52" a="1"/>
  <c r="D29" i="42" a="1"/>
  <c r="D33" i="56" a="1"/>
  <c r="D4" i="69" a="1"/>
  <c r="D34" i="72" a="1"/>
  <c r="L31" i="74" a="1"/>
  <c r="L32" i="51" a="1"/>
  <c r="C32" i="41" a="1"/>
  <c r="D3" i="57" a="1"/>
  <c r="L29" i="45" a="1"/>
  <c r="D5" i="77" l="1"/>
  <c r="J4" i="77" s="1" a="1"/>
  <c r="J4" i="77" s="1"/>
  <c r="K4" i="77" s="1"/>
  <c r="J4" i="76" a="1"/>
  <c r="J4" i="76" s="1"/>
  <c r="K4" i="76" s="1"/>
  <c r="H4" i="76" a="1"/>
  <c r="H4" i="76" s="1"/>
  <c r="I4" i="76" s="1"/>
  <c r="L5" i="76"/>
  <c r="L31" i="74"/>
  <c r="J32" i="74" a="1"/>
  <c r="J32" i="74" s="1"/>
  <c r="K32" i="74" s="1"/>
  <c r="H32" i="74" a="1"/>
  <c r="H32" i="74" s="1"/>
  <c r="I32" i="74" s="1"/>
  <c r="D5" i="73"/>
  <c r="H4" i="73" s="1" a="1"/>
  <c r="H4" i="73" s="1"/>
  <c r="I4" i="73" s="1"/>
  <c r="D34" i="72"/>
  <c r="G32" i="71"/>
  <c r="D33" i="70"/>
  <c r="J34" i="70" s="1" a="1"/>
  <c r="J34" i="70" s="1"/>
  <c r="K34" i="70" s="1"/>
  <c r="D33" i="56"/>
  <c r="H34" i="56" s="1" a="1"/>
  <c r="H34" i="56" s="1"/>
  <c r="I34" i="56" s="1"/>
  <c r="D4" i="69"/>
  <c r="D3" i="57"/>
  <c r="E3" i="57" s="1"/>
  <c r="F3" i="57" s="1"/>
  <c r="L5" i="55"/>
  <c r="E5" i="55"/>
  <c r="F5" i="55" s="1"/>
  <c r="J4" i="55" a="1"/>
  <c r="J4" i="55" s="1"/>
  <c r="K4" i="55" s="1"/>
  <c r="G4" i="55" s="1"/>
  <c r="D32" i="52"/>
  <c r="E32" i="52" s="1"/>
  <c r="F32" i="52" s="1"/>
  <c r="J33" i="51" a="1"/>
  <c r="J33" i="51" s="1"/>
  <c r="K33" i="51" s="1"/>
  <c r="H33" i="51" a="1"/>
  <c r="H33" i="51" s="1"/>
  <c r="I33" i="51" s="1"/>
  <c r="L32" i="51"/>
  <c r="J28" i="45" a="1"/>
  <c r="J28" i="45" s="1"/>
  <c r="K28" i="45" s="1"/>
  <c r="H28" i="45" a="1"/>
  <c r="H28" i="45" s="1"/>
  <c r="I28" i="45" s="1"/>
  <c r="L29" i="45"/>
  <c r="H28" i="46" a="1"/>
  <c r="H28" i="46" s="1"/>
  <c r="I28" i="46" s="1"/>
  <c r="J28" i="46" a="1"/>
  <c r="J28" i="46" s="1"/>
  <c r="K28" i="46" s="1"/>
  <c r="G27" i="49"/>
  <c r="C32" i="41"/>
  <c r="D29" i="42"/>
  <c r="E29" i="46"/>
  <c r="F29" i="46" s="1"/>
  <c r="L29" i="46"/>
  <c r="D32" i="71" a="1"/>
  <c r="L4" i="69" a="1"/>
  <c r="L5" i="73" a="1"/>
  <c r="L3" i="57" a="1"/>
  <c r="L34" i="72" a="1"/>
  <c r="L33" i="70" a="1"/>
  <c r="D4" i="55" a="1"/>
  <c r="L5" i="77" a="1"/>
  <c r="L32" i="52" a="1"/>
  <c r="D27" i="49" a="1"/>
  <c r="L33" i="56" a="1"/>
  <c r="L29" i="42" a="1"/>
  <c r="L5" i="77" l="1"/>
  <c r="E5" i="77"/>
  <c r="F5" i="77" s="1"/>
  <c r="H4" i="77" a="1"/>
  <c r="H4" i="77" s="1"/>
  <c r="I4" i="77" s="1"/>
  <c r="G4" i="77" s="1"/>
  <c r="G4" i="76"/>
  <c r="G32" i="74"/>
  <c r="J4" i="73" a="1"/>
  <c r="J4" i="73" s="1"/>
  <c r="K4" i="73" s="1"/>
  <c r="G4" i="73" s="1"/>
  <c r="E5" i="73"/>
  <c r="F5" i="73" s="1"/>
  <c r="L5" i="73"/>
  <c r="L34" i="72"/>
  <c r="E34" i="72"/>
  <c r="F34" i="72" s="1"/>
  <c r="D32" i="71"/>
  <c r="L33" i="70"/>
  <c r="E33" i="70"/>
  <c r="F33" i="70" s="1"/>
  <c r="H34" i="70" a="1"/>
  <c r="H34" i="70" s="1"/>
  <c r="I34" i="70" s="1"/>
  <c r="G34" i="70" s="1"/>
  <c r="J34" i="56" a="1"/>
  <c r="J34" i="56" s="1"/>
  <c r="K34" i="56" s="1"/>
  <c r="G34" i="56" s="1"/>
  <c r="E33" i="56"/>
  <c r="F33" i="56" s="1"/>
  <c r="L33" i="56"/>
  <c r="L4" i="69"/>
  <c r="E4" i="69"/>
  <c r="F4" i="69" s="1"/>
  <c r="J3" i="69" a="1"/>
  <c r="J3" i="69" s="1"/>
  <c r="K3" i="69" s="1"/>
  <c r="H3" i="69" a="1"/>
  <c r="H3" i="69" s="1"/>
  <c r="I3" i="69" s="1"/>
  <c r="L3" i="57"/>
  <c r="D4" i="55"/>
  <c r="L32" i="52"/>
  <c r="J33" i="52" a="1"/>
  <c r="J33" i="52" s="1"/>
  <c r="K33" i="52" s="1"/>
  <c r="H33" i="52" a="1"/>
  <c r="H33" i="52" s="1"/>
  <c r="I33" i="52" s="1"/>
  <c r="G33" i="51"/>
  <c r="G28" i="45"/>
  <c r="H28" i="42" a="1"/>
  <c r="H28" i="42" s="1"/>
  <c r="I28" i="42" s="1"/>
  <c r="J28" i="42" a="1"/>
  <c r="J28" i="42" s="1"/>
  <c r="K28" i="42" s="1"/>
  <c r="D27" i="49"/>
  <c r="J26" i="49" s="1" a="1"/>
  <c r="J26" i="49" s="1"/>
  <c r="K26" i="49" s="1"/>
  <c r="E29" i="42"/>
  <c r="F29" i="42" s="1"/>
  <c r="G28" i="46"/>
  <c r="L29" i="42"/>
  <c r="L32" i="71" a="1"/>
  <c r="D34" i="70" a="1"/>
  <c r="L4" i="55" a="1"/>
  <c r="D34" i="56" a="1"/>
  <c r="D4" i="73" a="1"/>
  <c r="D33" i="51" a="1"/>
  <c r="L27" i="49" a="1"/>
  <c r="D32" i="74" a="1"/>
  <c r="D4" i="77" a="1"/>
  <c r="D4" i="76" a="1"/>
  <c r="D28" i="45" a="1"/>
  <c r="D4" i="77" l="1"/>
  <c r="H3" i="77" s="1" a="1"/>
  <c r="H3" i="77" s="1"/>
  <c r="I3" i="77" s="1"/>
  <c r="D4" i="76"/>
  <c r="J3" i="76" s="1" a="1"/>
  <c r="J3" i="76" s="1"/>
  <c r="K3" i="76" s="1"/>
  <c r="D32" i="74"/>
  <c r="D4" i="73"/>
  <c r="E4" i="73" s="1"/>
  <c r="F4" i="73" s="1"/>
  <c r="L32" i="71"/>
  <c r="J33" i="71" a="1"/>
  <c r="J33" i="71" s="1"/>
  <c r="K33" i="71" s="1"/>
  <c r="H33" i="71" a="1"/>
  <c r="H33" i="71" s="1"/>
  <c r="I33" i="71" s="1"/>
  <c r="E32" i="71"/>
  <c r="F32" i="71" s="1"/>
  <c r="D34" i="70"/>
  <c r="D34" i="56"/>
  <c r="G3" i="69"/>
  <c r="L4" i="55"/>
  <c r="E4" i="55"/>
  <c r="F4" i="55" s="1"/>
  <c r="H3" i="55" a="1"/>
  <c r="H3" i="55" s="1"/>
  <c r="I3" i="55" s="1"/>
  <c r="J3" i="55" a="1"/>
  <c r="J3" i="55" s="1"/>
  <c r="K3" i="55" s="1"/>
  <c r="G33" i="52"/>
  <c r="D33" i="51"/>
  <c r="H34" i="51" s="1" a="1"/>
  <c r="H34" i="51" s="1"/>
  <c r="I34" i="51" s="1"/>
  <c r="D28" i="45"/>
  <c r="E28" i="45" s="1"/>
  <c r="F28" i="45" s="1"/>
  <c r="G28" i="42"/>
  <c r="E27" i="49"/>
  <c r="F27" i="49" s="1"/>
  <c r="H26" i="49" a="1"/>
  <c r="H26" i="49" s="1"/>
  <c r="L27" i="49"/>
  <c r="D3" i="69" a="1"/>
  <c r="L32" i="74" a="1"/>
  <c r="L33" i="51" a="1"/>
  <c r="D28" i="46" a="1"/>
  <c r="D33" i="52" a="1"/>
  <c r="D28" i="42" a="1"/>
  <c r="L34" i="70" a="1"/>
  <c r="L28" i="45" a="1"/>
  <c r="L34" i="56" a="1"/>
  <c r="L4" i="77" a="1"/>
  <c r="L4" i="73" a="1"/>
  <c r="L4" i="76" a="1"/>
  <c r="G30" i="41" a="1"/>
  <c r="L4" i="77" l="1"/>
  <c r="J3" i="77" a="1"/>
  <c r="J3" i="77" s="1"/>
  <c r="K3" i="77" s="1"/>
  <c r="G3" i="77" s="1"/>
  <c r="E4" i="77"/>
  <c r="F4" i="77" s="1"/>
  <c r="H3" i="76" a="1"/>
  <c r="H3" i="76" s="1"/>
  <c r="I3" i="76" s="1"/>
  <c r="G3" i="76" s="1"/>
  <c r="E4" i="76"/>
  <c r="F4" i="76" s="1"/>
  <c r="L4" i="76"/>
  <c r="L32" i="74"/>
  <c r="E32" i="74"/>
  <c r="F32" i="74" s="1"/>
  <c r="J33" i="74" a="1"/>
  <c r="J33" i="74" s="1"/>
  <c r="K33" i="74" s="1"/>
  <c r="H33" i="74" a="1"/>
  <c r="H33" i="74" s="1"/>
  <c r="I33" i="74" s="1"/>
  <c r="H3" i="73" a="1"/>
  <c r="H3" i="73" s="1"/>
  <c r="I3" i="73" s="1"/>
  <c r="J3" i="73" a="1"/>
  <c r="J3" i="73" s="1"/>
  <c r="K3" i="73" s="1"/>
  <c r="L4" i="73"/>
  <c r="G33" i="71"/>
  <c r="L34" i="70"/>
  <c r="E34" i="70"/>
  <c r="F34" i="70" s="1"/>
  <c r="L34" i="56"/>
  <c r="E34" i="56"/>
  <c r="F34" i="56" s="1"/>
  <c r="D3" i="69"/>
  <c r="E3" i="69" s="1"/>
  <c r="F3" i="69" s="1"/>
  <c r="G3" i="55"/>
  <c r="D33" i="52"/>
  <c r="J34" i="52" s="1" a="1"/>
  <c r="J34" i="52" s="1"/>
  <c r="K34" i="52" s="1"/>
  <c r="H27" i="45" a="1"/>
  <c r="H27" i="45" s="1"/>
  <c r="I27" i="45" s="1"/>
  <c r="L33" i="51"/>
  <c r="E33" i="51"/>
  <c r="F33" i="51" s="1"/>
  <c r="J34" i="51" a="1"/>
  <c r="J34" i="51" s="1"/>
  <c r="K34" i="51" s="1"/>
  <c r="G34" i="51" s="1"/>
  <c r="L28" i="45"/>
  <c r="J27" i="45" a="1"/>
  <c r="J27" i="45" s="1"/>
  <c r="K27" i="45" s="1"/>
  <c r="I26" i="49"/>
  <c r="G26" i="49" s="1"/>
  <c r="D28" i="42"/>
  <c r="J27" i="42" s="1" a="1"/>
  <c r="J27" i="42" s="1"/>
  <c r="K27" i="42" s="1"/>
  <c r="D28" i="46"/>
  <c r="G30" i="41"/>
  <c r="D3" i="76" a="1"/>
  <c r="L33" i="52" a="1"/>
  <c r="L28" i="46" a="1"/>
  <c r="D34" i="51" a="1"/>
  <c r="L28" i="42" a="1"/>
  <c r="D3" i="77" a="1"/>
  <c r="D3" i="55" a="1"/>
  <c r="D33" i="71" a="1"/>
  <c r="L3" i="69" a="1"/>
  <c r="D26" i="49" a="1"/>
  <c r="D3" i="77" l="1"/>
  <c r="E3" i="77" s="1"/>
  <c r="F3" i="77" s="1"/>
  <c r="D3" i="76"/>
  <c r="G33" i="74"/>
  <c r="G3" i="73"/>
  <c r="D33" i="71"/>
  <c r="J34" i="71" s="1" a="1"/>
  <c r="J34" i="71" s="1"/>
  <c r="K34" i="71" s="1"/>
  <c r="L3" i="69"/>
  <c r="D3" i="55"/>
  <c r="E3" i="55" s="1"/>
  <c r="F3" i="55" s="1"/>
  <c r="L33" i="52"/>
  <c r="E33" i="52"/>
  <c r="F33" i="52" s="1"/>
  <c r="H34" i="52" a="1"/>
  <c r="H34" i="52" s="1"/>
  <c r="I34" i="52" s="1"/>
  <c r="G34" i="52" s="1"/>
  <c r="G27" i="45"/>
  <c r="D34" i="51"/>
  <c r="H27" i="46" a="1"/>
  <c r="H27" i="46" s="1"/>
  <c r="I27" i="46" s="1"/>
  <c r="J27" i="46" a="1"/>
  <c r="J27" i="46" s="1"/>
  <c r="K27" i="46" s="1"/>
  <c r="H27" i="42" a="1"/>
  <c r="H27" i="42" s="1"/>
  <c r="I27" i="42" s="1"/>
  <c r="D26" i="49"/>
  <c r="E28" i="46"/>
  <c r="F28" i="46" s="1"/>
  <c r="L28" i="42"/>
  <c r="E28" i="42"/>
  <c r="F28" i="42" s="1"/>
  <c r="L28" i="46"/>
  <c r="L3" i="77" a="1"/>
  <c r="D27" i="45" a="1"/>
  <c r="L3" i="55" a="1"/>
  <c r="D33" i="74" a="1"/>
  <c r="D34" i="52" a="1"/>
  <c r="L26" i="49" a="1"/>
  <c r="L33" i="71" a="1"/>
  <c r="D3" i="73" a="1"/>
  <c r="L34" i="51" a="1"/>
  <c r="L3" i="76" a="1"/>
  <c r="L3" i="77" l="1"/>
  <c r="L3" i="76"/>
  <c r="E3" i="76"/>
  <c r="F3" i="76" s="1"/>
  <c r="D33" i="74"/>
  <c r="J34" i="74" s="1" a="1"/>
  <c r="J34" i="74" s="1"/>
  <c r="K34" i="74" s="1"/>
  <c r="D3" i="73"/>
  <c r="E3" i="73" s="1"/>
  <c r="F3" i="73" s="1"/>
  <c r="H34" i="71" a="1"/>
  <c r="H34" i="71" s="1"/>
  <c r="I34" i="71" s="1"/>
  <c r="G34" i="71" s="1"/>
  <c r="L33" i="71"/>
  <c r="E33" i="71"/>
  <c r="F33" i="71" s="1"/>
  <c r="L3" i="55"/>
  <c r="D34" i="52"/>
  <c r="D27" i="45"/>
  <c r="E27" i="45" s="1"/>
  <c r="F27" i="45" s="1"/>
  <c r="L34" i="51"/>
  <c r="E34" i="51"/>
  <c r="F34" i="51" s="1"/>
  <c r="G27" i="42"/>
  <c r="G27" i="46"/>
  <c r="H25" i="49" a="1"/>
  <c r="H25" i="49" s="1"/>
  <c r="I25" i="49" s="1"/>
  <c r="J25" i="49" a="1"/>
  <c r="J25" i="49" s="1"/>
  <c r="K25" i="49" s="1"/>
  <c r="L26" i="49"/>
  <c r="E26" i="49"/>
  <c r="F26" i="49" s="1"/>
  <c r="D27" i="42" a="1"/>
  <c r="L34" i="52" a="1"/>
  <c r="L33" i="74" a="1"/>
  <c r="L3" i="73" a="1"/>
  <c r="C30" i="41" a="1"/>
  <c r="D34" i="71" a="1"/>
  <c r="L27" i="45" a="1"/>
  <c r="D27" i="46" a="1"/>
  <c r="L33" i="74" l="1"/>
  <c r="E33" i="74"/>
  <c r="F33" i="74" s="1"/>
  <c r="H34" i="74" a="1"/>
  <c r="H34" i="74" s="1"/>
  <c r="I34" i="74" s="1"/>
  <c r="G34" i="74" s="1"/>
  <c r="L3" i="73"/>
  <c r="D34" i="71"/>
  <c r="E34" i="71" s="1"/>
  <c r="F34" i="71" s="1"/>
  <c r="H26" i="45" a="1"/>
  <c r="H26" i="45" s="1"/>
  <c r="I26" i="45" s="1"/>
  <c r="L34" i="52"/>
  <c r="E34" i="52"/>
  <c r="F34" i="52" s="1"/>
  <c r="L27" i="45"/>
  <c r="J26" i="45" a="1"/>
  <c r="J26" i="45" s="1"/>
  <c r="K26" i="45" s="1"/>
  <c r="D27" i="42"/>
  <c r="G25" i="49"/>
  <c r="D27" i="46"/>
  <c r="C30" i="41"/>
  <c r="L27" i="46" a="1"/>
  <c r="D25" i="49" a="1"/>
  <c r="L34" i="71" a="1"/>
  <c r="L27" i="42" a="1"/>
  <c r="D34" i="74" a="1"/>
  <c r="D34" i="74" l="1"/>
  <c r="E34" i="74" s="1"/>
  <c r="F34" i="74" s="1"/>
  <c r="L34" i="71"/>
  <c r="G26" i="45"/>
  <c r="E27" i="42"/>
  <c r="F27" i="42" s="1"/>
  <c r="J26" i="42" a="1"/>
  <c r="J26" i="42" s="1"/>
  <c r="K26" i="42" s="1"/>
  <c r="H26" i="46" a="1"/>
  <c r="H26" i="46" s="1"/>
  <c r="I26" i="46" s="1"/>
  <c r="J26" i="46" a="1"/>
  <c r="J26" i="46" s="1"/>
  <c r="K26" i="46" s="1"/>
  <c r="L27" i="42"/>
  <c r="H26" i="42" a="1"/>
  <c r="H26" i="42" s="1"/>
  <c r="D25" i="49"/>
  <c r="J24" i="49" s="1" a="1"/>
  <c r="J24" i="49" s="1"/>
  <c r="K24" i="49" s="1"/>
  <c r="L27" i="46"/>
  <c r="E27" i="46"/>
  <c r="F27" i="46" s="1"/>
  <c r="L25" i="49" a="1"/>
  <c r="L34" i="74" a="1"/>
  <c r="D26" i="45" a="1"/>
  <c r="L34" i="74" l="1"/>
  <c r="D26" i="45"/>
  <c r="J25" i="45" s="1" a="1"/>
  <c r="J25" i="45" s="1"/>
  <c r="K25" i="45" s="1"/>
  <c r="I26" i="42"/>
  <c r="G26" i="42" s="1"/>
  <c r="G26" i="46"/>
  <c r="H24" i="49" a="1"/>
  <c r="H24" i="49" s="1"/>
  <c r="L25" i="49"/>
  <c r="E25" i="49"/>
  <c r="F25" i="49" s="1"/>
  <c r="G28" i="41" a="1"/>
  <c r="D26" i="42" a="1"/>
  <c r="L26" i="45" a="1"/>
  <c r="D26" i="46" a="1"/>
  <c r="H25" i="45" l="1" a="1"/>
  <c r="H25" i="45" s="1"/>
  <c r="I25" i="45" s="1"/>
  <c r="G25" i="45" s="1"/>
  <c r="L26" i="45"/>
  <c r="E26" i="45"/>
  <c r="F26" i="45" s="1"/>
  <c r="D26" i="42"/>
  <c r="I24" i="49"/>
  <c r="G24" i="49" s="1"/>
  <c r="D26" i="46"/>
  <c r="G28" i="41"/>
  <c r="D24" i="49" a="1"/>
  <c r="L26" i="46" a="1"/>
  <c r="L26" i="42" a="1"/>
  <c r="D25" i="45" a="1"/>
  <c r="E26" i="42" l="1"/>
  <c r="F26" i="42" s="1"/>
  <c r="J25" i="42" a="1"/>
  <c r="J25" i="42" s="1"/>
  <c r="K25" i="42" s="1"/>
  <c r="H25" i="46" a="1"/>
  <c r="H25" i="46" s="1"/>
  <c r="I25" i="46" s="1"/>
  <c r="J25" i="46" a="1"/>
  <c r="J25" i="46" s="1"/>
  <c r="K25" i="46" s="1"/>
  <c r="L26" i="42"/>
  <c r="H25" i="42" a="1"/>
  <c r="H25" i="42" s="1"/>
  <c r="I25" i="42" s="1"/>
  <c r="D25" i="45"/>
  <c r="D24" i="49"/>
  <c r="J23" i="49" s="1" a="1"/>
  <c r="J23" i="49" s="1"/>
  <c r="K23" i="49" s="1"/>
  <c r="L26" i="46"/>
  <c r="E26" i="46"/>
  <c r="F26" i="46" s="1"/>
  <c r="L24" i="49" a="1"/>
  <c r="L25" i="45" a="1"/>
  <c r="G25" i="42" l="1"/>
  <c r="E25" i="45"/>
  <c r="F25" i="45" s="1"/>
  <c r="J24" i="45" a="1"/>
  <c r="J24" i="45" s="1"/>
  <c r="K24" i="45" s="1"/>
  <c r="H24" i="45" a="1"/>
  <c r="H24" i="45" s="1"/>
  <c r="I24" i="45" s="1"/>
  <c r="L25" i="45"/>
  <c r="G25" i="46"/>
  <c r="E24" i="49"/>
  <c r="F24" i="49" s="1"/>
  <c r="H23" i="49" a="1"/>
  <c r="H23" i="49" s="1"/>
  <c r="I23" i="49" s="1"/>
  <c r="G23" i="49" s="1"/>
  <c r="L24" i="49"/>
  <c r="D23" i="49" a="1"/>
  <c r="D25" i="42" a="1"/>
  <c r="D25" i="46" a="1"/>
  <c r="C28" i="41" a="1"/>
  <c r="D25" i="42" l="1"/>
  <c r="E25" i="42" s="1"/>
  <c r="F25" i="42" s="1"/>
  <c r="G24" i="45"/>
  <c r="D23" i="49"/>
  <c r="J22" i="49" s="1" a="1"/>
  <c r="J22" i="49" s="1"/>
  <c r="K22" i="49" s="1"/>
  <c r="C28" i="41"/>
  <c r="D25" i="46"/>
  <c r="L25" i="42" a="1"/>
  <c r="D24" i="45" a="1"/>
  <c r="L25" i="46" a="1"/>
  <c r="L23" i="49" a="1"/>
  <c r="H24" i="42" l="1" a="1"/>
  <c r="H24" i="42" s="1"/>
  <c r="I24" i="42" s="1"/>
  <c r="L25" i="42"/>
  <c r="J24" i="42" a="1"/>
  <c r="J24" i="42" s="1"/>
  <c r="D24" i="45"/>
  <c r="H24" i="46" a="1"/>
  <c r="H24" i="46" s="1"/>
  <c r="I24" i="46" s="1"/>
  <c r="J24" i="46" a="1"/>
  <c r="J24" i="46" s="1"/>
  <c r="K24" i="46" s="1"/>
  <c r="H22" i="49" a="1"/>
  <c r="H22" i="49" s="1"/>
  <c r="I22" i="49" s="1"/>
  <c r="G22" i="49" s="1"/>
  <c r="E23" i="49"/>
  <c r="F23" i="49" s="1"/>
  <c r="L23" i="49"/>
  <c r="L25" i="46"/>
  <c r="E25" i="46"/>
  <c r="F25" i="46" s="1"/>
  <c r="L24" i="45" a="1"/>
  <c r="D22" i="49" a="1"/>
  <c r="K24" i="42" l="1"/>
  <c r="G24" i="42" s="1"/>
  <c r="E24" i="45"/>
  <c r="F24" i="45" s="1"/>
  <c r="J23" i="45" a="1"/>
  <c r="J23" i="45" s="1"/>
  <c r="K23" i="45" s="1"/>
  <c r="L24" i="45"/>
  <c r="H23" i="45" a="1"/>
  <c r="H23" i="45" s="1"/>
  <c r="I23" i="45" s="1"/>
  <c r="G24" i="46"/>
  <c r="D22" i="49"/>
  <c r="J21" i="49" s="1" a="1"/>
  <c r="J21" i="49" s="1"/>
  <c r="K21" i="49" s="1"/>
  <c r="D24" i="46" a="1"/>
  <c r="L22" i="49" a="1"/>
  <c r="D24" i="42" a="1"/>
  <c r="G26" i="41" a="1"/>
  <c r="D24" i="42" l="1"/>
  <c r="E24" i="42" s="1"/>
  <c r="F24" i="42" s="1"/>
  <c r="G23" i="45"/>
  <c r="H21" i="49" a="1"/>
  <c r="H21" i="49" s="1"/>
  <c r="I21" i="49" s="1"/>
  <c r="G21" i="49" s="1"/>
  <c r="E22" i="49"/>
  <c r="F22" i="49" s="1"/>
  <c r="L22" i="49"/>
  <c r="G26" i="41"/>
  <c r="D24" i="46"/>
  <c r="D21" i="49" a="1"/>
  <c r="L24" i="46" a="1"/>
  <c r="D23" i="45" a="1"/>
  <c r="L24" i="42" a="1"/>
  <c r="H23" i="42" l="1" a="1"/>
  <c r="H23" i="42" s="1"/>
  <c r="I23" i="42" s="1"/>
  <c r="J23" i="42" a="1"/>
  <c r="J23" i="42" s="1"/>
  <c r="K23" i="42" s="1"/>
  <c r="L24" i="42"/>
  <c r="D23" i="45"/>
  <c r="J22" i="45" s="1" a="1"/>
  <c r="J22" i="45" s="1"/>
  <c r="K22" i="45" s="1"/>
  <c r="H23" i="46" a="1"/>
  <c r="H23" i="46" s="1"/>
  <c r="I23" i="46" s="1"/>
  <c r="J23" i="46" a="1"/>
  <c r="J23" i="46" s="1"/>
  <c r="K23" i="46" s="1"/>
  <c r="D21" i="49"/>
  <c r="J20" i="49" s="1" a="1"/>
  <c r="J20" i="49" s="1"/>
  <c r="K20" i="49" s="1"/>
  <c r="L24" i="46"/>
  <c r="E24" i="46"/>
  <c r="F24" i="46" s="1"/>
  <c r="L21" i="49" a="1"/>
  <c r="L23" i="45" a="1"/>
  <c r="G23" i="42" l="1"/>
  <c r="L23" i="45"/>
  <c r="H22" i="45" a="1"/>
  <c r="H22" i="45" s="1"/>
  <c r="I22" i="45" s="1"/>
  <c r="E23" i="45"/>
  <c r="F23" i="45" s="1"/>
  <c r="G23" i="46"/>
  <c r="H20" i="49" a="1"/>
  <c r="H20" i="49" s="1"/>
  <c r="L21" i="49"/>
  <c r="E21" i="49"/>
  <c r="F21" i="49" s="1"/>
  <c r="D23" i="42" a="1"/>
  <c r="D23" i="46" a="1"/>
  <c r="C26" i="41" a="1"/>
  <c r="D23" i="42" l="1"/>
  <c r="E23" i="42" s="1"/>
  <c r="F23" i="42" s="1"/>
  <c r="G22" i="45"/>
  <c r="I20" i="49"/>
  <c r="G20" i="49" s="1"/>
  <c r="C26" i="41"/>
  <c r="D23" i="46"/>
  <c r="L23" i="42" a="1"/>
  <c r="D20" i="49" a="1"/>
  <c r="D22" i="45" a="1"/>
  <c r="L23" i="46" a="1"/>
  <c r="J22" i="42" l="1" a="1"/>
  <c r="J22" i="42" s="1"/>
  <c r="K22" i="42" s="1"/>
  <c r="H22" i="42" a="1"/>
  <c r="H22" i="42" s="1"/>
  <c r="I22" i="42" s="1"/>
  <c r="L23" i="42"/>
  <c r="D22" i="45"/>
  <c r="J21" i="45" s="1" a="1"/>
  <c r="J21" i="45" s="1"/>
  <c r="K21" i="45" s="1"/>
  <c r="H22" i="46" a="1"/>
  <c r="H22" i="46" s="1"/>
  <c r="I22" i="46" s="1"/>
  <c r="J22" i="46" a="1"/>
  <c r="J22" i="46" s="1"/>
  <c r="K22" i="46" s="1"/>
  <c r="D20" i="49"/>
  <c r="J19" i="49" s="1" a="1"/>
  <c r="J19" i="49" s="1"/>
  <c r="K19" i="49" s="1"/>
  <c r="L23" i="46"/>
  <c r="E23" i="46"/>
  <c r="F23" i="46" s="1"/>
  <c r="L20" i="49" a="1"/>
  <c r="L22" i="45" a="1"/>
  <c r="G22" i="42" l="1"/>
  <c r="H21" i="45" a="1"/>
  <c r="H21" i="45" s="1"/>
  <c r="I21" i="45" s="1"/>
  <c r="G21" i="45" s="1"/>
  <c r="E22" i="45"/>
  <c r="F22" i="45" s="1"/>
  <c r="L22" i="45"/>
  <c r="G22" i="46"/>
  <c r="L20" i="49"/>
  <c r="H19" i="49" a="1"/>
  <c r="H19" i="49" s="1"/>
  <c r="I19" i="49" s="1"/>
  <c r="G19" i="49" s="1"/>
  <c r="E20" i="49"/>
  <c r="F20" i="49" s="1"/>
  <c r="D19" i="49" a="1"/>
  <c r="D22" i="42" a="1"/>
  <c r="D22" i="46" a="1"/>
  <c r="D21" i="45" a="1"/>
  <c r="G24" i="41" a="1"/>
  <c r="D22" i="42" l="1"/>
  <c r="J21" i="42" s="1" a="1"/>
  <c r="J21" i="42" s="1"/>
  <c r="D21" i="45"/>
  <c r="J20" i="45" s="1" a="1"/>
  <c r="J20" i="45" s="1"/>
  <c r="K20" i="45" s="1"/>
  <c r="D19" i="49"/>
  <c r="G24" i="41"/>
  <c r="D22" i="46"/>
  <c r="L22" i="42" a="1"/>
  <c r="L21" i="45" a="1"/>
  <c r="L22" i="46" a="1"/>
  <c r="L19" i="49" a="1"/>
  <c r="E22" i="42" l="1"/>
  <c r="F22" i="42" s="1"/>
  <c r="L22" i="42"/>
  <c r="H21" i="42" a="1"/>
  <c r="H21" i="42" s="1"/>
  <c r="I21" i="42" s="1"/>
  <c r="K21" i="42"/>
  <c r="L21" i="45"/>
  <c r="E21" i="45"/>
  <c r="F21" i="45" s="1"/>
  <c r="H20" i="45" a="1"/>
  <c r="H20" i="45" s="1"/>
  <c r="I20" i="45" s="1"/>
  <c r="H21" i="46" a="1"/>
  <c r="H21" i="46" s="1"/>
  <c r="I21" i="46" s="1"/>
  <c r="J21" i="46" a="1"/>
  <c r="J21" i="46" s="1"/>
  <c r="K21" i="46" s="1"/>
  <c r="H18" i="49" a="1"/>
  <c r="H18" i="49" s="1"/>
  <c r="I18" i="49" s="1"/>
  <c r="J18" i="49" a="1"/>
  <c r="J18" i="49" s="1"/>
  <c r="K18" i="49" s="1"/>
  <c r="L19" i="49"/>
  <c r="E19" i="49"/>
  <c r="F19" i="49" s="1"/>
  <c r="L22" i="46"/>
  <c r="E22" i="46"/>
  <c r="F22" i="46" s="1"/>
  <c r="G21" i="42" l="1"/>
  <c r="G20" i="45"/>
  <c r="G21" i="46"/>
  <c r="G18" i="49"/>
  <c r="D21" i="42" a="1"/>
  <c r="D18" i="49" a="1"/>
  <c r="D21" i="46" a="1"/>
  <c r="C24" i="41" a="1"/>
  <c r="D20" i="45" a="1"/>
  <c r="D21" i="42" l="1"/>
  <c r="H20" i="42" s="1" a="1"/>
  <c r="H20" i="42" s="1"/>
  <c r="I20" i="42" s="1"/>
  <c r="D20" i="45"/>
  <c r="J19" i="45" s="1" a="1"/>
  <c r="J19" i="45" s="1"/>
  <c r="K19" i="45" s="1"/>
  <c r="D18" i="49"/>
  <c r="J17" i="49" s="1" a="1"/>
  <c r="J17" i="49" s="1"/>
  <c r="K17" i="49" s="1"/>
  <c r="C24" i="41"/>
  <c r="D21" i="46"/>
  <c r="L20" i="45" a="1"/>
  <c r="L18" i="49" a="1"/>
  <c r="L21" i="42" a="1"/>
  <c r="L21" i="46" a="1"/>
  <c r="L21" i="42" l="1"/>
  <c r="J20" i="42" a="1"/>
  <c r="J20" i="42" s="1"/>
  <c r="K20" i="42" s="1"/>
  <c r="G20" i="42" s="1"/>
  <c r="E21" i="42"/>
  <c r="F21" i="42" s="1"/>
  <c r="H19" i="45" a="1"/>
  <c r="H19" i="45" s="1"/>
  <c r="I19" i="45" s="1"/>
  <c r="G19" i="45" s="1"/>
  <c r="E20" i="45"/>
  <c r="F20" i="45" s="1"/>
  <c r="L20" i="45"/>
  <c r="H20" i="46" a="1"/>
  <c r="H20" i="46" s="1"/>
  <c r="I20" i="46" s="1"/>
  <c r="J20" i="46" a="1"/>
  <c r="J20" i="46" s="1"/>
  <c r="K20" i="46" s="1"/>
  <c r="E18" i="49"/>
  <c r="F18" i="49" s="1"/>
  <c r="H17" i="49" a="1"/>
  <c r="H17" i="49" s="1"/>
  <c r="I17" i="49" s="1"/>
  <c r="L18" i="49"/>
  <c r="L21" i="46"/>
  <c r="E21" i="46"/>
  <c r="F21" i="46" s="1"/>
  <c r="D20" i="42" a="1"/>
  <c r="D19" i="45" a="1"/>
  <c r="D20" i="42" l="1"/>
  <c r="H19" i="42" s="1" a="1"/>
  <c r="H19" i="42" s="1"/>
  <c r="I19" i="42" s="1"/>
  <c r="D19" i="45"/>
  <c r="J18" i="45" s="1" a="1"/>
  <c r="J18" i="45" s="1"/>
  <c r="K18" i="45" s="1"/>
  <c r="G20" i="46"/>
  <c r="G17" i="49"/>
  <c r="L19" i="45" a="1"/>
  <c r="L20" i="42" a="1"/>
  <c r="D20" i="46" a="1"/>
  <c r="D17" i="49" a="1"/>
  <c r="G22" i="41" a="1"/>
  <c r="J19" i="42" l="1" a="1"/>
  <c r="J19" i="42" s="1"/>
  <c r="K19" i="42" s="1"/>
  <c r="G19" i="42" s="1"/>
  <c r="L20" i="42"/>
  <c r="E20" i="42"/>
  <c r="F20" i="42" s="1"/>
  <c r="L19" i="45"/>
  <c r="H18" i="45" a="1"/>
  <c r="H18" i="45" s="1"/>
  <c r="I18" i="45" s="1"/>
  <c r="G18" i="45" s="1"/>
  <c r="E19" i="45"/>
  <c r="F19" i="45" s="1"/>
  <c r="D17" i="49"/>
  <c r="G22" i="41"/>
  <c r="D20" i="46"/>
  <c r="D19" i="42" a="1"/>
  <c r="L20" i="46" a="1"/>
  <c r="L17" i="49" a="1"/>
  <c r="D18" i="45" a="1"/>
  <c r="D19" i="42" l="1"/>
  <c r="E19" i="42" s="1"/>
  <c r="F19" i="42" s="1"/>
  <c r="D18" i="45"/>
  <c r="J17" i="45" s="1" a="1"/>
  <c r="J17" i="45" s="1"/>
  <c r="K17" i="45" s="1"/>
  <c r="H19" i="46" a="1"/>
  <c r="H19" i="46" s="1"/>
  <c r="I19" i="46" s="1"/>
  <c r="J19" i="46" a="1"/>
  <c r="J19" i="46" s="1"/>
  <c r="K19" i="46" s="1"/>
  <c r="H16" i="49" a="1"/>
  <c r="H16" i="49" s="1"/>
  <c r="I16" i="49" s="1"/>
  <c r="J16" i="49" a="1"/>
  <c r="J16" i="49" s="1"/>
  <c r="K16" i="49" s="1"/>
  <c r="L17" i="49"/>
  <c r="E17" i="49"/>
  <c r="F17" i="49" s="1"/>
  <c r="L20" i="46"/>
  <c r="E20" i="46"/>
  <c r="F20" i="46" s="1"/>
  <c r="L19" i="42" a="1"/>
  <c r="L18" i="45" a="1"/>
  <c r="L19" i="42" l="1"/>
  <c r="J18" i="42" a="1"/>
  <c r="J18" i="42" s="1"/>
  <c r="K18" i="42" s="1"/>
  <c r="H18" i="42" a="1"/>
  <c r="H18" i="42" s="1"/>
  <c r="I18" i="42" s="1"/>
  <c r="L18" i="45"/>
  <c r="E18" i="45"/>
  <c r="F18" i="45" s="1"/>
  <c r="H17" i="45" a="1"/>
  <c r="H17" i="45" s="1"/>
  <c r="I17" i="45" s="1"/>
  <c r="G19" i="46"/>
  <c r="G16" i="49"/>
  <c r="C22" i="41" a="1"/>
  <c r="D19" i="46" a="1"/>
  <c r="D16" i="49" a="1"/>
  <c r="G18" i="42" l="1"/>
  <c r="G17" i="45"/>
  <c r="D16" i="49"/>
  <c r="J15" i="49" s="1" a="1"/>
  <c r="J15" i="49" s="1"/>
  <c r="K15" i="49" s="1"/>
  <c r="C22" i="41"/>
  <c r="D19" i="46"/>
  <c r="L16" i="49" a="1"/>
  <c r="D18" i="42" a="1"/>
  <c r="D17" i="45" a="1"/>
  <c r="L19" i="46" a="1"/>
  <c r="D18" i="42" l="1"/>
  <c r="D17" i="45"/>
  <c r="J16" i="45" s="1" a="1"/>
  <c r="J16" i="45" s="1"/>
  <c r="K16" i="45" s="1"/>
  <c r="H18" i="46" a="1"/>
  <c r="H18" i="46" s="1"/>
  <c r="I18" i="46" s="1"/>
  <c r="J18" i="46" a="1"/>
  <c r="J18" i="46" s="1"/>
  <c r="K18" i="46" s="1"/>
  <c r="E16" i="49"/>
  <c r="F16" i="49" s="1"/>
  <c r="H15" i="49" a="1"/>
  <c r="H15" i="49" s="1"/>
  <c r="L16" i="49"/>
  <c r="L19" i="46"/>
  <c r="E19" i="46"/>
  <c r="F19" i="46" s="1"/>
  <c r="L17" i="45" a="1"/>
  <c r="L18" i="42" a="1"/>
  <c r="L18" i="42" l="1"/>
  <c r="H17" i="42" a="1"/>
  <c r="H17" i="42" s="1"/>
  <c r="I17" i="42" s="1"/>
  <c r="E18" i="42"/>
  <c r="F18" i="42" s="1"/>
  <c r="J17" i="42" a="1"/>
  <c r="J17" i="42" s="1"/>
  <c r="K17" i="42" s="1"/>
  <c r="L17" i="45"/>
  <c r="H16" i="45" a="1"/>
  <c r="H16" i="45" s="1"/>
  <c r="I16" i="45" s="1"/>
  <c r="E17" i="45"/>
  <c r="F17" i="45" s="1"/>
  <c r="G18" i="46"/>
  <c r="I15" i="49"/>
  <c r="G15" i="49" s="1"/>
  <c r="D15" i="49" a="1"/>
  <c r="D18" i="46" a="1"/>
  <c r="G20" i="41" a="1"/>
  <c r="G17" i="42" l="1"/>
  <c r="G16" i="45"/>
  <c r="D15" i="49"/>
  <c r="J14" i="49" s="1" a="1"/>
  <c r="J14" i="49" s="1"/>
  <c r="K14" i="49" s="1"/>
  <c r="G20" i="41"/>
  <c r="D18" i="46"/>
  <c r="D16" i="45" a="1"/>
  <c r="L15" i="49" a="1"/>
  <c r="D17" i="42" a="1"/>
  <c r="L18" i="46" a="1"/>
  <c r="D17" i="42" l="1"/>
  <c r="H16" i="42" s="1" a="1"/>
  <c r="H16" i="42" s="1"/>
  <c r="I16" i="42" s="1"/>
  <c r="D16" i="45"/>
  <c r="H17" i="46" a="1"/>
  <c r="H17" i="46" s="1"/>
  <c r="I17" i="46" s="1"/>
  <c r="J17" i="46" a="1"/>
  <c r="J17" i="46" s="1"/>
  <c r="K17" i="46" s="1"/>
  <c r="E15" i="49"/>
  <c r="F15" i="49" s="1"/>
  <c r="H14" i="49" a="1"/>
  <c r="H14" i="49" s="1"/>
  <c r="L15" i="49"/>
  <c r="L18" i="46"/>
  <c r="E18" i="46"/>
  <c r="F18" i="46" s="1"/>
  <c r="L16" i="45" a="1"/>
  <c r="L17" i="42" a="1"/>
  <c r="E17" i="42" l="1"/>
  <c r="F17" i="42" s="1"/>
  <c r="L17" i="42"/>
  <c r="J16" i="42" a="1"/>
  <c r="J16" i="42" s="1"/>
  <c r="K16" i="42" s="1"/>
  <c r="G16" i="42" s="1"/>
  <c r="E16" i="45"/>
  <c r="F16" i="45" s="1"/>
  <c r="J15" i="45" a="1"/>
  <c r="J15" i="45" s="1"/>
  <c r="K15" i="45" s="1"/>
  <c r="L16" i="45"/>
  <c r="H15" i="45" a="1"/>
  <c r="H15" i="45" s="1"/>
  <c r="I15" i="45" s="1"/>
  <c r="G17" i="46"/>
  <c r="I14" i="49"/>
  <c r="G14" i="49" s="1"/>
  <c r="D14" i="49" a="1"/>
  <c r="D17" i="46" a="1"/>
  <c r="D16" i="42" a="1"/>
  <c r="C20" i="41" a="1"/>
  <c r="D16" i="42" l="1"/>
  <c r="J15" i="42" s="1" a="1"/>
  <c r="J15" i="42" s="1"/>
  <c r="K15" i="42" s="1"/>
  <c r="G15" i="45"/>
  <c r="D14" i="49"/>
  <c r="J13" i="49" s="1" a="1"/>
  <c r="J13" i="49" s="1"/>
  <c r="K13" i="49" s="1"/>
  <c r="C20" i="41"/>
  <c r="D17" i="46"/>
  <c r="L17" i="46" a="1"/>
  <c r="L16" i="42" a="1"/>
  <c r="D15" i="45" a="1"/>
  <c r="L14" i="49" a="1"/>
  <c r="H15" i="42" l="1" a="1"/>
  <c r="H15" i="42" s="1"/>
  <c r="I15" i="42" s="1"/>
  <c r="G15" i="42" s="1"/>
  <c r="L16" i="42"/>
  <c r="E16" i="42"/>
  <c r="F16" i="42" s="1"/>
  <c r="D15" i="45"/>
  <c r="E15" i="45" s="1"/>
  <c r="F15" i="45" s="1"/>
  <c r="H16" i="46" a="1"/>
  <c r="H16" i="46" s="1"/>
  <c r="I16" i="46" s="1"/>
  <c r="J16" i="46" a="1"/>
  <c r="J16" i="46" s="1"/>
  <c r="K16" i="46" s="1"/>
  <c r="E14" i="49"/>
  <c r="F14" i="49" s="1"/>
  <c r="L14" i="49"/>
  <c r="H13" i="49" a="1"/>
  <c r="H13" i="49" s="1"/>
  <c r="L17" i="46"/>
  <c r="E17" i="46"/>
  <c r="F17" i="46" s="1"/>
  <c r="L15" i="45" a="1"/>
  <c r="D15" i="42" a="1"/>
  <c r="J14" i="45" l="1" a="1"/>
  <c r="J14" i="45" s="1"/>
  <c r="K14" i="45" s="1"/>
  <c r="D15" i="42"/>
  <c r="J14" i="42" s="1" a="1"/>
  <c r="J14" i="42" s="1"/>
  <c r="K14" i="42" s="1"/>
  <c r="H14" i="45" a="1"/>
  <c r="H14" i="45" s="1"/>
  <c r="I14" i="45" s="1"/>
  <c r="L15" i="45"/>
  <c r="G16" i="46"/>
  <c r="I13" i="49"/>
  <c r="G13" i="49" s="1"/>
  <c r="G18" i="41" a="1"/>
  <c r="D16" i="46" a="1"/>
  <c r="L15" i="42" a="1"/>
  <c r="D13" i="49" a="1"/>
  <c r="G14" i="45" l="1"/>
  <c r="H14" i="42" a="1"/>
  <c r="H14" i="42" s="1"/>
  <c r="I14" i="42" s="1"/>
  <c r="G14" i="42" s="1"/>
  <c r="L15" i="42"/>
  <c r="E15" i="42"/>
  <c r="F15" i="42" s="1"/>
  <c r="D13" i="49"/>
  <c r="J12" i="49" s="1" a="1"/>
  <c r="J12" i="49" s="1"/>
  <c r="K12" i="49" s="1"/>
  <c r="G18" i="41"/>
  <c r="D16" i="46"/>
  <c r="L13" i="49" a="1"/>
  <c r="D14" i="42" a="1"/>
  <c r="L16" i="46" a="1"/>
  <c r="D14" i="45" a="1"/>
  <c r="D14" i="45" l="1"/>
  <c r="J13" i="45" s="1" a="1"/>
  <c r="J13" i="45" s="1"/>
  <c r="K13" i="45" s="1"/>
  <c r="D14" i="42"/>
  <c r="H15" i="46" a="1"/>
  <c r="H15" i="46" s="1"/>
  <c r="I15" i="46" s="1"/>
  <c r="J15" i="46" a="1"/>
  <c r="J15" i="46" s="1"/>
  <c r="K15" i="46" s="1"/>
  <c r="L13" i="49"/>
  <c r="H12" i="49" a="1"/>
  <c r="H12" i="49" s="1"/>
  <c r="I12" i="49" s="1"/>
  <c r="E13" i="49"/>
  <c r="F13" i="49" s="1"/>
  <c r="L16" i="46"/>
  <c r="E16" i="46"/>
  <c r="F16" i="46" s="1"/>
  <c r="L14" i="45" a="1"/>
  <c r="L14" i="42" a="1"/>
  <c r="H13" i="45" l="1" a="1"/>
  <c r="H13" i="45" s="1"/>
  <c r="I13" i="45" s="1"/>
  <c r="G13" i="45" s="1"/>
  <c r="L14" i="45"/>
  <c r="E14" i="45"/>
  <c r="F14" i="45" s="1"/>
  <c r="L14" i="42"/>
  <c r="E14" i="42"/>
  <c r="F14" i="42" s="1"/>
  <c r="H13" i="42" a="1"/>
  <c r="H13" i="42" s="1"/>
  <c r="I13" i="42" s="1"/>
  <c r="J13" i="42" a="1"/>
  <c r="J13" i="42" s="1"/>
  <c r="K13" i="42" s="1"/>
  <c r="G15" i="46"/>
  <c r="G12" i="49"/>
  <c r="D13" i="45" a="1"/>
  <c r="D12" i="49" a="1"/>
  <c r="C18" i="41" a="1"/>
  <c r="D15" i="46" a="1"/>
  <c r="G13" i="42" l="1"/>
  <c r="D13" i="45"/>
  <c r="D12" i="49"/>
  <c r="J11" i="49" s="1" a="1"/>
  <c r="J11" i="49" s="1"/>
  <c r="K11" i="49" s="1"/>
  <c r="C18" i="41"/>
  <c r="D15" i="46"/>
  <c r="L12" i="49" a="1"/>
  <c r="L15" i="46" a="1"/>
  <c r="D13" i="42" a="1"/>
  <c r="L13" i="45" a="1"/>
  <c r="D13" i="42" l="1"/>
  <c r="L13" i="45"/>
  <c r="H12" i="45" a="1"/>
  <c r="H12" i="45" s="1"/>
  <c r="I12" i="45" s="1"/>
  <c r="E13" i="45"/>
  <c r="F13" i="45" s="1"/>
  <c r="J12" i="45" a="1"/>
  <c r="J12" i="45" s="1"/>
  <c r="H14" i="46" a="1"/>
  <c r="H14" i="46" s="1"/>
  <c r="I14" i="46" s="1"/>
  <c r="J14" i="46" a="1"/>
  <c r="J14" i="46" s="1"/>
  <c r="K14" i="46" s="1"/>
  <c r="L12" i="49"/>
  <c r="H11" i="49" a="1"/>
  <c r="H11" i="49" s="1"/>
  <c r="E12" i="49"/>
  <c r="F12" i="49" s="1"/>
  <c r="L15" i="46"/>
  <c r="E15" i="46"/>
  <c r="F15" i="46" s="1"/>
  <c r="L13" i="42" a="1"/>
  <c r="L13" i="42" l="1"/>
  <c r="J12" i="42" a="1"/>
  <c r="J12" i="42" s="1"/>
  <c r="K12" i="42" s="1"/>
  <c r="H12" i="42" a="1"/>
  <c r="H12" i="42" s="1"/>
  <c r="I12" i="42" s="1"/>
  <c r="E13" i="42"/>
  <c r="F13" i="42" s="1"/>
  <c r="K12" i="45"/>
  <c r="G12" i="45" s="1"/>
  <c r="G14" i="46"/>
  <c r="I11" i="49"/>
  <c r="G11" i="49" s="1"/>
  <c r="D14" i="46" a="1"/>
  <c r="D11" i="49" a="1"/>
  <c r="D12" i="45" a="1"/>
  <c r="G16" i="41" a="1"/>
  <c r="G12" i="42" l="1"/>
  <c r="D12" i="45"/>
  <c r="D11" i="49"/>
  <c r="J10" i="49" s="1" a="1"/>
  <c r="J10" i="49" s="1"/>
  <c r="K10" i="49" s="1"/>
  <c r="G16" i="41"/>
  <c r="D14" i="46"/>
  <c r="L14" i="46" a="1"/>
  <c r="L12" i="45" a="1"/>
  <c r="D12" i="42" a="1"/>
  <c r="L11" i="49" a="1"/>
  <c r="D12" i="42" l="1"/>
  <c r="L12" i="45"/>
  <c r="H11" i="45" a="1"/>
  <c r="H11" i="45" s="1"/>
  <c r="I11" i="45" s="1"/>
  <c r="J11" i="45" a="1"/>
  <c r="J11" i="45" s="1"/>
  <c r="K11" i="45" s="1"/>
  <c r="E12" i="45"/>
  <c r="F12" i="45" s="1"/>
  <c r="H13" i="46" a="1"/>
  <c r="H13" i="46" s="1"/>
  <c r="I13" i="46" s="1"/>
  <c r="J13" i="46" a="1"/>
  <c r="J13" i="46" s="1"/>
  <c r="K13" i="46" s="1"/>
  <c r="L11" i="49"/>
  <c r="H10" i="49" a="1"/>
  <c r="H10" i="49" s="1"/>
  <c r="I10" i="49" s="1"/>
  <c r="G10" i="49" s="1"/>
  <c r="E11" i="49"/>
  <c r="F11" i="49" s="1"/>
  <c r="L14" i="46"/>
  <c r="E14" i="46"/>
  <c r="F14" i="46" s="1"/>
  <c r="L12" i="42" a="1"/>
  <c r="D10" i="49" a="1"/>
  <c r="G11" i="45" l="1"/>
  <c r="L12" i="42"/>
  <c r="J11" i="42" a="1"/>
  <c r="J11" i="42" s="1"/>
  <c r="K11" i="42" s="1"/>
  <c r="H11" i="42" a="1"/>
  <c r="H11" i="42" s="1"/>
  <c r="I11" i="42" s="1"/>
  <c r="E12" i="42"/>
  <c r="F12" i="42" s="1"/>
  <c r="G13" i="46"/>
  <c r="D10" i="49"/>
  <c r="J9" i="49" s="1" a="1"/>
  <c r="J9" i="49" s="1"/>
  <c r="K9" i="49" s="1"/>
  <c r="D11" i="45" a="1"/>
  <c r="L10" i="49" a="1"/>
  <c r="D13" i="46" a="1"/>
  <c r="C16" i="41" a="1"/>
  <c r="G11" i="42" l="1"/>
  <c r="D11" i="45"/>
  <c r="J10" i="45" s="1" a="1"/>
  <c r="J10" i="45" s="1"/>
  <c r="K10" i="45" s="1"/>
  <c r="L10" i="49"/>
  <c r="E10" i="49"/>
  <c r="F10" i="49" s="1"/>
  <c r="H9" i="49" a="1"/>
  <c r="H9" i="49" s="1"/>
  <c r="C16" i="41"/>
  <c r="D13" i="46"/>
  <c r="D11" i="42" a="1"/>
  <c r="L11" i="45" a="1"/>
  <c r="L13" i="46" a="1"/>
  <c r="H10" i="45" l="1" a="1"/>
  <c r="H10" i="45" s="1"/>
  <c r="I10" i="45" s="1"/>
  <c r="G10" i="45" s="1"/>
  <c r="D11" i="42"/>
  <c r="J10" i="42" s="1" a="1"/>
  <c r="J10" i="42" s="1"/>
  <c r="K10" i="42" s="1"/>
  <c r="L11" i="45"/>
  <c r="E11" i="45"/>
  <c r="F11" i="45" s="1"/>
  <c r="H12" i="46" a="1"/>
  <c r="H12" i="46" s="1"/>
  <c r="I12" i="46" s="1"/>
  <c r="J12" i="46" a="1"/>
  <c r="J12" i="46" s="1"/>
  <c r="K12" i="46" s="1"/>
  <c r="I9" i="49"/>
  <c r="G9" i="49" s="1"/>
  <c r="L13" i="46"/>
  <c r="E13" i="46"/>
  <c r="F13" i="46" s="1"/>
  <c r="L11" i="42" a="1"/>
  <c r="D10" i="45" a="1"/>
  <c r="D9" i="49" a="1"/>
  <c r="H10" i="42" l="1" a="1"/>
  <c r="H10" i="42" s="1"/>
  <c r="I10" i="42" s="1"/>
  <c r="G10" i="42" s="1"/>
  <c r="L11" i="42"/>
  <c r="E11" i="42"/>
  <c r="F11" i="42" s="1"/>
  <c r="D10" i="45"/>
  <c r="G12" i="46"/>
  <c r="D9" i="49"/>
  <c r="J8" i="49" s="1" a="1"/>
  <c r="J8" i="49" s="1"/>
  <c r="K8" i="49" s="1"/>
  <c r="D10" i="42" a="1"/>
  <c r="G14" i="41" a="1"/>
  <c r="L9" i="49" a="1"/>
  <c r="L10" i="45" a="1"/>
  <c r="D12" i="46" a="1"/>
  <c r="D10" i="42" l="1"/>
  <c r="L10" i="45"/>
  <c r="H9" i="45" a="1"/>
  <c r="H9" i="45" s="1"/>
  <c r="I9" i="45" s="1"/>
  <c r="E10" i="45"/>
  <c r="F10" i="45" s="1"/>
  <c r="J9" i="45" a="1"/>
  <c r="J9" i="45" s="1"/>
  <c r="K9" i="45" s="1"/>
  <c r="L9" i="49"/>
  <c r="E9" i="49"/>
  <c r="F9" i="49" s="1"/>
  <c r="H8" i="49" a="1"/>
  <c r="H8" i="49" s="1"/>
  <c r="G14" i="41"/>
  <c r="D12" i="46"/>
  <c r="L12" i="46" a="1"/>
  <c r="L10" i="42" a="1"/>
  <c r="L10" i="42" l="1"/>
  <c r="H9" i="42" a="1"/>
  <c r="H9" i="42" s="1"/>
  <c r="I9" i="42" s="1"/>
  <c r="E10" i="42"/>
  <c r="F10" i="42" s="1"/>
  <c r="J9" i="42" a="1"/>
  <c r="J9" i="42" s="1"/>
  <c r="K9" i="42" s="1"/>
  <c r="G9" i="45"/>
  <c r="H11" i="46" a="1"/>
  <c r="H11" i="46" s="1"/>
  <c r="I11" i="46" s="1"/>
  <c r="J11" i="46" a="1"/>
  <c r="J11" i="46" s="1"/>
  <c r="K11" i="46" s="1"/>
  <c r="I8" i="49"/>
  <c r="G8" i="49" s="1"/>
  <c r="L12" i="46"/>
  <c r="E12" i="46"/>
  <c r="F12" i="46" s="1"/>
  <c r="D8" i="49" a="1"/>
  <c r="D9" i="45" a="1"/>
  <c r="G9" i="42" l="1"/>
  <c r="D9" i="45"/>
  <c r="J8" i="45" s="1" a="1"/>
  <c r="J8" i="45" s="1"/>
  <c r="K8" i="45" s="1"/>
  <c r="G11" i="46"/>
  <c r="D8" i="49"/>
  <c r="J7" i="49" s="1" a="1"/>
  <c r="J7" i="49" s="1"/>
  <c r="K7" i="49" s="1"/>
  <c r="D11" i="46" a="1"/>
  <c r="L8" i="49" a="1"/>
  <c r="L9" i="45" a="1"/>
  <c r="C14" i="41" a="1"/>
  <c r="D9" i="42" a="1"/>
  <c r="D9" i="42" l="1"/>
  <c r="J8" i="42" s="1" a="1"/>
  <c r="J8" i="42" s="1"/>
  <c r="K8" i="42" s="1"/>
  <c r="L9" i="45"/>
  <c r="H8" i="45" a="1"/>
  <c r="H8" i="45" s="1"/>
  <c r="I8" i="45" s="1"/>
  <c r="G8" i="45" s="1"/>
  <c r="E9" i="45"/>
  <c r="F9" i="45" s="1"/>
  <c r="L8" i="49"/>
  <c r="E8" i="49"/>
  <c r="F8" i="49" s="1"/>
  <c r="H7" i="49" a="1"/>
  <c r="H7" i="49" s="1"/>
  <c r="C14" i="41"/>
  <c r="D11" i="46"/>
  <c r="L9" i="42" a="1"/>
  <c r="L11" i="46" a="1"/>
  <c r="D8" i="45" a="1"/>
  <c r="L9" i="42" l="1"/>
  <c r="E9" i="42"/>
  <c r="F9" i="42" s="1"/>
  <c r="H8" i="42" a="1"/>
  <c r="H8" i="42" s="1"/>
  <c r="I8" i="42" s="1"/>
  <c r="G8" i="42" s="1"/>
  <c r="D8" i="45"/>
  <c r="H7" i="45" s="1" a="1"/>
  <c r="H7" i="45" s="1"/>
  <c r="I7" i="45" s="1"/>
  <c r="H10" i="46" a="1"/>
  <c r="H10" i="46" s="1"/>
  <c r="I10" i="46" s="1"/>
  <c r="J10" i="46" a="1"/>
  <c r="J10" i="46" s="1"/>
  <c r="K10" i="46" s="1"/>
  <c r="I7" i="49"/>
  <c r="G7" i="49" s="1"/>
  <c r="L11" i="46"/>
  <c r="E11" i="46"/>
  <c r="F11" i="46" s="1"/>
  <c r="D8" i="42" a="1"/>
  <c r="L8" i="45" a="1"/>
  <c r="D7" i="49" a="1"/>
  <c r="D8" i="42" l="1"/>
  <c r="E8" i="42" s="1"/>
  <c r="F8" i="42" s="1"/>
  <c r="L8" i="45"/>
  <c r="J7" i="45" a="1"/>
  <c r="J7" i="45" s="1"/>
  <c r="K7" i="45" s="1"/>
  <c r="G7" i="45" s="1"/>
  <c r="E8" i="45"/>
  <c r="F8" i="45" s="1"/>
  <c r="G10" i="46"/>
  <c r="D7" i="49"/>
  <c r="J6" i="49" s="1" a="1"/>
  <c r="J6" i="49" s="1"/>
  <c r="K6" i="49" s="1"/>
  <c r="L8" i="42" a="1"/>
  <c r="D7" i="45" a="1"/>
  <c r="L7" i="49" a="1"/>
  <c r="D10" i="46" a="1"/>
  <c r="G12" i="41" a="1"/>
  <c r="H7" i="42" l="1" a="1"/>
  <c r="H7" i="42" s="1"/>
  <c r="I7" i="42" s="1"/>
  <c r="L8" i="42"/>
  <c r="J7" i="42" a="1"/>
  <c r="J7" i="42" s="1"/>
  <c r="K7" i="42" s="1"/>
  <c r="D7" i="45"/>
  <c r="E7" i="45" s="1"/>
  <c r="F7" i="45" s="1"/>
  <c r="L7" i="49"/>
  <c r="E7" i="49"/>
  <c r="F7" i="49" s="1"/>
  <c r="H6" i="49" a="1"/>
  <c r="H6" i="49" s="1"/>
  <c r="G12" i="41"/>
  <c r="D10" i="46"/>
  <c r="L7" i="45" a="1"/>
  <c r="L10" i="46" a="1"/>
  <c r="J6" i="45" l="1" a="1"/>
  <c r="J6" i="45" s="1"/>
  <c r="K6" i="45" s="1"/>
  <c r="H6" i="45" a="1"/>
  <c r="H6" i="45" s="1"/>
  <c r="I6" i="45" s="1"/>
  <c r="G7" i="42"/>
  <c r="L7" i="45"/>
  <c r="H9" i="46" a="1"/>
  <c r="H9" i="46" s="1"/>
  <c r="I9" i="46" s="1"/>
  <c r="J9" i="46" a="1"/>
  <c r="J9" i="46" s="1"/>
  <c r="K9" i="46" s="1"/>
  <c r="I6" i="49"/>
  <c r="G6" i="49" s="1"/>
  <c r="L10" i="46"/>
  <c r="E10" i="46"/>
  <c r="F10" i="46" s="1"/>
  <c r="D6" i="49" a="1"/>
  <c r="D7" i="42" a="1"/>
  <c r="G6" i="45" l="1"/>
  <c r="D7" i="42"/>
  <c r="E7" i="42" s="1"/>
  <c r="F7" i="42" s="1"/>
  <c r="G9" i="46"/>
  <c r="D6" i="49"/>
  <c r="J5" i="49" s="1" a="1"/>
  <c r="J5" i="49" s="1"/>
  <c r="K5" i="49" s="1"/>
  <c r="L7" i="42" a="1"/>
  <c r="L6" i="49" a="1"/>
  <c r="D6" i="45" a="1"/>
  <c r="C12" i="41" a="1"/>
  <c r="D9" i="46" a="1"/>
  <c r="J6" i="42" l="1" a="1"/>
  <c r="J6" i="42" s="1"/>
  <c r="K6" i="42" s="1"/>
  <c r="H6" i="42" a="1"/>
  <c r="H6" i="42" s="1"/>
  <c r="I6" i="42" s="1"/>
  <c r="D6" i="45"/>
  <c r="H5" i="45" s="1" a="1"/>
  <c r="H5" i="45" s="1"/>
  <c r="I5" i="45" s="1"/>
  <c r="L7" i="42"/>
  <c r="L6" i="49"/>
  <c r="H5" i="49" a="1"/>
  <c r="H5" i="49" s="1"/>
  <c r="I5" i="49" s="1"/>
  <c r="E6" i="49"/>
  <c r="F6" i="49" s="1"/>
  <c r="C12" i="41"/>
  <c r="D9" i="46"/>
  <c r="L9" i="46" a="1"/>
  <c r="L6" i="45" a="1"/>
  <c r="G6" i="42" l="1"/>
  <c r="E6" i="45"/>
  <c r="F6" i="45" s="1"/>
  <c r="J5" i="45" a="1"/>
  <c r="J5" i="45" s="1"/>
  <c r="K5" i="45" s="1"/>
  <c r="G5" i="45" s="1"/>
  <c r="L6" i="45"/>
  <c r="H8" i="46" a="1"/>
  <c r="H8" i="46" s="1"/>
  <c r="I8" i="46" s="1"/>
  <c r="J8" i="46" a="1"/>
  <c r="J8" i="46" s="1"/>
  <c r="K8" i="46" s="1"/>
  <c r="G5" i="49"/>
  <c r="L9" i="46"/>
  <c r="E9" i="46"/>
  <c r="F9" i="46" s="1"/>
  <c r="D5" i="49" a="1"/>
  <c r="D6" i="42" a="1"/>
  <c r="D5" i="45" a="1"/>
  <c r="D6" i="42" l="1"/>
  <c r="H5" i="42" s="1" a="1"/>
  <c r="H5" i="42" s="1"/>
  <c r="I5" i="42" s="1"/>
  <c r="G8" i="46"/>
  <c r="D5" i="49"/>
  <c r="J4" i="49" s="1" a="1"/>
  <c r="J4" i="49" s="1"/>
  <c r="K4" i="49" s="1"/>
  <c r="D5" i="45"/>
  <c r="J4" i="45" s="1" a="1"/>
  <c r="J4" i="45" s="1"/>
  <c r="K4" i="45" s="1"/>
  <c r="G10" i="41" a="1"/>
  <c r="L5" i="49" a="1"/>
  <c r="L5" i="45" a="1"/>
  <c r="L6" i="42" a="1"/>
  <c r="D8" i="46" a="1"/>
  <c r="J5" i="42" l="1" a="1"/>
  <c r="J5" i="42" s="1"/>
  <c r="K5" i="42" s="1"/>
  <c r="G5" i="42" s="1"/>
  <c r="L6" i="42"/>
  <c r="E6" i="42"/>
  <c r="F6" i="42" s="1"/>
  <c r="E5" i="45"/>
  <c r="F5" i="45" s="1"/>
  <c r="H4" i="45" a="1"/>
  <c r="H4" i="45" s="1"/>
  <c r="L5" i="49"/>
  <c r="H4" i="49" a="1"/>
  <c r="H4" i="49" s="1"/>
  <c r="I4" i="49" s="1"/>
  <c r="E5" i="49"/>
  <c r="F5" i="49" s="1"/>
  <c r="L5" i="45"/>
  <c r="G10" i="41"/>
  <c r="D8" i="46"/>
  <c r="D5" i="42" a="1"/>
  <c r="D3" i="50" a="1"/>
  <c r="L8" i="46" a="1"/>
  <c r="D5" i="42" l="1"/>
  <c r="H7" i="46" a="1"/>
  <c r="H7" i="46" s="1"/>
  <c r="I7" i="46" s="1"/>
  <c r="J7" i="46" a="1"/>
  <c r="J7" i="46" s="1"/>
  <c r="K7" i="46" s="1"/>
  <c r="I4" i="45"/>
  <c r="G4" i="45" s="1"/>
  <c r="G4" i="49"/>
  <c r="L8" i="46"/>
  <c r="E8" i="46"/>
  <c r="F8" i="46" s="1"/>
  <c r="D3" i="50"/>
  <c r="J4" i="50" s="1" a="1"/>
  <c r="J4" i="50" s="1"/>
  <c r="K4" i="50" s="1"/>
  <c r="L5" i="42" a="1"/>
  <c r="D4" i="45" a="1"/>
  <c r="D4" i="49" a="1"/>
  <c r="L3" i="50" a="1"/>
  <c r="L5" i="42" l="1"/>
  <c r="E5" i="42"/>
  <c r="F5" i="42" s="1"/>
  <c r="H4" i="42" a="1"/>
  <c r="H4" i="42" s="1"/>
  <c r="I4" i="42" s="1"/>
  <c r="J4" i="42" a="1"/>
  <c r="J4" i="42" s="1"/>
  <c r="K4" i="42" s="1"/>
  <c r="D4" i="45"/>
  <c r="J3" i="45" s="1" a="1"/>
  <c r="J3" i="45" s="1"/>
  <c r="K3" i="45" s="1"/>
  <c r="G7" i="46"/>
  <c r="D4" i="49"/>
  <c r="J3" i="49" s="1" a="1"/>
  <c r="J3" i="49" s="1"/>
  <c r="K3" i="49" s="1"/>
  <c r="H4" i="50" a="1"/>
  <c r="H4" i="50" s="1"/>
  <c r="I4" i="50" s="1"/>
  <c r="G4" i="50" s="1"/>
  <c r="L3" i="50"/>
  <c r="E3" i="50"/>
  <c r="F3" i="50" s="1"/>
  <c r="D7" i="46" a="1"/>
  <c r="L4" i="45" a="1"/>
  <c r="L4" i="49" a="1"/>
  <c r="C10" i="41" a="1"/>
  <c r="G4" i="42" l="1"/>
  <c r="E4" i="45"/>
  <c r="F4" i="45" s="1"/>
  <c r="H3" i="45" a="1"/>
  <c r="H3" i="45" s="1"/>
  <c r="I3" i="45" s="1"/>
  <c r="L4" i="45"/>
  <c r="L4" i="49"/>
  <c r="E4" i="49"/>
  <c r="F4" i="49" s="1"/>
  <c r="H3" i="49" a="1"/>
  <c r="H3" i="49" s="1"/>
  <c r="I3" i="49" s="1"/>
  <c r="C10" i="41"/>
  <c r="D7" i="46"/>
  <c r="D4" i="50" a="1"/>
  <c r="L7" i="46" a="1"/>
  <c r="D4" i="42" a="1"/>
  <c r="D4" i="42" l="1"/>
  <c r="H6" i="46" a="1"/>
  <c r="H6" i="46" s="1"/>
  <c r="I6" i="46" s="1"/>
  <c r="J6" i="46" a="1"/>
  <c r="J6" i="46" s="1"/>
  <c r="K6" i="46" s="1"/>
  <c r="G3" i="45"/>
  <c r="G3" i="49"/>
  <c r="D4" i="50"/>
  <c r="J5" i="50" s="1" a="1"/>
  <c r="J5" i="50" s="1"/>
  <c r="K5" i="50" s="1"/>
  <c r="L7" i="46"/>
  <c r="E7" i="46"/>
  <c r="F7" i="46" s="1"/>
  <c r="D3" i="45" a="1"/>
  <c r="D3" i="49" a="1"/>
  <c r="L4" i="42" a="1"/>
  <c r="L4" i="50" a="1"/>
  <c r="L4" i="42" l="1"/>
  <c r="J3" i="42" a="1"/>
  <c r="J3" i="42" s="1"/>
  <c r="K3" i="42" s="1"/>
  <c r="E4" i="42"/>
  <c r="F4" i="42" s="1"/>
  <c r="H3" i="42" a="1"/>
  <c r="H3" i="42" s="1"/>
  <c r="I3" i="42" s="1"/>
  <c r="D3" i="45"/>
  <c r="E3" i="45" s="1"/>
  <c r="F3" i="45" s="1"/>
  <c r="G6" i="46"/>
  <c r="D3" i="49"/>
  <c r="H5" i="50" a="1"/>
  <c r="H5" i="50" s="1"/>
  <c r="I5" i="50" s="1"/>
  <c r="G5" i="50" s="1"/>
  <c r="E4" i="50"/>
  <c r="F4" i="50" s="1"/>
  <c r="L4" i="50"/>
  <c r="L3" i="45" a="1"/>
  <c r="G8" i="41" a="1"/>
  <c r="L3" i="49" a="1"/>
  <c r="D6" i="46" a="1"/>
  <c r="G3" i="42" l="1"/>
  <c r="L3" i="45"/>
  <c r="L3" i="49"/>
  <c r="E3" i="49"/>
  <c r="F3" i="49" s="1"/>
  <c r="G8" i="41"/>
  <c r="D6" i="46"/>
  <c r="L6" i="46" a="1"/>
  <c r="D3" i="42" a="1"/>
  <c r="D5" i="50" a="1"/>
  <c r="D3" i="42" l="1"/>
  <c r="E3" i="42" s="1"/>
  <c r="F3" i="42" s="1"/>
  <c r="H5" i="46" a="1"/>
  <c r="H5" i="46" s="1"/>
  <c r="I5" i="46" s="1"/>
  <c r="J5" i="46" a="1"/>
  <c r="J5" i="46" s="1"/>
  <c r="K5" i="46" s="1"/>
  <c r="D5" i="50"/>
  <c r="J6" i="50" s="1" a="1"/>
  <c r="J6" i="50" s="1"/>
  <c r="K6" i="50" s="1"/>
  <c r="L6" i="46"/>
  <c r="E6" i="46"/>
  <c r="F6" i="46" s="1"/>
  <c r="L5" i="50" a="1"/>
  <c r="L3" i="42" a="1"/>
  <c r="L3" i="42" l="1"/>
  <c r="G5" i="46"/>
  <c r="H6" i="50" a="1"/>
  <c r="H6" i="50" s="1"/>
  <c r="I6" i="50" s="1"/>
  <c r="G6" i="50" s="1"/>
  <c r="L5" i="50"/>
  <c r="E5" i="50"/>
  <c r="F5" i="50" s="1"/>
  <c r="D5" i="46" a="1"/>
  <c r="C8" i="41" a="1"/>
  <c r="C8" i="41" l="1"/>
  <c r="D5" i="46"/>
  <c r="D6" i="50" a="1"/>
  <c r="L5" i="46" a="1"/>
  <c r="H4" i="46" l="1" a="1"/>
  <c r="H4" i="46" s="1"/>
  <c r="I4" i="46" s="1"/>
  <c r="J4" i="46" a="1"/>
  <c r="J4" i="46" s="1"/>
  <c r="K4" i="46" s="1"/>
  <c r="D6" i="50"/>
  <c r="J7" i="50" s="1" a="1"/>
  <c r="J7" i="50" s="1"/>
  <c r="K7" i="50" s="1"/>
  <c r="L5" i="46"/>
  <c r="E5" i="46"/>
  <c r="F5" i="46" s="1"/>
  <c r="L6" i="50" a="1"/>
  <c r="G4" i="46" l="1"/>
  <c r="H7" i="50" a="1"/>
  <c r="H7" i="50" s="1"/>
  <c r="I7" i="50" s="1"/>
  <c r="G7" i="50" s="1"/>
  <c r="E6" i="50"/>
  <c r="F6" i="50" s="1"/>
  <c r="L6" i="50"/>
  <c r="G6" i="41" a="1"/>
  <c r="D4" i="46" a="1"/>
  <c r="G6" i="41" l="1"/>
  <c r="D4" i="46"/>
  <c r="J3" i="46" s="1" a="1"/>
  <c r="J3" i="46" s="1"/>
  <c r="K3" i="46" s="1"/>
  <c r="L4" i="46" a="1"/>
  <c r="D7" i="50" a="1"/>
  <c r="H3" i="46" l="1" a="1"/>
  <c r="H3" i="46" s="1"/>
  <c r="I3" i="46" s="1"/>
  <c r="D7" i="50"/>
  <c r="J8" i="50" s="1" a="1"/>
  <c r="J8" i="50" s="1"/>
  <c r="K8" i="50" s="1"/>
  <c r="L4" i="46"/>
  <c r="E4" i="46"/>
  <c r="F4" i="46" s="1"/>
  <c r="L7" i="50" a="1"/>
  <c r="G3" i="46" l="1"/>
  <c r="H8" i="50" a="1"/>
  <c r="H8" i="50" s="1"/>
  <c r="I8" i="50" s="1"/>
  <c r="G8" i="50" s="1"/>
  <c r="E7" i="50"/>
  <c r="F7" i="50" s="1"/>
  <c r="L7" i="50"/>
  <c r="K6" i="41" a="1"/>
  <c r="L19" i="41" a="1"/>
  <c r="L15" i="41" a="1"/>
  <c r="L12" i="41" a="1"/>
  <c r="D3" i="46" a="1"/>
  <c r="L23" i="41" a="1"/>
  <c r="L17" i="41" a="1"/>
  <c r="L24" i="41" a="1"/>
  <c r="C6" i="41" a="1"/>
  <c r="L16" i="41" a="1"/>
  <c r="L14" i="41" a="1"/>
  <c r="L13" i="41" a="1"/>
  <c r="L18" i="41" a="1"/>
  <c r="L25" i="41" a="1"/>
  <c r="L20" i="41" a="1"/>
  <c r="L21" i="41" a="1"/>
  <c r="L11" i="41" a="1"/>
  <c r="L14" i="41" l="1"/>
  <c r="L18" i="41"/>
  <c r="L11" i="41"/>
  <c r="L15" i="41"/>
  <c r="L23" i="41"/>
  <c r="L25" i="41"/>
  <c r="L19" i="41"/>
  <c r="L20" i="41"/>
  <c r="L12" i="41"/>
  <c r="L16" i="41"/>
  <c r="L24" i="41"/>
  <c r="L13" i="41"/>
  <c r="L17" i="41"/>
  <c r="L21" i="41"/>
  <c r="K6" i="41"/>
  <c r="C6" i="41"/>
  <c r="D3" i="46"/>
  <c r="L28" i="41" a="1"/>
  <c r="D8" i="50" a="1"/>
  <c r="L6" i="41" a="1"/>
  <c r="L27" i="41" a="1"/>
  <c r="L29" i="41" a="1"/>
  <c r="L9" i="41" a="1"/>
  <c r="Q6" i="41" a="1"/>
  <c r="L3" i="46" a="1"/>
  <c r="L10" i="41" a="1"/>
  <c r="L22" i="41" a="1"/>
  <c r="L26" i="41" a="1"/>
  <c r="L26" i="41" l="1"/>
  <c r="L28" i="41"/>
  <c r="L22" i="41"/>
  <c r="L29" i="41"/>
  <c r="L9" i="41"/>
  <c r="L10" i="41"/>
  <c r="L27" i="41"/>
  <c r="D8" i="50"/>
  <c r="Q6" i="41"/>
  <c r="L3" i="46"/>
  <c r="L6" i="41"/>
  <c r="E3" i="46"/>
  <c r="F3" i="46" s="1"/>
  <c r="L8" i="50" a="1"/>
  <c r="R6" i="41" a="1"/>
  <c r="H9" i="50" l="1" a="1"/>
  <c r="H9" i="50" s="1"/>
  <c r="I9" i="50" s="1"/>
  <c r="J9" i="50" a="1"/>
  <c r="J9" i="50" s="1"/>
  <c r="K9" i="50" s="1"/>
  <c r="L8" i="50"/>
  <c r="E8" i="50"/>
  <c r="F8" i="50" s="1"/>
  <c r="R6" i="41"/>
  <c r="G9" i="50" l="1"/>
  <c r="D9" i="50" a="1"/>
  <c r="D9" i="50" l="1"/>
  <c r="E9" i="50" s="1"/>
  <c r="F9" i="50" s="1"/>
  <c r="H10" i="50" a="1"/>
  <c r="H10" i="50" s="1"/>
  <c r="I10" i="50" s="1"/>
  <c r="L9" i="50" a="1"/>
  <c r="L9" i="50" l="1"/>
  <c r="J10" i="50" a="1"/>
  <c r="J10" i="50" s="1"/>
  <c r="K10" i="50" s="1"/>
  <c r="G10" i="50" s="1"/>
  <c r="D10" i="50" a="1"/>
  <c r="D10" i="50" l="1"/>
  <c r="H11" i="50" a="1"/>
  <c r="H11" i="50" s="1"/>
  <c r="I11" i="50" s="1"/>
  <c r="J11" i="50" a="1"/>
  <c r="J11" i="50" s="1"/>
  <c r="K11" i="50" s="1"/>
  <c r="L10" i="50" a="1"/>
  <c r="L10" i="50" l="1"/>
  <c r="E10" i="50"/>
  <c r="F10" i="50" s="1"/>
  <c r="G11" i="50"/>
  <c r="D11" i="50" a="1"/>
  <c r="D11" i="50" l="1"/>
  <c r="H12" i="50" a="1"/>
  <c r="H12" i="50" s="1"/>
  <c r="I12" i="50" s="1"/>
  <c r="L11" i="50" a="1"/>
  <c r="L11" i="50" l="1"/>
  <c r="J12" i="50" a="1"/>
  <c r="J12" i="50" s="1"/>
  <c r="K12" i="50" s="1"/>
  <c r="G12" i="50" s="1"/>
  <c r="E11" i="50"/>
  <c r="F11" i="50" s="1"/>
  <c r="D12" i="50" a="1"/>
  <c r="D12" i="50" l="1"/>
  <c r="H13" i="50" a="1"/>
  <c r="H13" i="50" s="1"/>
  <c r="L12" i="50" a="1"/>
  <c r="L12" i="50" l="1"/>
  <c r="J13" i="50" a="1"/>
  <c r="J13" i="50" s="1"/>
  <c r="K13" i="50" s="1"/>
  <c r="E12" i="50"/>
  <c r="F12" i="50" s="1"/>
  <c r="I13" i="50"/>
  <c r="G13" i="50" l="1"/>
  <c r="D13" i="50" a="1"/>
  <c r="D13" i="50" l="1"/>
  <c r="L13" i="50" a="1"/>
  <c r="L13" i="50" l="1"/>
  <c r="H14" i="50" a="1"/>
  <c r="H14" i="50" s="1"/>
  <c r="I14" i="50" s="1"/>
  <c r="J14" i="50" a="1"/>
  <c r="J14" i="50" s="1"/>
  <c r="K14" i="50" s="1"/>
  <c r="E13" i="50"/>
  <c r="F13" i="50" s="1"/>
  <c r="G14" i="50" l="1"/>
  <c r="D14" i="50" a="1"/>
  <c r="D14" i="50" l="1"/>
  <c r="H15" i="50" a="1"/>
  <c r="H15" i="50" s="1"/>
  <c r="I15" i="50" s="1"/>
  <c r="L14" i="50" a="1"/>
  <c r="L14" i="50" l="1"/>
  <c r="J15" i="50" a="1"/>
  <c r="J15" i="50" s="1"/>
  <c r="K15" i="50" s="1"/>
  <c r="G15" i="50" s="1"/>
  <c r="E14" i="50"/>
  <c r="F14" i="50" s="1"/>
  <c r="D15" i="50" a="1"/>
  <c r="D15" i="50" l="1"/>
  <c r="J16" i="50" a="1"/>
  <c r="J16" i="50" s="1"/>
  <c r="K16" i="50" s="1"/>
  <c r="L15" i="50" a="1"/>
  <c r="L15" i="50" l="1"/>
  <c r="E15" i="50"/>
  <c r="F15" i="50" s="1"/>
  <c r="H16" i="50" a="1"/>
  <c r="H16" i="50" s="1"/>
  <c r="I16" i="50" s="1"/>
  <c r="G16" i="50" s="1"/>
  <c r="D16" i="50" a="1"/>
  <c r="D16" i="50" l="1"/>
  <c r="J17" i="50" a="1"/>
  <c r="J17" i="50" s="1"/>
  <c r="K17" i="50" s="1"/>
  <c r="L16" i="50" a="1"/>
  <c r="L16" i="50" l="1"/>
  <c r="E16" i="50"/>
  <c r="F16" i="50" s="1"/>
  <c r="H17" i="50" a="1"/>
  <c r="H17" i="50" s="1"/>
  <c r="I17" i="50" s="1"/>
  <c r="G17" i="50" s="1"/>
  <c r="D17" i="50" a="1"/>
  <c r="D17" i="50" l="1"/>
  <c r="H18" i="50" a="1"/>
  <c r="H18" i="50" s="1"/>
  <c r="I18" i="50" s="1"/>
  <c r="L17" i="50" a="1"/>
  <c r="L17" i="50" l="1"/>
  <c r="J18" i="50" a="1"/>
  <c r="J18" i="50" s="1"/>
  <c r="K18" i="50" s="1"/>
  <c r="G18" i="50" s="1"/>
  <c r="E17" i="50"/>
  <c r="F17" i="50" s="1"/>
  <c r="D18" i="50" a="1"/>
  <c r="D18" i="50" l="1"/>
  <c r="L18" i="50" a="1"/>
  <c r="L18" i="50" l="1"/>
  <c r="E18" i="50"/>
  <c r="F18" i="50" s="1"/>
  <c r="H19" i="50" a="1"/>
  <c r="H19" i="50" s="1"/>
  <c r="I19" i="50" s="1"/>
  <c r="J19" i="50" a="1"/>
  <c r="J19" i="50" s="1"/>
  <c r="K19" i="50" s="1"/>
  <c r="G19" i="50" l="1"/>
  <c r="D19" i="50" a="1"/>
  <c r="D19" i="50" l="1"/>
  <c r="L19" i="50" a="1"/>
  <c r="L19" i="50" l="1"/>
  <c r="E19" i="50"/>
  <c r="F19" i="50" s="1"/>
  <c r="H20" i="50" a="1"/>
  <c r="H20" i="50" s="1"/>
  <c r="I20" i="50" s="1"/>
  <c r="J20" i="50" a="1"/>
  <c r="J20" i="50" s="1"/>
  <c r="K20" i="50" s="1"/>
  <c r="G20" i="50" l="1"/>
  <c r="D20" i="50" a="1"/>
  <c r="D20" i="50" l="1"/>
  <c r="E20" i="50" s="1"/>
  <c r="F20" i="50" s="1"/>
  <c r="J21" i="50" a="1"/>
  <c r="J21" i="50" s="1"/>
  <c r="K21" i="50" s="1"/>
  <c r="H21" i="50" a="1"/>
  <c r="H21" i="50" s="1"/>
  <c r="I21" i="50" s="1"/>
  <c r="L20" i="50" a="1"/>
  <c r="G21" i="50" l="1"/>
  <c r="L20" i="50"/>
  <c r="D21" i="50" a="1"/>
  <c r="D21" i="50" l="1"/>
  <c r="J22" i="50" a="1"/>
  <c r="J22" i="50" s="1"/>
  <c r="K22" i="50" s="1"/>
  <c r="H22" i="50" a="1"/>
  <c r="H22" i="50" s="1"/>
  <c r="I22" i="50" s="1"/>
  <c r="L21" i="50" a="1"/>
  <c r="L21" i="50" l="1"/>
  <c r="E21" i="50"/>
  <c r="F21" i="50" s="1"/>
  <c r="G22" i="50"/>
  <c r="D22" i="50" a="1"/>
  <c r="D22" i="50" l="1"/>
  <c r="L22" i="50" a="1"/>
  <c r="L22" i="50" l="1"/>
  <c r="H23" i="50" a="1"/>
  <c r="H23" i="50" s="1"/>
  <c r="I23" i="50" s="1"/>
  <c r="J23" i="50" a="1"/>
  <c r="J23" i="50" s="1"/>
  <c r="K23" i="50" s="1"/>
  <c r="E22" i="50"/>
  <c r="F22" i="50" s="1"/>
  <c r="G23" i="50" l="1"/>
  <c r="D23" i="50" a="1"/>
  <c r="D23" i="50" l="1"/>
  <c r="E23" i="50" s="1"/>
  <c r="F23" i="50" s="1"/>
  <c r="J24" i="50" a="1"/>
  <c r="J24" i="50" s="1"/>
  <c r="K24" i="50" s="1"/>
  <c r="H24" i="50" a="1"/>
  <c r="H24" i="50" s="1"/>
  <c r="I24" i="50" s="1"/>
  <c r="L23" i="50" a="1"/>
  <c r="L23" i="50" l="1"/>
  <c r="G24" i="50"/>
  <c r="D24" i="50" a="1"/>
  <c r="D24" i="50" l="1"/>
  <c r="L24" i="50" a="1"/>
  <c r="L24" i="50" l="1"/>
  <c r="E24" i="50"/>
  <c r="F24" i="50" s="1"/>
  <c r="J25" i="50" a="1"/>
  <c r="J25" i="50" s="1"/>
  <c r="K25" i="50" s="1"/>
  <c r="H25" i="50" a="1"/>
  <c r="H25" i="50" s="1"/>
  <c r="I25" i="50" s="1"/>
  <c r="G25" i="50" l="1"/>
  <c r="D25" i="50" a="1"/>
  <c r="D25" i="50" l="1"/>
  <c r="E25" i="50" s="1"/>
  <c r="F25" i="50" s="1"/>
  <c r="J26" i="50" a="1"/>
  <c r="J26" i="50" s="1"/>
  <c r="K26" i="50" s="1"/>
  <c r="H26" i="50" a="1"/>
  <c r="H26" i="50" s="1"/>
  <c r="I26" i="50" s="1"/>
  <c r="L25" i="50" a="1"/>
  <c r="G26" i="50" l="1"/>
  <c r="L25" i="50"/>
  <c r="D26" i="50" a="1"/>
  <c r="D26" i="50" l="1"/>
  <c r="E26" i="50" s="1"/>
  <c r="F26" i="50" s="1"/>
  <c r="J27" i="50" a="1"/>
  <c r="J27" i="50" s="1"/>
  <c r="K27" i="50" s="1"/>
  <c r="H27" i="50" a="1"/>
  <c r="H27" i="50" s="1"/>
  <c r="I27" i="50" s="1"/>
  <c r="L26" i="50" a="1"/>
  <c r="L26" i="50" l="1"/>
  <c r="G27" i="50"/>
  <c r="D27" i="50" a="1"/>
  <c r="D27" i="50" l="1"/>
  <c r="L27" i="50" a="1"/>
  <c r="L27" i="50" l="1"/>
  <c r="E27" i="50"/>
  <c r="F27" i="50" s="1"/>
  <c r="J28" i="50" a="1"/>
  <c r="J28" i="50" s="1"/>
  <c r="K28" i="50" s="1"/>
  <c r="H28" i="50" a="1"/>
  <c r="H28" i="50" s="1"/>
  <c r="I28" i="50" s="1"/>
  <c r="G28" i="50" l="1"/>
  <c r="D28" i="50" a="1"/>
  <c r="D28" i="50" l="1"/>
  <c r="E28" i="50" s="1"/>
  <c r="F28" i="50" s="1"/>
  <c r="H29" i="50" a="1"/>
  <c r="H29" i="50" s="1"/>
  <c r="I29" i="50" s="1"/>
  <c r="J29" i="50" a="1"/>
  <c r="J29" i="50" s="1"/>
  <c r="K29" i="50" s="1"/>
  <c r="L28" i="50" a="1"/>
  <c r="L28" i="50" l="1"/>
  <c r="G29" i="50"/>
  <c r="D29" i="50" a="1"/>
  <c r="D29" i="50" l="1"/>
  <c r="E29" i="50" s="1"/>
  <c r="F29" i="50" s="1"/>
  <c r="H30" i="50" a="1"/>
  <c r="H30" i="50" s="1"/>
  <c r="I30" i="50" s="1"/>
  <c r="J30" i="50" a="1"/>
  <c r="J30" i="50" s="1"/>
  <c r="K30" i="50" s="1"/>
  <c r="L29" i="50" a="1"/>
  <c r="L29" i="50" l="1"/>
  <c r="G30" i="50"/>
  <c r="D30" i="50" a="1"/>
  <c r="D30" i="50" l="1"/>
  <c r="L30" i="50" a="1"/>
  <c r="L30" i="50" l="1"/>
  <c r="E30" i="50"/>
  <c r="F30" i="50" s="1"/>
  <c r="H31" i="50" a="1"/>
  <c r="H31" i="50" s="1"/>
  <c r="I31" i="50" s="1"/>
  <c r="J31" i="50" a="1"/>
  <c r="J31" i="50" s="1"/>
  <c r="K31" i="50" s="1"/>
  <c r="G31" i="50" l="1"/>
  <c r="D31" i="50" a="1"/>
  <c r="D31" i="50" l="1"/>
  <c r="L31" i="50" a="1"/>
  <c r="L31" i="50" l="1"/>
  <c r="J32" i="50" a="1"/>
  <c r="J32" i="50" s="1"/>
  <c r="K32" i="50" s="1"/>
  <c r="E31" i="50"/>
  <c r="F31" i="50" s="1"/>
  <c r="H32" i="50" a="1"/>
  <c r="H32" i="50" s="1"/>
  <c r="I32" i="50" s="1"/>
  <c r="G32" i="50" l="1"/>
  <c r="D32" i="50" a="1"/>
  <c r="D32" i="50" l="1"/>
  <c r="E32" i="50" s="1"/>
  <c r="F32" i="50" s="1"/>
  <c r="J33" i="50" a="1"/>
  <c r="J33" i="50" s="1"/>
  <c r="K33" i="50" s="1"/>
  <c r="H33" i="50" a="1"/>
  <c r="H33" i="50" s="1"/>
  <c r="I33" i="50" s="1"/>
  <c r="L32" i="50" a="1"/>
  <c r="G33" i="50" l="1"/>
  <c r="L32" i="50"/>
  <c r="D33" i="50" a="1"/>
  <c r="D33" i="50" l="1"/>
  <c r="E33" i="50" s="1"/>
  <c r="F33" i="50" s="1"/>
  <c r="H34" i="50" a="1"/>
  <c r="H34" i="50" s="1"/>
  <c r="I34" i="50" s="1"/>
  <c r="J34" i="50" a="1"/>
  <c r="J34" i="50" s="1"/>
  <c r="K34" i="50" s="1"/>
  <c r="L33" i="50" a="1"/>
  <c r="L33" i="50" l="1"/>
  <c r="G34" i="50"/>
  <c r="D34" i="50" a="1"/>
  <c r="D34" i="50" l="1"/>
  <c r="E34" i="50" s="1"/>
  <c r="F34" i="50" s="1"/>
  <c r="L34" i="50" a="1"/>
  <c r="L34" i="50" l="1"/>
  <c r="L8" i="41" a="1"/>
  <c r="L7" i="41" a="1"/>
  <c r="L8" i="41" l="1"/>
  <c r="L7" i="41"/>
  <c r="G2" i="65" a="1"/>
  <c r="G2" i="65" s="1"/>
  <c r="O2" i="4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OBLO</author>
  </authors>
  <commentList>
    <comment ref="B1" authorId="0" shapeId="0" xr:uid="{22B4A2D3-D0D3-48E2-A72C-698D8FDF58F1}">
      <text>
        <r>
          <rPr>
            <sz val="9"/>
            <color indexed="81"/>
            <rFont val="Tahoma"/>
            <family val="2"/>
          </rPr>
          <t>Insérer ici les valeurs de sonde extérieure données par le fabriquant de la chaudière/PAC.</t>
        </r>
      </text>
    </comment>
    <comment ref="C1" authorId="0" shapeId="0" xr:uid="{FA103666-84AE-49D5-8942-E3ABBAAB89BC}">
      <text>
        <r>
          <rPr>
            <sz val="9"/>
            <color indexed="81"/>
            <rFont val="Tahoma"/>
            <family val="2"/>
          </rPr>
          <t>Série (B25/85) trouvée automatiquement dont les températures calculées par Steinhart-Hart correspondent le plus à la température réelle à mesurer</t>
        </r>
      </text>
    </comment>
    <comment ref="D1" authorId="0" shapeId="0" xr:uid="{FD6A3CCD-A6DB-4F27-8461-AC73B6C50EB8}">
      <text>
        <r>
          <rPr>
            <sz val="9"/>
            <color indexed="81"/>
            <rFont val="Tahoma"/>
            <family val="2"/>
          </rPr>
          <t>Température calculée avec les coefficients de la série trouvée et les valeurs de R client</t>
        </r>
      </text>
    </comment>
    <comment ref="E1" authorId="0" shapeId="0" xr:uid="{15002202-D259-4666-A705-A30B563D193E}">
      <text>
        <r>
          <rPr>
            <sz val="9"/>
            <color indexed="81"/>
            <rFont val="Tahoma"/>
            <family val="2"/>
          </rPr>
          <t>Différence entre la température calculée et la température attendue</t>
        </r>
      </text>
    </comment>
    <comment ref="T16" authorId="0" shapeId="0" xr:uid="{41E71D77-A014-493F-91C8-C18EFAD077AB}">
      <text>
        <r>
          <rPr>
            <sz val="9"/>
            <color indexed="81"/>
            <rFont val="Tahoma"/>
            <family val="2"/>
          </rPr>
          <t>Colonne à coller dans la feuille de ce type de sonde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OBLO</author>
  </authors>
  <commentList>
    <comment ref="D3" authorId="0" shapeId="0" xr:uid="{0CD1DABA-0EFD-4BF2-9D9A-2E706E0CFDFD}">
      <text>
        <r>
          <rPr>
            <sz val="9"/>
            <color indexed="81"/>
            <rFont val="Tahoma"/>
            <family val="2"/>
          </rPr>
          <t>+6 commandées</t>
        </r>
      </text>
    </comment>
    <comment ref="D4" authorId="0" shapeId="0" xr:uid="{9C13D2AF-36E9-4FC2-8CF5-2BDB78B15BFD}">
      <text>
        <r>
          <rPr>
            <sz val="9"/>
            <color indexed="81"/>
            <rFont val="Tahoma"/>
            <family val="2"/>
          </rPr>
          <t>+5 commandées</t>
        </r>
      </text>
    </comment>
    <comment ref="D5" authorId="0" shapeId="0" xr:uid="{DB513EC3-E350-44BC-875C-8555859F98A5}">
      <text>
        <r>
          <rPr>
            <sz val="9"/>
            <color indexed="81"/>
            <rFont val="Tahoma"/>
            <family val="2"/>
          </rPr>
          <t>+3 commandées</t>
        </r>
      </text>
    </comment>
    <comment ref="D6" authorId="0" shapeId="0" xr:uid="{F875BC1B-C984-4B26-8F0B-BFCE55447A5B}">
      <text>
        <r>
          <rPr>
            <sz val="9"/>
            <color indexed="81"/>
            <rFont val="Tahoma"/>
            <family val="2"/>
          </rPr>
          <t>+3 commandées</t>
        </r>
      </text>
    </comment>
    <comment ref="D7" authorId="0" shapeId="0" xr:uid="{7AAED871-1432-4B14-BCD9-36EC68778A63}">
      <text>
        <r>
          <rPr>
            <sz val="9"/>
            <color indexed="81"/>
            <rFont val="Tahoma"/>
            <family val="2"/>
          </rPr>
          <t>+4 commandées</t>
        </r>
      </text>
    </comment>
    <comment ref="D8" authorId="0" shapeId="0" xr:uid="{EE658453-7321-4050-B8C3-1B682972CA8C}">
      <text>
        <r>
          <rPr>
            <sz val="9"/>
            <color indexed="81"/>
            <rFont val="Tahoma"/>
            <family val="2"/>
          </rPr>
          <t>+5 commandées</t>
        </r>
      </text>
    </comment>
    <comment ref="D9" authorId="0" shapeId="0" xr:uid="{470B0083-B752-454A-8EED-1C6C32EE554F}">
      <text>
        <r>
          <rPr>
            <sz val="9"/>
            <color indexed="81"/>
            <rFont val="Tahoma"/>
            <family val="2"/>
          </rPr>
          <t>+3 commandées</t>
        </r>
      </text>
    </comment>
    <comment ref="D10" authorId="0" shapeId="0" xr:uid="{1E499B4C-CB76-47E0-8BB5-AE696C7222C5}">
      <text>
        <r>
          <rPr>
            <sz val="9"/>
            <color indexed="81"/>
            <rFont val="Tahoma"/>
            <family val="2"/>
          </rPr>
          <t>+5 commandées
-1 installée chez UDRY Samuel</t>
        </r>
      </text>
    </comment>
    <comment ref="D11" authorId="0" shapeId="0" xr:uid="{9108B644-B81C-4B93-B65E-1925F3605057}">
      <text>
        <r>
          <rPr>
            <sz val="9"/>
            <color indexed="81"/>
            <rFont val="Tahoma"/>
            <family val="2"/>
          </rPr>
          <t>+5 commandées
- 1 pour chez Xavier</t>
        </r>
      </text>
    </comment>
    <comment ref="D12" authorId="0" shapeId="0" xr:uid="{41FC4447-91E3-4C2C-B28F-2F567C4DE4D0}">
      <text>
        <r>
          <rPr>
            <sz val="9"/>
            <color indexed="81"/>
            <rFont val="Tahoma"/>
            <family val="2"/>
          </rPr>
          <t>+5 commandées</t>
        </r>
      </text>
    </comment>
    <comment ref="D13" authorId="0" shapeId="0" xr:uid="{417B7953-82CE-417D-B5ED-EA79D2941C99}">
      <text>
        <r>
          <rPr>
            <sz val="9"/>
            <color indexed="81"/>
            <rFont val="Tahoma"/>
            <family val="2"/>
          </rPr>
          <t>+8 commandées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OBLO</author>
  </authors>
  <commentList>
    <comment ref="A1" authorId="0" shapeId="0" xr:uid="{24C9FD0D-8F07-4683-AC70-2D3300591AAE}">
      <text>
        <r>
          <rPr>
            <b/>
            <sz val="9"/>
            <color indexed="81"/>
            <rFont val="Tahoma"/>
            <family val="2"/>
          </rPr>
          <t xml:space="preserve">Ajout d'un nouveau type:
</t>
        </r>
        <r>
          <rPr>
            <b/>
            <u/>
            <sz val="9"/>
            <color indexed="81"/>
            <rFont val="Tahoma"/>
            <family val="2"/>
          </rPr>
          <t>NOUVEAU</t>
        </r>
        <r>
          <rPr>
            <b/>
            <sz val="9"/>
            <color indexed="81"/>
            <rFont val="Tahoma"/>
            <family val="2"/>
          </rPr>
          <t xml:space="preserve">: Utiliser le bouton "Ajouter" sur la page d'accueil!
</t>
        </r>
        <r>
          <rPr>
            <b/>
            <i/>
            <sz val="9"/>
            <color indexed="81"/>
            <rFont val="Tahoma"/>
            <family val="2"/>
          </rPr>
          <t>Etapes manuelles, si besoin:</t>
        </r>
        <r>
          <rPr>
            <i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- Insérer une ligne dans le tableau et définir le nom (</t>
        </r>
        <r>
          <rPr>
            <b/>
            <sz val="9"/>
            <color indexed="81"/>
            <rFont val="Tahoma"/>
            <family val="2"/>
          </rPr>
          <t>respecter l'ordre alphabétique!</t>
        </r>
        <r>
          <rPr>
            <sz val="9"/>
            <color indexed="81"/>
            <rFont val="Tahoma"/>
            <family val="2"/>
          </rPr>
          <t xml:space="preserve">)
- Dupliquer la feuille de Template correspondant au type (PTC ou NTC), position selon ordre alphabétique
- Nommer la feuille comme le type dans cette liste
- Renommer le tableau dans la feuille avec le nom défini dans la colonne Table Name de cette liste
- Créer un ID pour le nouveau type dans le tableau </t>
        </r>
        <r>
          <rPr>
            <b/>
            <sz val="9"/>
            <color indexed="81"/>
            <rFont val="Tahoma"/>
            <family val="2"/>
          </rPr>
          <t>IDs sensor types</t>
        </r>
        <r>
          <rPr>
            <sz val="9"/>
            <color indexed="81"/>
            <rFont val="Tahoma"/>
            <family val="2"/>
          </rPr>
          <t xml:space="preserve"> (sur cette feuille vers la droite) en respectant l'ordre selon le type (PTC/NTC) et la valeur de résistance à 0°C/25°C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6182CA-2C2D-404A-BF30-03FB2F6AE15E}" keepAlive="1" name="Requête - Combined Sensors Data" description="Connexion à la requête « Combined Sensors Data » dans le classeur." type="5" refreshedVersion="8" background="1">
    <dbPr connection="Provider=Microsoft.Mashup.OleDb.1;Data Source=$Workbook$;Location=&quot;Combined Sensors Data&quot;;Extended Properties=&quot;&quot;" command="SELECT * FROM [Combined Sensors Data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<sst xmlns="http://schemas.openxmlformats.org/spreadsheetml/2006/main" count="1574" uniqueCount="289">
  <si>
    <t>R2</t>
  </si>
  <si>
    <t>R3</t>
  </si>
  <si>
    <t>R4</t>
  </si>
  <si>
    <t>R5</t>
  </si>
  <si>
    <t>R6</t>
  </si>
  <si>
    <t>R8</t>
  </si>
  <si>
    <t>R9</t>
  </si>
  <si>
    <t>R10</t>
  </si>
  <si>
    <t>R7</t>
  </si>
  <si>
    <t>R1</t>
  </si>
  <si>
    <t>R11</t>
  </si>
  <si>
    <t>Radd</t>
  </si>
  <si>
    <t>θ</t>
  </si>
  <si>
    <t>Rsonde</t>
  </si>
  <si>
    <t>Rpcb</t>
  </si>
  <si>
    <t>#R</t>
  </si>
  <si>
    <t>Rpot</t>
  </si>
  <si>
    <t>R1/R33</t>
  </si>
  <si>
    <t>R2/R34</t>
  </si>
  <si>
    <t>R3/R35</t>
  </si>
  <si>
    <t>R4/R36</t>
  </si>
  <si>
    <t>R5/R37</t>
  </si>
  <si>
    <t>R6/R38</t>
  </si>
  <si>
    <t>R7/R39</t>
  </si>
  <si>
    <t>R8/R40</t>
  </si>
  <si>
    <t>R9/R41</t>
  </si>
  <si>
    <t>R10/R42</t>
  </si>
  <si>
    <t>R11/R43</t>
  </si>
  <si>
    <t>R12/R44</t>
  </si>
  <si>
    <t>R13/R45</t>
  </si>
  <si>
    <t>R14/R46</t>
  </si>
  <si>
    <t>R15/R47</t>
  </si>
  <si>
    <t>R16/R48</t>
  </si>
  <si>
    <t>R17/R49</t>
  </si>
  <si>
    <t>R18/R50</t>
  </si>
  <si>
    <t>R19/R51</t>
  </si>
  <si>
    <t>R20/R52</t>
  </si>
  <si>
    <t>R21/R53</t>
  </si>
  <si>
    <t>R22/R54</t>
  </si>
  <si>
    <t>R23/R55</t>
  </si>
  <si>
    <t>R24/R56</t>
  </si>
  <si>
    <t>R25/R57</t>
  </si>
  <si>
    <t>R26/R58</t>
  </si>
  <si>
    <t>R27/R59</t>
  </si>
  <si>
    <t>R28/R60</t>
  </si>
  <si>
    <t>R29/R61</t>
  </si>
  <si>
    <t>R30/R62</t>
  </si>
  <si>
    <t>R31/R63</t>
  </si>
  <si>
    <t>R32/R64</t>
  </si>
  <si>
    <t>X6</t>
  </si>
  <si>
    <t>X5</t>
  </si>
  <si>
    <t>X4</t>
  </si>
  <si>
    <t>X3</t>
  </si>
  <si>
    <t>X2</t>
  </si>
  <si>
    <t>X1</t>
  </si>
  <si>
    <t>X0</t>
  </si>
  <si>
    <t>R30</t>
  </si>
  <si>
    <t>R32</t>
  </si>
  <si>
    <t>R28</t>
  </si>
  <si>
    <t>R26</t>
  </si>
  <si>
    <t>R24</t>
  </si>
  <si>
    <t>R22</t>
  </si>
  <si>
    <t>R20</t>
  </si>
  <si>
    <t>R18</t>
  </si>
  <si>
    <t>R16</t>
  </si>
  <si>
    <t>R14</t>
  </si>
  <si>
    <t>R12</t>
  </si>
  <si>
    <t>R34</t>
  </si>
  <si>
    <t>R64</t>
  </si>
  <si>
    <t>R62</t>
  </si>
  <si>
    <t>R60</t>
  </si>
  <si>
    <t>R58</t>
  </si>
  <si>
    <t>R56</t>
  </si>
  <si>
    <t>R54</t>
  </si>
  <si>
    <t>R52</t>
  </si>
  <si>
    <t>R50</t>
  </si>
  <si>
    <t>R48</t>
  </si>
  <si>
    <t>R46</t>
  </si>
  <si>
    <t>R44</t>
  </si>
  <si>
    <t>R42</t>
  </si>
  <si>
    <t>R40</t>
  </si>
  <si>
    <t>R38</t>
  </si>
  <si>
    <t>R36</t>
  </si>
  <si>
    <t>R63</t>
  </si>
  <si>
    <t>R61</t>
  </si>
  <si>
    <t>R31</t>
  </si>
  <si>
    <t>R29</t>
  </si>
  <si>
    <t>R59</t>
  </si>
  <si>
    <t>R57</t>
  </si>
  <si>
    <t>R55</t>
  </si>
  <si>
    <t>R53</t>
  </si>
  <si>
    <t>R51</t>
  </si>
  <si>
    <t>R49</t>
  </si>
  <si>
    <t>R47</t>
  </si>
  <si>
    <t>R45</t>
  </si>
  <si>
    <t>R43</t>
  </si>
  <si>
    <t>R41</t>
  </si>
  <si>
    <t>R39</t>
  </si>
  <si>
    <t>R37</t>
  </si>
  <si>
    <t>R35</t>
  </si>
  <si>
    <t>R33</t>
  </si>
  <si>
    <t>R27</t>
  </si>
  <si>
    <t>R25</t>
  </si>
  <si>
    <t>R23</t>
  </si>
  <si>
    <t>R21</t>
  </si>
  <si>
    <t>R19</t>
  </si>
  <si>
    <t>R17</t>
  </si>
  <si>
    <t>R15</t>
  </si>
  <si>
    <t>R13</t>
  </si>
  <si>
    <t>OBLO BASE RESISTOR V2.2</t>
  </si>
  <si>
    <t>O</t>
  </si>
  <si>
    <t>Type de sonde:</t>
  </si>
  <si>
    <t>R77</t>
  </si>
  <si>
    <t>Ω</t>
  </si>
  <si>
    <t>Decade</t>
  </si>
  <si>
    <t>Diff R</t>
  </si>
  <si>
    <t>RaddLow</t>
  </si>
  <si>
    <t>RaddLowDiff</t>
  </si>
  <si>
    <t>RaddHigh</t>
  </si>
  <si>
    <t>RaddHighDiff</t>
  </si>
  <si>
    <t>Diff %</t>
  </si>
  <si>
    <t>NTC 2k Xavier</t>
  </si>
  <si>
    <t>R sonde</t>
  </si>
  <si>
    <t>R PCB</t>
  </si>
  <si>
    <r>
      <t>R [</t>
    </r>
    <r>
      <rPr>
        <b/>
        <sz val="11"/>
        <color theme="1"/>
        <rFont val="Calibri"/>
        <family val="2"/>
      </rPr>
      <t>Ω</t>
    </r>
    <r>
      <rPr>
        <b/>
        <sz val="11"/>
        <color theme="1"/>
        <rFont val="Calibri"/>
        <family val="2"/>
        <scheme val="minor"/>
      </rPr>
      <t>]</t>
    </r>
  </si>
  <si>
    <t>Qté</t>
  </si>
  <si>
    <t>3528_&gt;=25C</t>
  </si>
  <si>
    <t>3528_&lt;25C</t>
  </si>
  <si>
    <t>D</t>
  </si>
  <si>
    <t>C</t>
  </si>
  <si>
    <t>B</t>
  </si>
  <si>
    <t>A</t>
  </si>
  <si>
    <t>B25/85</t>
  </si>
  <si>
    <t>D1</t>
  </si>
  <si>
    <t>C1</t>
  </si>
  <si>
    <t>B1</t>
  </si>
  <si>
    <t>A1</t>
  </si>
  <si>
    <t>R client</t>
  </si>
  <si>
    <t>Temp °C</t>
  </si>
  <si>
    <t>Rmes</t>
  </si>
  <si>
    <t>R mesurée</t>
  </si>
  <si>
    <t>NTC 2.2k 3528</t>
  </si>
  <si>
    <t>VRC-DCF 9535</t>
  </si>
  <si>
    <t>#</t>
  </si>
  <si>
    <t>R</t>
  </si>
  <si>
    <t>Ref Mouser</t>
  </si>
  <si>
    <t>R24 resistors series</t>
  </si>
  <si>
    <t>Name</t>
  </si>
  <si>
    <t>Sensor type list</t>
  </si>
  <si>
    <t>Table Name</t>
  </si>
  <si>
    <t>Ni1000 TK5000</t>
  </si>
  <si>
    <t>https://ckm-content.se.com/ckmContent/sfc/servlet.shepherd/document/download/0691H00000H180lQAB</t>
  </si>
  <si>
    <t>Tableau valeurs Ni1000 TK5000:</t>
  </si>
  <si>
    <t>°C</t>
  </si>
  <si>
    <t>Ni1000 TK6180</t>
  </si>
  <si>
    <t>Tableau valeurs Ni1000 TK6180:</t>
  </si>
  <si>
    <t>https://ckm-content.se.com/ckmContent/sfc/servlet.shepherd/document/download/0691H00000H17fPQAR</t>
  </si>
  <si>
    <t>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</t>
  </si>
  <si>
    <t>Tolerance B</t>
  </si>
  <si>
    <t>In stock</t>
  </si>
  <si>
    <t>PTF568K0000BYBF</t>
  </si>
  <si>
    <t>PPM/°C</t>
  </si>
  <si>
    <t>PTF565K1100BZEK</t>
  </si>
  <si>
    <t>PTF565K3600BZEK</t>
  </si>
  <si>
    <t>PTF565K9700BZEK</t>
  </si>
  <si>
    <t>PTF567K0000BYEK</t>
  </si>
  <si>
    <t>PTF567K6800BZEK</t>
  </si>
  <si>
    <t>PTF568K6600BZEK</t>
  </si>
  <si>
    <t>PTF567K5000BYEK</t>
  </si>
  <si>
    <t>PTF56400R00BZEK</t>
  </si>
  <si>
    <t>PTF56750R00BZEK</t>
  </si>
  <si>
    <t>PTF5610K000BZEK</t>
  </si>
  <si>
    <r>
      <t>R</t>
    </r>
    <r>
      <rPr>
        <b/>
        <vertAlign val="subscript"/>
        <sz val="11"/>
        <color theme="1"/>
        <rFont val="Calibri"/>
        <family val="2"/>
        <scheme val="minor"/>
      </rPr>
      <t>POT</t>
    </r>
    <r>
      <rPr>
        <b/>
        <sz val="11"/>
        <color theme="1"/>
        <rFont val="Calibri"/>
        <family val="2"/>
        <scheme val="minor"/>
      </rPr>
      <t>:</t>
    </r>
  </si>
  <si>
    <t>R77:</t>
  </si>
  <si>
    <t>Steinhart-Hart</t>
  </si>
  <si>
    <t>Y1</t>
  </si>
  <si>
    <t>Y2</t>
  </si>
  <si>
    <t>Y3</t>
  </si>
  <si>
    <t>L1</t>
  </si>
  <si>
    <t>L2</t>
  </si>
  <si>
    <t>L3</t>
  </si>
  <si>
    <t>a</t>
  </si>
  <si>
    <t>b</t>
  </si>
  <si>
    <t>x</t>
  </si>
  <si>
    <t>y</t>
  </si>
  <si>
    <t>R@-20</t>
  </si>
  <si>
    <t>R@-15</t>
  </si>
  <si>
    <t>R@-10</t>
  </si>
  <si>
    <t>R@-5</t>
  </si>
  <si>
    <t>R@0</t>
  </si>
  <si>
    <t>R@5</t>
  </si>
  <si>
    <t>R@10</t>
  </si>
  <si>
    <t>R@15</t>
  </si>
  <si>
    <t>R@20</t>
  </si>
  <si>
    <t>R@25</t>
  </si>
  <si>
    <t>R@30</t>
  </si>
  <si>
    <t>R@35</t>
  </si>
  <si>
    <t>Moyenne</t>
  </si>
  <si>
    <t>Mediane</t>
  </si>
  <si>
    <t>delta @ 35</t>
  </si>
  <si>
    <t>delta @ 30</t>
  </si>
  <si>
    <t>delta @ 25</t>
  </si>
  <si>
    <t>delta @ 20</t>
  </si>
  <si>
    <t>delta @ 15</t>
  </si>
  <si>
    <t>delta @ 10</t>
  </si>
  <si>
    <t>delta @ 5</t>
  </si>
  <si>
    <t>delta @ 0</t>
  </si>
  <si>
    <t>delta @ -5</t>
  </si>
  <si>
    <t>delta @ -10</t>
  </si>
  <si>
    <t>delta @ -15</t>
  </si>
  <si>
    <t>delta @ -20</t>
  </si>
  <si>
    <t>T(R_client) avec coefficients Steinhart-Hart</t>
  </si>
  <si>
    <t>Vishay resistors (https://www.vishay.com/docs/29049/ntcle100.pdf)</t>
  </si>
  <si>
    <t>Médiane</t>
  </si>
  <si>
    <t>Précision sur toute la plage</t>
  </si>
  <si>
    <t>Steinhart-Hart coefficients</t>
  </si>
  <si>
    <t>Nom type</t>
  </si>
  <si>
    <t>T diff °C</t>
  </si>
  <si>
    <t>T(R client) °C</t>
  </si>
  <si>
    <t>Min</t>
  </si>
  <si>
    <t>NTC 2k 3390</t>
  </si>
  <si>
    <t>Type standard pour remplacer le type NTC 2k Xavier</t>
  </si>
  <si>
    <t>DeDietrich AF40</t>
  </si>
  <si>
    <t>NTC 10k 3977</t>
  </si>
  <si>
    <t>Produites avec:</t>
  </si>
  <si>
    <t>Valeurs de référence</t>
  </si>
  <si>
    <t>Temp.</t>
  </si>
  <si>
    <t>R0_R25</t>
  </si>
  <si>
    <t>PT100</t>
  </si>
  <si>
    <t>PTC</t>
  </si>
  <si>
    <t>Ni100</t>
  </si>
  <si>
    <t>Ni120</t>
  </si>
  <si>
    <t>PT200</t>
  </si>
  <si>
    <t>PT500</t>
  </si>
  <si>
    <t>PT1000</t>
  </si>
  <si>
    <t>NTC</t>
  </si>
  <si>
    <t>Vaillant VRC-DCF 9535</t>
  </si>
  <si>
    <t>Total général</t>
  </si>
  <si>
    <t>Type de sonde</t>
  </si>
  <si>
    <t>VRC DCF 9535</t>
  </si>
  <si>
    <t>Nombre de résistances</t>
  </si>
  <si>
    <t>Valeur résistance</t>
  </si>
  <si>
    <t>IDs Types de sonde</t>
  </si>
  <si>
    <t>ID:</t>
  </si>
  <si>
    <t>ID</t>
  </si>
  <si>
    <t>Nom</t>
  </si>
  <si>
    <t>Description</t>
  </si>
  <si>
    <t>Type</t>
  </si>
  <si>
    <t>Texte Assistant Mouser</t>
  </si>
  <si>
    <t>Qté requise</t>
  </si>
  <si>
    <t>Stock</t>
  </si>
  <si>
    <t>Qté commande</t>
  </si>
  <si>
    <t>Recherche Mouser</t>
  </si>
  <si>
    <t>Résistances de précision 0.1% (pour R77)</t>
  </si>
  <si>
    <t>Ref Fabricant (Vishay)</t>
  </si>
  <si>
    <t>Types sans ID:</t>
  </si>
  <si>
    <t>NTC 1k 3528</t>
  </si>
  <si>
    <t>Pt1000</t>
  </si>
  <si>
    <t>Recherche équation droite</t>
  </si>
  <si>
    <t>KTY81-210</t>
  </si>
  <si>
    <t>Valeurs fabricant</t>
  </si>
  <si>
    <t>Equation droite</t>
  </si>
  <si>
    <t>KTY81 210</t>
  </si>
  <si>
    <t>delta R</t>
  </si>
  <si>
    <t>Ohms</t>
  </si>
  <si>
    <t>Ohms/°C</t>
  </si>
  <si>
    <t>resolution</t>
  </si>
  <si>
    <t>précision</t>
  </si>
  <si>
    <t>Pt100</t>
  </si>
  <si>
    <t>résolution</t>
  </si>
  <si>
    <t>DeDietrich AF60</t>
  </si>
  <si>
    <t>Avec les points suivants</t>
  </si>
  <si>
    <t>T</t>
  </si>
  <si>
    <t>sur https://www.thinksrs.com/downloads/programs/therm%20calc/ntccalibrator/ntccalculator.html</t>
  </si>
  <si>
    <t>on a</t>
  </si>
  <si>
    <t>Viessmann AV17</t>
  </si>
  <si>
    <t>R [Ohm]</t>
  </si>
  <si>
    <t>Temp [°C]</t>
  </si>
  <si>
    <t>Siemens QAC32</t>
  </si>
  <si>
    <t>QAC31 également //nommée à tord NTC575 par siemens (20°C)</t>
  </si>
  <si>
    <t>MERCI de bien couper le pin pour le détrompeur !</t>
  </si>
  <si>
    <t>Siemens QAC34</t>
  </si>
  <si>
    <t>Sonde Hoval</t>
  </si>
  <si>
    <t>Siemens QAC21 et Siemens QAC22</t>
  </si>
  <si>
    <t>DIN EN43760 B</t>
  </si>
  <si>
    <t>NTC 20k 4370</t>
  </si>
  <si>
    <t>Attention, R1/R33 changée manuellement en 14.7kOhm, ce qui sort de la série E24 !</t>
  </si>
  <si>
    <t>NTC 10k2 3977</t>
  </si>
  <si>
    <t>Qtt en service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</si>
</sst>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0.0"/>
    <numFmt numFmtId="166" formatCode="0.0%"/>
    <numFmt numFmtId="167" formatCode="_-* #,##0_-;\-* #,##0_-;_-* &quot;-&quot;??_-;_-@_-"/>
    <numFmt numFmtId="168" formatCode="0;0;"/>
    <numFmt numFmtId="169" formatCode="&quot;Série &quot;0"/>
  </numFmts>
  <fonts count="2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FFC000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i/>
      <sz val="9"/>
      <color indexed="81"/>
      <name val="Tahoma"/>
      <family val="2"/>
    </font>
    <font>
      <i/>
      <sz val="9"/>
      <color indexed="81"/>
      <name val="Tahoma"/>
      <family val="2"/>
    </font>
    <font>
      <b/>
      <u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7E1"/>
        <bgColor indexed="64"/>
      </patternFill>
    </fill>
  </fills>
  <borders count="11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</borders>
  <cellStyleXfs count="4">
    <xf numFmtId="0" fontId="0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70">
    <xf numFmtId="0" fontId="0" fillId="0" borderId="0" xfId="0"/>
    <xf numFmtId="0" fontId="2" fillId="0" borderId="0" xfId="0" applyFont="1"/>
    <xf numFmtId="1" fontId="0" fillId="0" borderId="0" xfId="0" applyNumberFormat="1"/>
    <xf numFmtId="0" fontId="0" fillId="0" borderId="0" xfId="0" applyAlignment="1">
      <alignment horizontal="center"/>
    </xf>
    <xf numFmtId="166" fontId="0" fillId="0" borderId="0" xfId="2" applyNumberFormat="1" applyFont="1"/>
    <xf numFmtId="11" fontId="0" fillId="0" borderId="0" xfId="0" applyNumberFormat="1"/>
    <xf numFmtId="165" fontId="0" fillId="0" borderId="5" xfId="0" applyNumberFormat="1" applyBorder="1"/>
    <xf numFmtId="0" fontId="10" fillId="0" borderId="0" xfId="0" applyFont="1"/>
    <xf numFmtId="165" fontId="0" fillId="0" borderId="0" xfId="0" applyNumberFormat="1"/>
    <xf numFmtId="2" fontId="0" fillId="0" borderId="0" xfId="0" applyNumberFormat="1"/>
    <xf numFmtId="0" fontId="11" fillId="0" borderId="0" xfId="0" applyFont="1"/>
    <xf numFmtId="0" fontId="14" fillId="0" borderId="0" xfId="3"/>
    <xf numFmtId="0" fontId="2" fillId="0" borderId="0" xfId="0" applyFont="1" applyAlignment="1">
      <alignment vertical="center"/>
    </xf>
    <xf numFmtId="0" fontId="8" fillId="0" borderId="4" xfId="0" applyFont="1" applyBorder="1" applyAlignment="1">
      <alignment vertical="center"/>
    </xf>
    <xf numFmtId="0" fontId="0" fillId="5" borderId="8" xfId="0" applyFill="1" applyBorder="1" applyAlignment="1">
      <alignment horizontal="left"/>
    </xf>
    <xf numFmtId="165" fontId="0" fillId="0" borderId="9" xfId="0" applyNumberFormat="1" applyBorder="1"/>
    <xf numFmtId="0" fontId="0" fillId="5" borderId="9" xfId="0" applyFill="1" applyBorder="1" applyAlignment="1">
      <alignment horizontal="left"/>
    </xf>
    <xf numFmtId="165" fontId="0" fillId="0" borderId="10" xfId="0" applyNumberFormat="1" applyBorder="1"/>
    <xf numFmtId="0" fontId="0" fillId="5" borderId="10" xfId="0" applyFill="1" applyBorder="1" applyAlignment="1">
      <alignment horizontal="left"/>
    </xf>
    <xf numFmtId="0" fontId="0" fillId="0" borderId="8" xfId="0" applyBorder="1"/>
    <xf numFmtId="0" fontId="0" fillId="5" borderId="8" xfId="0" applyFill="1" applyBorder="1"/>
    <xf numFmtId="0" fontId="0" fillId="0" borderId="9" xfId="0" applyBorder="1"/>
    <xf numFmtId="0" fontId="0" fillId="5" borderId="9" xfId="0" applyFill="1" applyBorder="1"/>
    <xf numFmtId="0" fontId="0" fillId="0" borderId="5" xfId="0" applyBorder="1"/>
    <xf numFmtId="0" fontId="0" fillId="0" borderId="10" xfId="0" applyBorder="1" applyAlignment="1">
      <alignment horizontal="right"/>
    </xf>
    <xf numFmtId="0" fontId="0" fillId="5" borderId="10" xfId="0" applyFill="1" applyBorder="1"/>
    <xf numFmtId="0" fontId="0" fillId="0" borderId="8" xfId="0" applyBorder="1" applyAlignment="1">
      <alignment horizontal="right"/>
    </xf>
    <xf numFmtId="0" fontId="0" fillId="0" borderId="9" xfId="0" applyBorder="1" applyAlignment="1">
      <alignment horizontal="right"/>
    </xf>
    <xf numFmtId="11" fontId="0" fillId="0" borderId="9" xfId="0" applyNumberFormat="1" applyBorder="1"/>
    <xf numFmtId="0" fontId="2" fillId="0" borderId="10" xfId="0" applyFont="1" applyBorder="1" applyAlignment="1">
      <alignment horizontal="right"/>
    </xf>
    <xf numFmtId="0" fontId="2" fillId="5" borderId="5" xfId="0" applyFont="1" applyFill="1" applyBorder="1"/>
    <xf numFmtId="0" fontId="0" fillId="6" borderId="5" xfId="0" applyFill="1" applyBorder="1"/>
    <xf numFmtId="169" fontId="2" fillId="5" borderId="5" xfId="0" applyNumberFormat="1" applyFont="1" applyFill="1" applyBorder="1"/>
    <xf numFmtId="167" fontId="2" fillId="0" borderId="0" xfId="1" applyNumberFormat="1" applyFont="1" applyBorder="1" applyAlignment="1">
      <alignment vertical="center"/>
    </xf>
    <xf numFmtId="0" fontId="8" fillId="0" borderId="0" xfId="0" applyFont="1" applyAlignment="1">
      <alignment vertical="center"/>
    </xf>
    <xf numFmtId="0" fontId="2" fillId="0" borderId="0" xfId="0" applyFont="1" applyAlignment="1">
      <alignment horizontal="center"/>
    </xf>
    <xf numFmtId="2" fontId="0" fillId="0" borderId="5" xfId="0" applyNumberFormat="1" applyBorder="1"/>
    <xf numFmtId="0" fontId="0" fillId="0" borderId="0" xfId="0" applyAlignment="1">
      <alignment horizontal="left"/>
    </xf>
    <xf numFmtId="0" fontId="16" fillId="0" borderId="0" xfId="0" applyFont="1" applyAlignment="1">
      <alignment horizontal="left"/>
    </xf>
    <xf numFmtId="2" fontId="0" fillId="0" borderId="9" xfId="0" applyNumberFormat="1" applyBorder="1"/>
    <xf numFmtId="2" fontId="0" fillId="0" borderId="8" xfId="0" applyNumberFormat="1" applyBorder="1"/>
    <xf numFmtId="0" fontId="2" fillId="4" borderId="6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2" fillId="4" borderId="5" xfId="0" applyFont="1" applyFill="1" applyBorder="1" applyAlignment="1">
      <alignment vertical="center"/>
    </xf>
    <xf numFmtId="168" fontId="0" fillId="0" borderId="0" xfId="0" applyNumberFormat="1" applyAlignment="1">
      <alignment vertical="center"/>
    </xf>
    <xf numFmtId="165" fontId="0" fillId="0" borderId="5" xfId="0" applyNumberFormat="1" applyBorder="1" applyAlignment="1">
      <alignment vertical="center"/>
    </xf>
    <xf numFmtId="167" fontId="0" fillId="0" borderId="5" xfId="1" applyNumberFormat="1" applyFont="1" applyBorder="1" applyAlignment="1">
      <alignment vertical="center"/>
    </xf>
    <xf numFmtId="0" fontId="15" fillId="0" borderId="0" xfId="0" applyFont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0" fontId="0" fillId="0" borderId="0" xfId="0" pivotButton="1"/>
    <xf numFmtId="9" fontId="0" fillId="0" borderId="0" xfId="2" applyFont="1"/>
    <xf numFmtId="2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167" fontId="0" fillId="0" borderId="0" xfId="0" applyNumberFormat="1" applyAlignment="1">
      <alignment vertical="center"/>
    </xf>
    <xf numFmtId="168" fontId="21" fillId="0" borderId="0" xfId="0" applyNumberFormat="1" applyFont="1" applyAlignment="1">
      <alignment horizontal="center" vertical="center" wrapText="1"/>
    </xf>
    <xf numFmtId="0" fontId="15" fillId="0" borderId="7" xfId="0" applyFont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67" fontId="2" fillId="0" borderId="2" xfId="1" applyNumberFormat="1" applyFont="1" applyBorder="1" applyAlignment="1">
      <alignment vertical="center"/>
    </xf>
    <xf numFmtId="167" fontId="2" fillId="0" borderId="3" xfId="1" applyNumberFormat="1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11" fillId="0" borderId="0" xfId="0" applyFont="1" applyAlignment="1">
      <alignment horizontal="center"/>
    </xf>
    <xf numFmtId="0" fontId="2" fillId="5" borderId="5" xfId="0" applyFont="1" applyFill="1" applyBorder="1" applyAlignment="1">
      <alignment horizont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/>
    </xf>
    <xf numFmtId="0" fontId="2" fillId="0" borderId="0" xfId="0" applyFont="1" applyAlignment="1">
      <alignment horizontal="center"/>
    </xf>
  </cellXfs>
  <cellStyles count="4">
    <cellStyle name="Lien hypertexte" xfId="3" builtinId="8"/>
    <cellStyle name="Milliers" xfId="1" builtinId="3"/>
    <cellStyle name="Normal" xfId="0" builtinId="0"/>
    <cellStyle name="Pourcentage" xfId="2" builtinId="5"/>
  </cellStyles>
  <dxfs count="247">
    <dxf>
      <font>
        <b val="0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</font>
      <fill>
        <patternFill patternType="none">
          <fgColor indexed="64"/>
          <bgColor auto="1"/>
        </patternFill>
      </fill>
    </dxf>
    <dxf>
      <font>
        <b val="0"/>
        <family val="2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font>
        <color theme="5" tint="-0.499984740745262"/>
      </font>
      <fill>
        <patternFill>
          <bgColor rgb="FFFFC9C9"/>
        </patternFill>
      </fill>
    </dxf>
    <dxf>
      <font>
        <color theme="5" tint="-0.24994659260841701"/>
      </font>
      <fill>
        <patternFill>
          <bgColor theme="7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5" tint="-0.499984740745262"/>
      </font>
      <fill>
        <patternFill>
          <bgColor rgb="FFFFC9C9"/>
        </patternFill>
      </fill>
    </dxf>
    <dxf>
      <font>
        <color theme="5" tint="-0.24994659260841701"/>
      </font>
      <fill>
        <patternFill>
          <bgColor theme="7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/>
      </font>
    </dxf>
    <dxf>
      <font>
        <b val="0"/>
        <i/>
      </font>
    </dxf>
    <dxf>
      <font>
        <b val="0"/>
        <i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C9C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1.xml"/><Relationship Id="rId30" Type="http://schemas.openxmlformats.org/officeDocument/2006/relationships/styles" Target="styles.xml"/><Relationship Id="rId35" Type="http://schemas.openxmlformats.org/officeDocument/2006/relationships/customXml" Target="../customXml/item2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CH"/>
              <a:t>R(</a:t>
            </a:r>
            <a:r>
              <a:rPr lang="el-GR"/>
              <a:t>θ</a:t>
            </a:r>
            <a:r>
              <a:rPr lang="fr-CH"/>
              <a:t>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3.5433432041415309E-2"/>
          <c:y val="7.7513061650992698E-2"/>
          <c:w val="0.93103042797161562"/>
          <c:h val="0.781884168867606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'0 - Accueil'!$P$5</c:f>
              <c:strCache>
                <c:ptCount val="1"/>
                <c:pt idx="0">
                  <c:v>R sonde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'0 - Accueil'!$O$6:$O$37</c:f>
              <c:numCache>
                <c:formatCode>0.0</c:formatCode>
                <c:ptCount val="32"/>
                <c:pt idx="0">
                  <c:v>-15</c:v>
                </c:pt>
                <c:pt idx="1">
                  <c:v>-13.5</c:v>
                </c:pt>
                <c:pt idx="2">
                  <c:v>-12</c:v>
                </c:pt>
                <c:pt idx="3">
                  <c:v>-10.5</c:v>
                </c:pt>
                <c:pt idx="4">
                  <c:v>-9</c:v>
                </c:pt>
                <c:pt idx="5">
                  <c:v>-7.5</c:v>
                </c:pt>
                <c:pt idx="6">
                  <c:v>-6</c:v>
                </c:pt>
                <c:pt idx="7">
                  <c:v>-4.5</c:v>
                </c:pt>
                <c:pt idx="8">
                  <c:v>-3</c:v>
                </c:pt>
                <c:pt idx="9">
                  <c:v>-1.5</c:v>
                </c:pt>
                <c:pt idx="10">
                  <c:v>0</c:v>
                </c:pt>
                <c:pt idx="11">
                  <c:v>1.5</c:v>
                </c:pt>
                <c:pt idx="12">
                  <c:v>3</c:v>
                </c:pt>
                <c:pt idx="13">
                  <c:v>4.5</c:v>
                </c:pt>
                <c:pt idx="14">
                  <c:v>6</c:v>
                </c:pt>
                <c:pt idx="15">
                  <c:v>7.5</c:v>
                </c:pt>
                <c:pt idx="16">
                  <c:v>9</c:v>
                </c:pt>
                <c:pt idx="17">
                  <c:v>10.5</c:v>
                </c:pt>
                <c:pt idx="18">
                  <c:v>12</c:v>
                </c:pt>
                <c:pt idx="19">
                  <c:v>13.5</c:v>
                </c:pt>
                <c:pt idx="20">
                  <c:v>15</c:v>
                </c:pt>
                <c:pt idx="21">
                  <c:v>16.5</c:v>
                </c:pt>
                <c:pt idx="22">
                  <c:v>18</c:v>
                </c:pt>
                <c:pt idx="23">
                  <c:v>19.5</c:v>
                </c:pt>
                <c:pt idx="24">
                  <c:v>21</c:v>
                </c:pt>
                <c:pt idx="25">
                  <c:v>22.5</c:v>
                </c:pt>
                <c:pt idx="26">
                  <c:v>24</c:v>
                </c:pt>
                <c:pt idx="27">
                  <c:v>25.5</c:v>
                </c:pt>
                <c:pt idx="28">
                  <c:v>27</c:v>
                </c:pt>
                <c:pt idx="29">
                  <c:v>28.5</c:v>
                </c:pt>
                <c:pt idx="30">
                  <c:v>30</c:v>
                </c:pt>
                <c:pt idx="31">
                  <c:v>31.5</c:v>
                </c:pt>
              </c:numCache>
            </c:numRef>
          </c:xVal>
          <c:yVal>
            <c:numRef>
              <c:f>'0 - Accueil'!$P$6:$P$37</c:f>
              <c:numCache>
                <c:formatCode>_-* #\ ##0_-;\-* #\ ##0_-;_-* "-"??_-;_-@_-</c:formatCode>
                <c:ptCount val="32"/>
                <c:pt idx="0">
                  <c:v>934.74</c:v>
                </c:pt>
                <c:pt idx="1">
                  <c:v>941.16499999999996</c:v>
                </c:pt>
                <c:pt idx="2">
                  <c:v>947.61</c:v>
                </c:pt>
                <c:pt idx="3">
                  <c:v>954.07999999999993</c:v>
                </c:pt>
                <c:pt idx="4">
                  <c:v>960.57</c:v>
                </c:pt>
                <c:pt idx="5">
                  <c:v>967.08500000000004</c:v>
                </c:pt>
                <c:pt idx="6">
                  <c:v>973.62</c:v>
                </c:pt>
                <c:pt idx="7">
                  <c:v>980.18000000000006</c:v>
                </c:pt>
                <c:pt idx="8">
                  <c:v>986.77</c:v>
                </c:pt>
                <c:pt idx="9">
                  <c:v>993.375</c:v>
                </c:pt>
                <c:pt idx="10">
                  <c:v>1000</c:v>
                </c:pt>
                <c:pt idx="11">
                  <c:v>1006.65</c:v>
                </c:pt>
                <c:pt idx="12">
                  <c:v>1013.33</c:v>
                </c:pt>
                <c:pt idx="13">
                  <c:v>1020.025</c:v>
                </c:pt>
                <c:pt idx="14">
                  <c:v>1026.75</c:v>
                </c:pt>
                <c:pt idx="15">
                  <c:v>1033.4949999999999</c:v>
                </c:pt>
                <c:pt idx="16">
                  <c:v>1040.27</c:v>
                </c:pt>
                <c:pt idx="17">
                  <c:v>1047.06</c:v>
                </c:pt>
                <c:pt idx="18">
                  <c:v>1053.8800000000001</c:v>
                </c:pt>
                <c:pt idx="19">
                  <c:v>1060.7249999999999</c:v>
                </c:pt>
                <c:pt idx="20">
                  <c:v>1067.5899999999999</c:v>
                </c:pt>
                <c:pt idx="21">
                  <c:v>1074.48</c:v>
                </c:pt>
                <c:pt idx="22">
                  <c:v>1081.3900000000001</c:v>
                </c:pt>
                <c:pt idx="23">
                  <c:v>1088.335</c:v>
                </c:pt>
                <c:pt idx="24">
                  <c:v>1095.3</c:v>
                </c:pt>
                <c:pt idx="25">
                  <c:v>1102.29</c:v>
                </c:pt>
                <c:pt idx="26">
                  <c:v>1109.3</c:v>
                </c:pt>
                <c:pt idx="27">
                  <c:v>1116.345</c:v>
                </c:pt>
                <c:pt idx="28">
                  <c:v>1123.4100000000001</c:v>
                </c:pt>
                <c:pt idx="29">
                  <c:v>1130.5</c:v>
                </c:pt>
                <c:pt idx="30">
                  <c:v>1137.6199999999999</c:v>
                </c:pt>
                <c:pt idx="31">
                  <c:v>1144.7550000000001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F75-445E-B36A-6411137E01C0}"/>
            </c:ext>
          </c:extLst>
        </c:ser>
        <c:ser>
          <c:idx val="1"/>
          <c:order val="1"/>
          <c:tx>
            <c:strRef>
              <c:f>'0 - Accueil'!$Q$5</c:f>
              <c:strCache>
                <c:ptCount val="1"/>
                <c:pt idx="0">
                  <c:v>R PCB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'0 - Accueil'!$O$6:$O$37</c:f>
              <c:numCache>
                <c:formatCode>0.0</c:formatCode>
                <c:ptCount val="32"/>
                <c:pt idx="0">
                  <c:v>-15</c:v>
                </c:pt>
                <c:pt idx="1">
                  <c:v>-13.5</c:v>
                </c:pt>
                <c:pt idx="2">
                  <c:v>-12</c:v>
                </c:pt>
                <c:pt idx="3">
                  <c:v>-10.5</c:v>
                </c:pt>
                <c:pt idx="4">
                  <c:v>-9</c:v>
                </c:pt>
                <c:pt idx="5">
                  <c:v>-7.5</c:v>
                </c:pt>
                <c:pt idx="6">
                  <c:v>-6</c:v>
                </c:pt>
                <c:pt idx="7">
                  <c:v>-4.5</c:v>
                </c:pt>
                <c:pt idx="8">
                  <c:v>-3</c:v>
                </c:pt>
                <c:pt idx="9">
                  <c:v>-1.5</c:v>
                </c:pt>
                <c:pt idx="10">
                  <c:v>0</c:v>
                </c:pt>
                <c:pt idx="11">
                  <c:v>1.5</c:v>
                </c:pt>
                <c:pt idx="12">
                  <c:v>3</c:v>
                </c:pt>
                <c:pt idx="13">
                  <c:v>4.5</c:v>
                </c:pt>
                <c:pt idx="14">
                  <c:v>6</c:v>
                </c:pt>
                <c:pt idx="15">
                  <c:v>7.5</c:v>
                </c:pt>
                <c:pt idx="16">
                  <c:v>9</c:v>
                </c:pt>
                <c:pt idx="17">
                  <c:v>10.5</c:v>
                </c:pt>
                <c:pt idx="18">
                  <c:v>12</c:v>
                </c:pt>
                <c:pt idx="19">
                  <c:v>13.5</c:v>
                </c:pt>
                <c:pt idx="20">
                  <c:v>15</c:v>
                </c:pt>
                <c:pt idx="21">
                  <c:v>16.5</c:v>
                </c:pt>
                <c:pt idx="22">
                  <c:v>18</c:v>
                </c:pt>
                <c:pt idx="23">
                  <c:v>19.5</c:v>
                </c:pt>
                <c:pt idx="24">
                  <c:v>21</c:v>
                </c:pt>
                <c:pt idx="25">
                  <c:v>22.5</c:v>
                </c:pt>
                <c:pt idx="26">
                  <c:v>24</c:v>
                </c:pt>
                <c:pt idx="27">
                  <c:v>25.5</c:v>
                </c:pt>
                <c:pt idx="28">
                  <c:v>27</c:v>
                </c:pt>
                <c:pt idx="29">
                  <c:v>28.5</c:v>
                </c:pt>
                <c:pt idx="30">
                  <c:v>30</c:v>
                </c:pt>
                <c:pt idx="31">
                  <c:v>31.5</c:v>
                </c:pt>
              </c:numCache>
            </c:numRef>
          </c:xVal>
          <c:yVal>
            <c:numRef>
              <c:f>'0 - Accueil'!$Q$6:$Q$37</c:f>
              <c:numCache>
                <c:formatCode>_-* #\ ##0_-;\-* #\ ##0_-;_-* "-"??_-;_-@_-</c:formatCode>
                <c:ptCount val="32"/>
                <c:pt idx="0">
                  <c:v>934.99999999999989</c:v>
                </c:pt>
                <c:pt idx="1">
                  <c:v>941.19999999999993</c:v>
                </c:pt>
                <c:pt idx="2">
                  <c:v>947.4</c:v>
                </c:pt>
                <c:pt idx="3">
                  <c:v>954.19999999999993</c:v>
                </c:pt>
                <c:pt idx="4">
                  <c:v>960.4</c:v>
                </c:pt>
                <c:pt idx="5">
                  <c:v>967.19999999999993</c:v>
                </c:pt>
                <c:pt idx="6">
                  <c:v>973.4</c:v>
                </c:pt>
                <c:pt idx="7">
                  <c:v>980.19999999999993</c:v>
                </c:pt>
                <c:pt idx="8">
                  <c:v>986.99999999999989</c:v>
                </c:pt>
                <c:pt idx="9">
                  <c:v>993.19999999999993</c:v>
                </c:pt>
                <c:pt idx="10">
                  <c:v>999.99999999999989</c:v>
                </c:pt>
                <c:pt idx="11">
                  <c:v>1006.7999999999998</c:v>
                </c:pt>
                <c:pt idx="12">
                  <c:v>1013.5999999999998</c:v>
                </c:pt>
                <c:pt idx="13">
                  <c:v>1019.7999999999998</c:v>
                </c:pt>
                <c:pt idx="14">
                  <c:v>1026.5999999999999</c:v>
                </c:pt>
                <c:pt idx="15">
                  <c:v>1033.3999999999996</c:v>
                </c:pt>
                <c:pt idx="16">
                  <c:v>1040.1999999999998</c:v>
                </c:pt>
                <c:pt idx="17">
                  <c:v>1046.9999999999995</c:v>
                </c:pt>
                <c:pt idx="18">
                  <c:v>1053.7999999999997</c:v>
                </c:pt>
                <c:pt idx="19">
                  <c:v>1060.5999999999995</c:v>
                </c:pt>
                <c:pt idx="20">
                  <c:v>1067.3999999999996</c:v>
                </c:pt>
                <c:pt idx="21">
                  <c:v>1074.1999999999994</c:v>
                </c:pt>
                <c:pt idx="22">
                  <c:v>1081.6999999999994</c:v>
                </c:pt>
                <c:pt idx="23">
                  <c:v>1088.4999999999995</c:v>
                </c:pt>
                <c:pt idx="24">
                  <c:v>1095.2999999999993</c:v>
                </c:pt>
                <c:pt idx="25">
                  <c:v>1102.0999999999995</c:v>
                </c:pt>
                <c:pt idx="26">
                  <c:v>1109.5999999999995</c:v>
                </c:pt>
                <c:pt idx="27">
                  <c:v>1116.3999999999992</c:v>
                </c:pt>
                <c:pt idx="28">
                  <c:v>1123.1999999999994</c:v>
                </c:pt>
                <c:pt idx="29">
                  <c:v>1130.6999999999994</c:v>
                </c:pt>
                <c:pt idx="30">
                  <c:v>1137.4999999999991</c:v>
                </c:pt>
                <c:pt idx="31">
                  <c:v>1144.9999999999991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F75-445E-B36A-6411137E01C0}"/>
            </c:ext>
          </c:extLst>
        </c:ser>
        <c:ser>
          <c:idx val="2"/>
          <c:order val="2"/>
          <c:tx>
            <c:strRef>
              <c:f>'0 - Accueil'!$R$5</c:f>
              <c:strCache>
                <c:ptCount val="1"/>
                <c:pt idx="0">
                  <c:v>R mesurée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'0 - Accueil'!$O$6:$O$37</c:f>
              <c:numCache>
                <c:formatCode>0.0</c:formatCode>
                <c:ptCount val="32"/>
                <c:pt idx="0">
                  <c:v>-15</c:v>
                </c:pt>
                <c:pt idx="1">
                  <c:v>-13.5</c:v>
                </c:pt>
                <c:pt idx="2">
                  <c:v>-12</c:v>
                </c:pt>
                <c:pt idx="3">
                  <c:v>-10.5</c:v>
                </c:pt>
                <c:pt idx="4">
                  <c:v>-9</c:v>
                </c:pt>
                <c:pt idx="5">
                  <c:v>-7.5</c:v>
                </c:pt>
                <c:pt idx="6">
                  <c:v>-6</c:v>
                </c:pt>
                <c:pt idx="7">
                  <c:v>-4.5</c:v>
                </c:pt>
                <c:pt idx="8">
                  <c:v>-3</c:v>
                </c:pt>
                <c:pt idx="9">
                  <c:v>-1.5</c:v>
                </c:pt>
                <c:pt idx="10">
                  <c:v>0</c:v>
                </c:pt>
                <c:pt idx="11">
                  <c:v>1.5</c:v>
                </c:pt>
                <c:pt idx="12">
                  <c:v>3</c:v>
                </c:pt>
                <c:pt idx="13">
                  <c:v>4.5</c:v>
                </c:pt>
                <c:pt idx="14">
                  <c:v>6</c:v>
                </c:pt>
                <c:pt idx="15">
                  <c:v>7.5</c:v>
                </c:pt>
                <c:pt idx="16">
                  <c:v>9</c:v>
                </c:pt>
                <c:pt idx="17">
                  <c:v>10.5</c:v>
                </c:pt>
                <c:pt idx="18">
                  <c:v>12</c:v>
                </c:pt>
                <c:pt idx="19">
                  <c:v>13.5</c:v>
                </c:pt>
                <c:pt idx="20">
                  <c:v>15</c:v>
                </c:pt>
                <c:pt idx="21">
                  <c:v>16.5</c:v>
                </c:pt>
                <c:pt idx="22">
                  <c:v>18</c:v>
                </c:pt>
                <c:pt idx="23">
                  <c:v>19.5</c:v>
                </c:pt>
                <c:pt idx="24">
                  <c:v>21</c:v>
                </c:pt>
                <c:pt idx="25">
                  <c:v>22.5</c:v>
                </c:pt>
                <c:pt idx="26">
                  <c:v>24</c:v>
                </c:pt>
                <c:pt idx="27">
                  <c:v>25.5</c:v>
                </c:pt>
                <c:pt idx="28">
                  <c:v>27</c:v>
                </c:pt>
                <c:pt idx="29">
                  <c:v>28.5</c:v>
                </c:pt>
                <c:pt idx="30">
                  <c:v>30</c:v>
                </c:pt>
                <c:pt idx="31">
                  <c:v>31.5</c:v>
                </c:pt>
              </c:numCache>
            </c:numRef>
          </c:xVal>
          <c:yVal>
            <c:numRef>
              <c:f>'0 - Accueil'!$R$6:$R$37</c:f>
              <c:numCache>
                <c:formatCode>_-* #\ ##0_-;\-* #\ ##0_-;_-* "-"??_-;_-@_-</c:formatCode>
                <c:ptCount val="32"/>
                <c:pt idx="0">
                  <c:v>934.99999999999989</c:v>
                </c:pt>
                <c:pt idx="1">
                  <c:v>941.19999999999993</c:v>
                </c:pt>
                <c:pt idx="2">
                  <c:v>947.4</c:v>
                </c:pt>
                <c:pt idx="3">
                  <c:v>954.19999999999993</c:v>
                </c:pt>
                <c:pt idx="4">
                  <c:v>960.4</c:v>
                </c:pt>
                <c:pt idx="5">
                  <c:v>967.19999999999993</c:v>
                </c:pt>
                <c:pt idx="6">
                  <c:v>973.4</c:v>
                </c:pt>
                <c:pt idx="7">
                  <c:v>980.19999999999993</c:v>
                </c:pt>
                <c:pt idx="8">
                  <c:v>986.99999999999989</c:v>
                </c:pt>
                <c:pt idx="9">
                  <c:v>993.19999999999993</c:v>
                </c:pt>
                <c:pt idx="10">
                  <c:v>999.99999999999989</c:v>
                </c:pt>
                <c:pt idx="11">
                  <c:v>1006.7999999999998</c:v>
                </c:pt>
                <c:pt idx="12">
                  <c:v>1013.5999999999998</c:v>
                </c:pt>
                <c:pt idx="13">
                  <c:v>1019.7999999999998</c:v>
                </c:pt>
                <c:pt idx="14">
                  <c:v>1026.5999999999999</c:v>
                </c:pt>
                <c:pt idx="15">
                  <c:v>1033.3999999999996</c:v>
                </c:pt>
                <c:pt idx="16">
                  <c:v>1040.1999999999998</c:v>
                </c:pt>
                <c:pt idx="17">
                  <c:v>1046.9999999999995</c:v>
                </c:pt>
                <c:pt idx="18">
                  <c:v>1053.7999999999997</c:v>
                </c:pt>
                <c:pt idx="19">
                  <c:v>1060.5999999999995</c:v>
                </c:pt>
                <c:pt idx="20">
                  <c:v>1067.3999999999996</c:v>
                </c:pt>
                <c:pt idx="21">
                  <c:v>1074.1999999999994</c:v>
                </c:pt>
                <c:pt idx="22">
                  <c:v>1081.6999999999994</c:v>
                </c:pt>
                <c:pt idx="23">
                  <c:v>1088.4999999999995</c:v>
                </c:pt>
                <c:pt idx="24">
                  <c:v>1095.2999999999993</c:v>
                </c:pt>
                <c:pt idx="25">
                  <c:v>1102.0999999999995</c:v>
                </c:pt>
                <c:pt idx="26">
                  <c:v>1109.5999999999995</c:v>
                </c:pt>
                <c:pt idx="27">
                  <c:v>1116.3999999999992</c:v>
                </c:pt>
                <c:pt idx="28">
                  <c:v>1123.1999999999994</c:v>
                </c:pt>
                <c:pt idx="29">
                  <c:v>1130.6999999999994</c:v>
                </c:pt>
                <c:pt idx="30">
                  <c:v>1137.4999999999991</c:v>
                </c:pt>
                <c:pt idx="31">
                  <c:v>1144.9999999999991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F75-445E-B36A-6411137E01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2592384"/>
        <c:axId val="1032594544"/>
      </c:scatterChart>
      <c:valAx>
        <c:axId val="1032592384"/>
        <c:scaling>
          <c:orientation val="minMax"/>
          <c:max val="35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H"/>
                  <a:t>Température [°C]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32594544"/>
        <c:crosses val="autoZero"/>
        <c:crossBetween val="midCat"/>
        <c:majorUnit val="5"/>
        <c:minorUnit val="1"/>
      </c:valAx>
      <c:valAx>
        <c:axId val="103259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H"/>
                  <a:t>R [</a:t>
                </a:r>
                <a:r>
                  <a:rPr lang="el-GR"/>
                  <a:t>Ω</a:t>
                </a:r>
                <a:r>
                  <a:rPr lang="fr-CH"/>
                  <a:t>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_-* #\ ##0_-;\-* #\ ##0_-;_-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32592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'2 - Recherche type NTC'!$E$1</c:f>
              <c:strCache>
                <c:ptCount val="1"/>
                <c:pt idx="0">
                  <c:v>T diff °C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'2 - Recherche type NTC'!$A$2:$A$13</c:f>
              <c:numCache>
                <c:formatCode>General</c:formatCode>
                <c:ptCount val="12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  <c:pt idx="10">
                  <c:v>30</c:v>
                </c:pt>
                <c:pt idx="11">
                  <c:v>35</c:v>
                </c:pt>
              </c:numCache>
            </c:numRef>
          </c:cat>
          <c:val>
            <c:numRef>
              <c:f>'2 - Recherche type NTC'!$E$2:$E$13</c:f>
              <c:numCache>
                <c:formatCode>0.00</c:formatCode>
                <c:ptCount val="12"/>
                <c:pt idx="0">
                  <c:v>-0.1096563028688422</c:v>
                </c:pt>
                <c:pt idx="1">
                  <c:v>-0.10175729578571691</c:v>
                </c:pt>
                <c:pt idx="2">
                  <c:v>-8.4196567519541077E-2</c:v>
                </c:pt>
                <c:pt idx="3">
                  <c:v>-6.8893696551356243E-2</c:v>
                </c:pt>
                <c:pt idx="4">
                  <c:v>-5.707930020406593E-2</c:v>
                </c:pt>
                <c:pt idx="5">
                  <c:v>-4.4654748268953881E-2</c:v>
                </c:pt>
                <c:pt idx="6">
                  <c:v>-2.9194487331665187E-2</c:v>
                </c:pt>
                <c:pt idx="7">
                  <c:v>-1.388937700068027E-2</c:v>
                </c:pt>
                <c:pt idx="8">
                  <c:v>-4.2683753637220434E-3</c:v>
                </c:pt>
                <c:pt idx="9">
                  <c:v>0</c:v>
                </c:pt>
                <c:pt idx="10">
                  <c:v>-1.9714965675916574E-3</c:v>
                </c:pt>
                <c:pt idx="11">
                  <c:v>-9.2537463604514869E-2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FA-428E-A811-D36C81244A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24785496"/>
        <c:axId val="924792336"/>
      </c:barChart>
      <c:catAx>
        <c:axId val="9247854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H"/>
                  <a:t>Température mesurée [°C]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24792336"/>
        <c:crosses val="autoZero"/>
        <c:auto val="1"/>
        <c:lblAlgn val="ctr"/>
        <c:lblOffset val="100"/>
        <c:noMultiLvlLbl val="0"/>
      </c:catAx>
      <c:valAx>
        <c:axId val="924792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u="none" strike="noStrike" kern="1200" cap="none" spc="20" baseline="0">
                    <a:solidFill>
                      <a:sysClr val="windowText" lastClr="000000">
                        <a:lumMod val="50000"/>
                        <a:lumOff val="50000"/>
                      </a:sysClr>
                    </a:solidFill>
                  </a:rPr>
                  <a:t>T diff [°C]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24785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'2 - Recherche type NTC'!$A$2:$A$13</c:f>
              <c:numCache>
                <c:formatCode>General</c:formatCode>
                <c:ptCount val="12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  <c:pt idx="10">
                  <c:v>30</c:v>
                </c:pt>
                <c:pt idx="11">
                  <c:v>35</c:v>
                </c:pt>
              </c:numCache>
            </c:numRef>
          </c:xVal>
          <c:yVal>
            <c:numRef>
              <c:f>'2 - Recherche type NTC'!$B$2:$B$13</c:f>
              <c:numCache>
                <c:formatCode>General</c:formatCode>
                <c:ptCount val="12"/>
                <c:pt idx="0">
                  <c:v>96970</c:v>
                </c:pt>
                <c:pt idx="1">
                  <c:v>72916.25</c:v>
                </c:pt>
                <c:pt idx="2">
                  <c:v>55300</c:v>
                </c:pt>
                <c:pt idx="3">
                  <c:v>42311.56</c:v>
                </c:pt>
                <c:pt idx="4">
                  <c:v>32650</c:v>
                </c:pt>
                <c:pt idx="5">
                  <c:v>25394.91</c:v>
                </c:pt>
                <c:pt idx="6">
                  <c:v>19900</c:v>
                </c:pt>
                <c:pt idx="7">
                  <c:v>15708.44</c:v>
                </c:pt>
                <c:pt idx="8">
                  <c:v>12490</c:v>
                </c:pt>
                <c:pt idx="9">
                  <c:v>10000</c:v>
                </c:pt>
                <c:pt idx="10">
                  <c:v>8060</c:v>
                </c:pt>
                <c:pt idx="11">
                  <c:v>6560.31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99-41C9-B85B-17C54646CF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2013984"/>
        <c:axId val="632017224"/>
      </c:scatterChart>
      <c:valAx>
        <c:axId val="632013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2017224"/>
        <c:crosses val="autoZero"/>
        <c:crossBetween val="midCat"/>
      </c:valAx>
      <c:valAx>
        <c:axId val="632017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2013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Valeurs fabriquant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'DeDietrich AF40'!$N$21:$N$29</c:f>
              <c:numCache>
                <c:formatCode>General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xVal>
          <c:yVal>
            <c:numRef>
              <c:f>'DeDietrich AF40'!$O$21:$O$29</c:f>
              <c:numCache>
                <c:formatCode>General</c:formatCode>
                <c:ptCount val="9"/>
                <c:pt idx="0">
                  <c:v>1388</c:v>
                </c:pt>
                <c:pt idx="1">
                  <c:v>1450</c:v>
                </c:pt>
                <c:pt idx="2">
                  <c:v>1514</c:v>
                </c:pt>
                <c:pt idx="3">
                  <c:v>1579</c:v>
                </c:pt>
                <c:pt idx="4">
                  <c:v>1646</c:v>
                </c:pt>
                <c:pt idx="5">
                  <c:v>1714</c:v>
                </c:pt>
                <c:pt idx="6">
                  <c:v>1784</c:v>
                </c:pt>
                <c:pt idx="7">
                  <c:v>1855</c:v>
                </c:pt>
                <c:pt idx="8">
                  <c:v>1928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F7A-4ADD-8260-6E9EC1109CA7}"/>
            </c:ext>
          </c:extLst>
        </c:ser>
        <c:ser>
          <c:idx val="0"/>
          <c:order val="1"/>
          <c:tx>
            <c:strRef>
              <c:f>'DeDietrich AF40'!$C$2</c:f>
              <c:strCache>
                <c:ptCount val="1"/>
                <c:pt idx="0">
                  <c:v>Rsonde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'DeDietrich AF40'!$B$3:$B$34</c:f>
              <c:numCache>
                <c:formatCode>0.0</c:formatCode>
                <c:ptCount val="32"/>
                <c:pt idx="0">
                  <c:v>-15</c:v>
                </c:pt>
                <c:pt idx="1">
                  <c:v>-13.5</c:v>
                </c:pt>
                <c:pt idx="2">
                  <c:v>-12</c:v>
                </c:pt>
                <c:pt idx="3">
                  <c:v>-10.5</c:v>
                </c:pt>
                <c:pt idx="4">
                  <c:v>-9</c:v>
                </c:pt>
                <c:pt idx="5">
                  <c:v>-7.5</c:v>
                </c:pt>
                <c:pt idx="6">
                  <c:v>-6</c:v>
                </c:pt>
                <c:pt idx="7">
                  <c:v>-4.5</c:v>
                </c:pt>
                <c:pt idx="8">
                  <c:v>-3</c:v>
                </c:pt>
                <c:pt idx="9">
                  <c:v>-1.5</c:v>
                </c:pt>
                <c:pt idx="10">
                  <c:v>0</c:v>
                </c:pt>
                <c:pt idx="11">
                  <c:v>1.5</c:v>
                </c:pt>
                <c:pt idx="12">
                  <c:v>3</c:v>
                </c:pt>
                <c:pt idx="13">
                  <c:v>4.5</c:v>
                </c:pt>
                <c:pt idx="14">
                  <c:v>6</c:v>
                </c:pt>
                <c:pt idx="15">
                  <c:v>7.5</c:v>
                </c:pt>
                <c:pt idx="16">
                  <c:v>9</c:v>
                </c:pt>
                <c:pt idx="17">
                  <c:v>10.5</c:v>
                </c:pt>
                <c:pt idx="18">
                  <c:v>12</c:v>
                </c:pt>
                <c:pt idx="19">
                  <c:v>13.5</c:v>
                </c:pt>
                <c:pt idx="20">
                  <c:v>15</c:v>
                </c:pt>
                <c:pt idx="21">
                  <c:v>16.5</c:v>
                </c:pt>
                <c:pt idx="22">
                  <c:v>18</c:v>
                </c:pt>
                <c:pt idx="23">
                  <c:v>19.5</c:v>
                </c:pt>
                <c:pt idx="24">
                  <c:v>21</c:v>
                </c:pt>
                <c:pt idx="25">
                  <c:v>22.5</c:v>
                </c:pt>
                <c:pt idx="26">
                  <c:v>24</c:v>
                </c:pt>
                <c:pt idx="27">
                  <c:v>25.5</c:v>
                </c:pt>
                <c:pt idx="28">
                  <c:v>27</c:v>
                </c:pt>
                <c:pt idx="29">
                  <c:v>28.5</c:v>
                </c:pt>
                <c:pt idx="30">
                  <c:v>30</c:v>
                </c:pt>
                <c:pt idx="31">
                  <c:v>31.5</c:v>
                </c:pt>
              </c:numCache>
            </c:numRef>
          </c:xVal>
          <c:yVal>
            <c:numRef>
              <c:f>'DeDietrich AF40'!$C$3:$C$34</c:f>
              <c:numCache>
                <c:formatCode>0.00</c:formatCode>
                <c:ptCount val="32"/>
                <c:pt idx="0">
                  <c:v>1448.4</c:v>
                </c:pt>
                <c:pt idx="1">
                  <c:v>1468.65</c:v>
                </c:pt>
                <c:pt idx="2">
                  <c:v>1488.9</c:v>
                </c:pt>
                <c:pt idx="3">
                  <c:v>1509.15</c:v>
                </c:pt>
                <c:pt idx="4">
                  <c:v>1529.4</c:v>
                </c:pt>
                <c:pt idx="5">
                  <c:v>1549.65</c:v>
                </c:pt>
                <c:pt idx="6">
                  <c:v>1569.9</c:v>
                </c:pt>
                <c:pt idx="7">
                  <c:v>1590.15</c:v>
                </c:pt>
                <c:pt idx="8">
                  <c:v>1610.4</c:v>
                </c:pt>
                <c:pt idx="9">
                  <c:v>1630.65</c:v>
                </c:pt>
                <c:pt idx="10">
                  <c:v>1650.9</c:v>
                </c:pt>
                <c:pt idx="11">
                  <c:v>1671.15</c:v>
                </c:pt>
                <c:pt idx="12">
                  <c:v>1691.4</c:v>
                </c:pt>
                <c:pt idx="13">
                  <c:v>1711.65</c:v>
                </c:pt>
                <c:pt idx="14">
                  <c:v>1731.9</c:v>
                </c:pt>
                <c:pt idx="15">
                  <c:v>1752.15</c:v>
                </c:pt>
                <c:pt idx="16">
                  <c:v>1772.4</c:v>
                </c:pt>
                <c:pt idx="17">
                  <c:v>1792.65</c:v>
                </c:pt>
                <c:pt idx="18">
                  <c:v>1812.9</c:v>
                </c:pt>
                <c:pt idx="19">
                  <c:v>1833.15</c:v>
                </c:pt>
                <c:pt idx="20">
                  <c:v>1853.4</c:v>
                </c:pt>
                <c:pt idx="21">
                  <c:v>1873.65</c:v>
                </c:pt>
                <c:pt idx="22">
                  <c:v>1893.9</c:v>
                </c:pt>
                <c:pt idx="23">
                  <c:v>1914.15</c:v>
                </c:pt>
                <c:pt idx="24">
                  <c:v>1934.4</c:v>
                </c:pt>
                <c:pt idx="25">
                  <c:v>1954.65</c:v>
                </c:pt>
                <c:pt idx="26">
                  <c:v>1974.9</c:v>
                </c:pt>
                <c:pt idx="27">
                  <c:v>1995.15</c:v>
                </c:pt>
                <c:pt idx="28">
                  <c:v>2015.4</c:v>
                </c:pt>
                <c:pt idx="29">
                  <c:v>2035.65</c:v>
                </c:pt>
                <c:pt idx="30">
                  <c:v>2055.9</c:v>
                </c:pt>
                <c:pt idx="31">
                  <c:v>2076.15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7A-4ADD-8260-6E9EC1109CA7}"/>
            </c:ext>
          </c:extLst>
        </c:ser>
        <c:ser>
          <c:idx val="1"/>
          <c:order val="2"/>
          <c:tx>
            <c:strRef>
              <c:f>'DeDietrich AF40'!$D$2</c:f>
              <c:strCache>
                <c:ptCount val="1"/>
                <c:pt idx="0">
                  <c:v>Rpcb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'DeDietrich AF40'!$B$3:$B$34</c:f>
              <c:numCache>
                <c:formatCode>0.0</c:formatCode>
                <c:ptCount val="32"/>
                <c:pt idx="0">
                  <c:v>-15</c:v>
                </c:pt>
                <c:pt idx="1">
                  <c:v>-13.5</c:v>
                </c:pt>
                <c:pt idx="2">
                  <c:v>-12</c:v>
                </c:pt>
                <c:pt idx="3">
                  <c:v>-10.5</c:v>
                </c:pt>
                <c:pt idx="4">
                  <c:v>-9</c:v>
                </c:pt>
                <c:pt idx="5">
                  <c:v>-7.5</c:v>
                </c:pt>
                <c:pt idx="6">
                  <c:v>-6</c:v>
                </c:pt>
                <c:pt idx="7">
                  <c:v>-4.5</c:v>
                </c:pt>
                <c:pt idx="8">
                  <c:v>-3</c:v>
                </c:pt>
                <c:pt idx="9">
                  <c:v>-1.5</c:v>
                </c:pt>
                <c:pt idx="10">
                  <c:v>0</c:v>
                </c:pt>
                <c:pt idx="11">
                  <c:v>1.5</c:v>
                </c:pt>
                <c:pt idx="12">
                  <c:v>3</c:v>
                </c:pt>
                <c:pt idx="13">
                  <c:v>4.5</c:v>
                </c:pt>
                <c:pt idx="14">
                  <c:v>6</c:v>
                </c:pt>
                <c:pt idx="15">
                  <c:v>7.5</c:v>
                </c:pt>
                <c:pt idx="16">
                  <c:v>9</c:v>
                </c:pt>
                <c:pt idx="17">
                  <c:v>10.5</c:v>
                </c:pt>
                <c:pt idx="18">
                  <c:v>12</c:v>
                </c:pt>
                <c:pt idx="19">
                  <c:v>13.5</c:v>
                </c:pt>
                <c:pt idx="20">
                  <c:v>15</c:v>
                </c:pt>
                <c:pt idx="21">
                  <c:v>16.5</c:v>
                </c:pt>
                <c:pt idx="22">
                  <c:v>18</c:v>
                </c:pt>
                <c:pt idx="23">
                  <c:v>19.5</c:v>
                </c:pt>
                <c:pt idx="24">
                  <c:v>21</c:v>
                </c:pt>
                <c:pt idx="25">
                  <c:v>22.5</c:v>
                </c:pt>
                <c:pt idx="26">
                  <c:v>24</c:v>
                </c:pt>
                <c:pt idx="27">
                  <c:v>25.5</c:v>
                </c:pt>
                <c:pt idx="28">
                  <c:v>27</c:v>
                </c:pt>
                <c:pt idx="29">
                  <c:v>28.5</c:v>
                </c:pt>
                <c:pt idx="30">
                  <c:v>30</c:v>
                </c:pt>
                <c:pt idx="31">
                  <c:v>31.5</c:v>
                </c:pt>
              </c:numCache>
            </c:numRef>
          </c:xVal>
          <c:yVal>
            <c:numRef>
              <c:f>'DeDietrich AF40'!$D$3:$D$34</c:f>
              <c:numCache>
                <c:formatCode>0.00</c:formatCode>
                <c:ptCount val="32"/>
                <c:pt idx="0">
                  <c:v>1448</c:v>
                </c:pt>
                <c:pt idx="1">
                  <c:v>1468</c:v>
                </c:pt>
                <c:pt idx="2">
                  <c:v>1488</c:v>
                </c:pt>
                <c:pt idx="3">
                  <c:v>1510</c:v>
                </c:pt>
                <c:pt idx="4">
                  <c:v>1530</c:v>
                </c:pt>
                <c:pt idx="5">
                  <c:v>1550</c:v>
                </c:pt>
                <c:pt idx="6">
                  <c:v>1570</c:v>
                </c:pt>
                <c:pt idx="7">
                  <c:v>1590</c:v>
                </c:pt>
                <c:pt idx="8">
                  <c:v>1610</c:v>
                </c:pt>
                <c:pt idx="9">
                  <c:v>1630</c:v>
                </c:pt>
                <c:pt idx="10">
                  <c:v>1650</c:v>
                </c:pt>
                <c:pt idx="11">
                  <c:v>1672</c:v>
                </c:pt>
                <c:pt idx="12">
                  <c:v>1692</c:v>
                </c:pt>
                <c:pt idx="13">
                  <c:v>1712</c:v>
                </c:pt>
                <c:pt idx="14">
                  <c:v>1732</c:v>
                </c:pt>
                <c:pt idx="15">
                  <c:v>1752</c:v>
                </c:pt>
                <c:pt idx="16">
                  <c:v>1772</c:v>
                </c:pt>
                <c:pt idx="17">
                  <c:v>1792</c:v>
                </c:pt>
                <c:pt idx="18">
                  <c:v>1812</c:v>
                </c:pt>
                <c:pt idx="19">
                  <c:v>1834</c:v>
                </c:pt>
                <c:pt idx="20">
                  <c:v>1854</c:v>
                </c:pt>
                <c:pt idx="21">
                  <c:v>1874</c:v>
                </c:pt>
                <c:pt idx="22">
                  <c:v>1894</c:v>
                </c:pt>
                <c:pt idx="23">
                  <c:v>1914</c:v>
                </c:pt>
                <c:pt idx="24">
                  <c:v>1934</c:v>
                </c:pt>
                <c:pt idx="25">
                  <c:v>1954</c:v>
                </c:pt>
                <c:pt idx="26">
                  <c:v>1974</c:v>
                </c:pt>
                <c:pt idx="27">
                  <c:v>1996</c:v>
                </c:pt>
                <c:pt idx="28">
                  <c:v>2016</c:v>
                </c:pt>
                <c:pt idx="29">
                  <c:v>2036</c:v>
                </c:pt>
                <c:pt idx="30">
                  <c:v>2056</c:v>
                </c:pt>
                <c:pt idx="31">
                  <c:v>2076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F7A-4ADD-8260-6E9EC1109C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2165152"/>
        <c:axId val="782174152"/>
      </c:scatterChart>
      <c:valAx>
        <c:axId val="782165152"/>
        <c:scaling>
          <c:orientation val="minMax"/>
          <c:max val="35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82174152"/>
        <c:crosses val="autoZero"/>
        <c:crossBetween val="midCat"/>
      </c:valAx>
      <c:valAx>
        <c:axId val="782174152"/>
        <c:scaling>
          <c:orientation val="minMax"/>
          <c:max val="2100"/>
          <c:min val="1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82165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'KTY81-210'!$N$20:$N$43</c:f>
              <c:numCache>
                <c:formatCode>General</c:formatCode>
                <c:ptCount val="24"/>
                <c:pt idx="0">
                  <c:v>-20</c:v>
                </c:pt>
                <c:pt idx="1">
                  <c:v>-18</c:v>
                </c:pt>
                <c:pt idx="2">
                  <c:v>-16</c:v>
                </c:pt>
                <c:pt idx="3">
                  <c:v>-14</c:v>
                </c:pt>
                <c:pt idx="4">
                  <c:v>-12</c:v>
                </c:pt>
                <c:pt idx="5">
                  <c:v>-10</c:v>
                </c:pt>
                <c:pt idx="6">
                  <c:v>-8</c:v>
                </c:pt>
                <c:pt idx="7">
                  <c:v>-6</c:v>
                </c:pt>
                <c:pt idx="8">
                  <c:v>-4</c:v>
                </c:pt>
                <c:pt idx="9">
                  <c:v>-2</c:v>
                </c:pt>
                <c:pt idx="10">
                  <c:v>0</c:v>
                </c:pt>
                <c:pt idx="11">
                  <c:v>2</c:v>
                </c:pt>
                <c:pt idx="12">
                  <c:v>4</c:v>
                </c:pt>
                <c:pt idx="13">
                  <c:v>6</c:v>
                </c:pt>
                <c:pt idx="14">
                  <c:v>8</c:v>
                </c:pt>
                <c:pt idx="15">
                  <c:v>10</c:v>
                </c:pt>
                <c:pt idx="16">
                  <c:v>12</c:v>
                </c:pt>
                <c:pt idx="17">
                  <c:v>14</c:v>
                </c:pt>
                <c:pt idx="18">
                  <c:v>16</c:v>
                </c:pt>
                <c:pt idx="19">
                  <c:v>18</c:v>
                </c:pt>
                <c:pt idx="20">
                  <c:v>20</c:v>
                </c:pt>
                <c:pt idx="21">
                  <c:v>25</c:v>
                </c:pt>
                <c:pt idx="22">
                  <c:v>30</c:v>
                </c:pt>
                <c:pt idx="23">
                  <c:v>35</c:v>
                </c:pt>
              </c:numCache>
            </c:numRef>
          </c:xVal>
          <c:yVal>
            <c:numRef>
              <c:f>'KTY81-210'!$O$20:$O$43</c:f>
              <c:numCache>
                <c:formatCode>General</c:formatCode>
                <c:ptCount val="24"/>
                <c:pt idx="0">
                  <c:v>1368</c:v>
                </c:pt>
                <c:pt idx="1">
                  <c:v>1393</c:v>
                </c:pt>
                <c:pt idx="2">
                  <c:v>1418</c:v>
                </c:pt>
                <c:pt idx="3">
                  <c:v>1444</c:v>
                </c:pt>
                <c:pt idx="4">
                  <c:v>1469</c:v>
                </c:pt>
                <c:pt idx="5">
                  <c:v>1495</c:v>
                </c:pt>
                <c:pt idx="6">
                  <c:v>1522</c:v>
                </c:pt>
                <c:pt idx="7">
                  <c:v>1549</c:v>
                </c:pt>
                <c:pt idx="8">
                  <c:v>1576</c:v>
                </c:pt>
                <c:pt idx="9">
                  <c:v>1603</c:v>
                </c:pt>
                <c:pt idx="10">
                  <c:v>1630</c:v>
                </c:pt>
                <c:pt idx="11">
                  <c:v>1658</c:v>
                </c:pt>
                <c:pt idx="12">
                  <c:v>1686</c:v>
                </c:pt>
                <c:pt idx="13">
                  <c:v>1714</c:v>
                </c:pt>
                <c:pt idx="14">
                  <c:v>1743</c:v>
                </c:pt>
                <c:pt idx="15">
                  <c:v>1772</c:v>
                </c:pt>
                <c:pt idx="16">
                  <c:v>1802</c:v>
                </c:pt>
                <c:pt idx="17">
                  <c:v>1831</c:v>
                </c:pt>
                <c:pt idx="18">
                  <c:v>1862</c:v>
                </c:pt>
                <c:pt idx="19">
                  <c:v>1892</c:v>
                </c:pt>
                <c:pt idx="20">
                  <c:v>1922</c:v>
                </c:pt>
                <c:pt idx="21">
                  <c:v>2000</c:v>
                </c:pt>
                <c:pt idx="22">
                  <c:v>2080</c:v>
                </c:pt>
                <c:pt idx="23">
                  <c:v>2161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3E-47CD-A3B1-37AB60FF691C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'KTY81-210'!$N$20:$N$43</c:f>
              <c:numCache>
                <c:formatCode>General</c:formatCode>
                <c:ptCount val="24"/>
                <c:pt idx="0">
                  <c:v>-20</c:v>
                </c:pt>
                <c:pt idx="1">
                  <c:v>-18</c:v>
                </c:pt>
                <c:pt idx="2">
                  <c:v>-16</c:v>
                </c:pt>
                <c:pt idx="3">
                  <c:v>-14</c:v>
                </c:pt>
                <c:pt idx="4">
                  <c:v>-12</c:v>
                </c:pt>
                <c:pt idx="5">
                  <c:v>-10</c:v>
                </c:pt>
                <c:pt idx="6">
                  <c:v>-8</c:v>
                </c:pt>
                <c:pt idx="7">
                  <c:v>-6</c:v>
                </c:pt>
                <c:pt idx="8">
                  <c:v>-4</c:v>
                </c:pt>
                <c:pt idx="9">
                  <c:v>-2</c:v>
                </c:pt>
                <c:pt idx="10">
                  <c:v>0</c:v>
                </c:pt>
                <c:pt idx="11">
                  <c:v>2</c:v>
                </c:pt>
                <c:pt idx="12">
                  <c:v>4</c:v>
                </c:pt>
                <c:pt idx="13">
                  <c:v>6</c:v>
                </c:pt>
                <c:pt idx="14">
                  <c:v>8</c:v>
                </c:pt>
                <c:pt idx="15">
                  <c:v>10</c:v>
                </c:pt>
                <c:pt idx="16">
                  <c:v>12</c:v>
                </c:pt>
                <c:pt idx="17">
                  <c:v>14</c:v>
                </c:pt>
                <c:pt idx="18">
                  <c:v>16</c:v>
                </c:pt>
                <c:pt idx="19">
                  <c:v>18</c:v>
                </c:pt>
                <c:pt idx="20">
                  <c:v>20</c:v>
                </c:pt>
                <c:pt idx="21">
                  <c:v>25</c:v>
                </c:pt>
                <c:pt idx="22">
                  <c:v>30</c:v>
                </c:pt>
                <c:pt idx="23">
                  <c:v>35</c:v>
                </c:pt>
              </c:numCache>
            </c:numRef>
          </c:xVal>
          <c:yVal>
            <c:numRef>
              <c:f>'KTY81-210'!$P$20:$P$43</c:f>
              <c:numCache>
                <c:formatCode>0.0</c:formatCode>
                <c:ptCount val="24"/>
                <c:pt idx="0">
                  <c:v>1351.8941738734636</c:v>
                </c:pt>
                <c:pt idx="1">
                  <c:v>1380.4715065999089</c:v>
                </c:pt>
                <c:pt idx="2">
                  <c:v>1409.048839326354</c:v>
                </c:pt>
                <c:pt idx="3">
                  <c:v>1437.6261720527991</c:v>
                </c:pt>
                <c:pt idx="4">
                  <c:v>1466.2035047792442</c:v>
                </c:pt>
                <c:pt idx="5">
                  <c:v>1494.7808375056895</c:v>
                </c:pt>
                <c:pt idx="6">
                  <c:v>1523.3581702321346</c:v>
                </c:pt>
                <c:pt idx="7">
                  <c:v>1551.9355029585797</c:v>
                </c:pt>
                <c:pt idx="8">
                  <c:v>1580.5128356850248</c:v>
                </c:pt>
                <c:pt idx="9">
                  <c:v>1609.0901684114701</c:v>
                </c:pt>
                <c:pt idx="10">
                  <c:v>1637.6675011379152</c:v>
                </c:pt>
                <c:pt idx="11">
                  <c:v>1666.2448338643603</c:v>
                </c:pt>
                <c:pt idx="12">
                  <c:v>1694.8221665908056</c:v>
                </c:pt>
                <c:pt idx="13">
                  <c:v>1723.3994993172507</c:v>
                </c:pt>
                <c:pt idx="14">
                  <c:v>1751.9768320436958</c:v>
                </c:pt>
                <c:pt idx="15">
                  <c:v>1780.5541647701409</c:v>
                </c:pt>
                <c:pt idx="16">
                  <c:v>1809.1314974965862</c:v>
                </c:pt>
                <c:pt idx="17">
                  <c:v>1837.7088302230313</c:v>
                </c:pt>
                <c:pt idx="18">
                  <c:v>1866.2861629494764</c:v>
                </c:pt>
                <c:pt idx="19">
                  <c:v>1894.8634956759215</c:v>
                </c:pt>
                <c:pt idx="20">
                  <c:v>1923.4408284023668</c:v>
                </c:pt>
                <c:pt idx="21">
                  <c:v>1994.8841602184798</c:v>
                </c:pt>
                <c:pt idx="22">
                  <c:v>2066.3274920345925</c:v>
                </c:pt>
                <c:pt idx="23">
                  <c:v>2137.7708238507057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3E-47CD-A3B1-37AB60FF69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2043144"/>
        <c:axId val="632050704"/>
      </c:scatterChart>
      <c:valAx>
        <c:axId val="632043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2050704"/>
        <c:crosses val="autoZero"/>
        <c:crossBetween val="midCat"/>
      </c:valAx>
      <c:valAx>
        <c:axId val="632050704"/>
        <c:scaling>
          <c:orientation val="minMax"/>
          <c:min val="1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2043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"Valeurs fabricant"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'Siemens QAC32'!$N$21:$N$71</c:f>
              <c:numCache>
                <c:formatCode>General</c:formatCode>
                <c:ptCount val="51"/>
                <c:pt idx="0">
                  <c:v>-20</c:v>
                </c:pt>
                <c:pt idx="1">
                  <c:v>-19</c:v>
                </c:pt>
                <c:pt idx="2">
                  <c:v>-18</c:v>
                </c:pt>
                <c:pt idx="3">
                  <c:v>-17</c:v>
                </c:pt>
                <c:pt idx="4">
                  <c:v>-16</c:v>
                </c:pt>
                <c:pt idx="5">
                  <c:v>-15</c:v>
                </c:pt>
                <c:pt idx="6">
                  <c:v>-14</c:v>
                </c:pt>
                <c:pt idx="7">
                  <c:v>-13</c:v>
                </c:pt>
                <c:pt idx="8">
                  <c:v>-12</c:v>
                </c:pt>
                <c:pt idx="9">
                  <c:v>-11</c:v>
                </c:pt>
                <c:pt idx="10">
                  <c:v>-10</c:v>
                </c:pt>
                <c:pt idx="11">
                  <c:v>-9</c:v>
                </c:pt>
                <c:pt idx="12">
                  <c:v>-8</c:v>
                </c:pt>
                <c:pt idx="13">
                  <c:v>-7</c:v>
                </c:pt>
                <c:pt idx="14">
                  <c:v>-6</c:v>
                </c:pt>
                <c:pt idx="15">
                  <c:v>-5</c:v>
                </c:pt>
                <c:pt idx="16">
                  <c:v>-4</c:v>
                </c:pt>
                <c:pt idx="17">
                  <c:v>-3</c:v>
                </c:pt>
                <c:pt idx="18">
                  <c:v>-2</c:v>
                </c:pt>
                <c:pt idx="19">
                  <c:v>-1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3</c:v>
                </c:pt>
                <c:pt idx="24">
                  <c:v>4</c:v>
                </c:pt>
                <c:pt idx="25">
                  <c:v>5</c:v>
                </c:pt>
                <c:pt idx="26">
                  <c:v>6</c:v>
                </c:pt>
                <c:pt idx="27">
                  <c:v>7</c:v>
                </c:pt>
                <c:pt idx="28">
                  <c:v>8</c:v>
                </c:pt>
                <c:pt idx="29">
                  <c:v>9</c:v>
                </c:pt>
                <c:pt idx="30">
                  <c:v>10</c:v>
                </c:pt>
                <c:pt idx="31">
                  <c:v>11</c:v>
                </c:pt>
                <c:pt idx="32">
                  <c:v>12</c:v>
                </c:pt>
                <c:pt idx="33">
                  <c:v>13</c:v>
                </c:pt>
                <c:pt idx="34">
                  <c:v>14</c:v>
                </c:pt>
                <c:pt idx="35">
                  <c:v>15</c:v>
                </c:pt>
                <c:pt idx="36">
                  <c:v>16</c:v>
                </c:pt>
                <c:pt idx="37">
                  <c:v>17</c:v>
                </c:pt>
                <c:pt idx="38">
                  <c:v>18</c:v>
                </c:pt>
                <c:pt idx="39">
                  <c:v>19</c:v>
                </c:pt>
                <c:pt idx="40">
                  <c:v>20</c:v>
                </c:pt>
                <c:pt idx="41">
                  <c:v>21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25</c:v>
                </c:pt>
                <c:pt idx="46">
                  <c:v>26</c:v>
                </c:pt>
                <c:pt idx="47">
                  <c:v>27</c:v>
                </c:pt>
                <c:pt idx="48">
                  <c:v>28</c:v>
                </c:pt>
                <c:pt idx="49">
                  <c:v>29</c:v>
                </c:pt>
                <c:pt idx="50">
                  <c:v>30</c:v>
                </c:pt>
              </c:numCache>
            </c:numRef>
          </c:xVal>
          <c:yVal>
            <c:numRef>
              <c:f>'Siemens QAC32'!$O$21:$O$71</c:f>
              <c:numCache>
                <c:formatCode>General</c:formatCode>
                <c:ptCount val="51"/>
                <c:pt idx="0">
                  <c:v>657.34</c:v>
                </c:pt>
                <c:pt idx="1">
                  <c:v>656.04</c:v>
                </c:pt>
                <c:pt idx="2">
                  <c:v>654.69000000000005</c:v>
                </c:pt>
                <c:pt idx="3">
                  <c:v>653.30999999999995</c:v>
                </c:pt>
                <c:pt idx="4">
                  <c:v>651.88</c:v>
                </c:pt>
                <c:pt idx="5">
                  <c:v>650.4</c:v>
                </c:pt>
                <c:pt idx="6">
                  <c:v>648.89</c:v>
                </c:pt>
                <c:pt idx="7">
                  <c:v>647.33000000000004</c:v>
                </c:pt>
                <c:pt idx="8">
                  <c:v>645.72</c:v>
                </c:pt>
                <c:pt idx="9">
                  <c:v>644.07000000000005</c:v>
                </c:pt>
                <c:pt idx="10">
                  <c:v>642.38</c:v>
                </c:pt>
                <c:pt idx="11">
                  <c:v>640.65</c:v>
                </c:pt>
                <c:pt idx="12">
                  <c:v>638.87</c:v>
                </c:pt>
                <c:pt idx="13">
                  <c:v>637.04999999999995</c:v>
                </c:pt>
                <c:pt idx="14">
                  <c:v>635.19000000000005</c:v>
                </c:pt>
                <c:pt idx="15">
                  <c:v>633.29</c:v>
                </c:pt>
                <c:pt idx="16">
                  <c:v>631.35</c:v>
                </c:pt>
                <c:pt idx="17">
                  <c:v>629.37</c:v>
                </c:pt>
                <c:pt idx="18">
                  <c:v>627.36</c:v>
                </c:pt>
                <c:pt idx="19">
                  <c:v>625.29999999999995</c:v>
                </c:pt>
                <c:pt idx="20">
                  <c:v>623.21</c:v>
                </c:pt>
                <c:pt idx="21">
                  <c:v>621.08000000000004</c:v>
                </c:pt>
                <c:pt idx="22">
                  <c:v>618.91999999999996</c:v>
                </c:pt>
                <c:pt idx="23">
                  <c:v>616.73</c:v>
                </c:pt>
                <c:pt idx="24">
                  <c:v>614.5</c:v>
                </c:pt>
                <c:pt idx="25">
                  <c:v>612.24</c:v>
                </c:pt>
                <c:pt idx="26">
                  <c:v>609.96</c:v>
                </c:pt>
                <c:pt idx="27">
                  <c:v>607.65</c:v>
                </c:pt>
                <c:pt idx="28">
                  <c:v>605.32000000000005</c:v>
                </c:pt>
                <c:pt idx="29">
                  <c:v>602.96</c:v>
                </c:pt>
                <c:pt idx="30">
                  <c:v>600.58000000000004</c:v>
                </c:pt>
                <c:pt idx="31">
                  <c:v>598.17999999999995</c:v>
                </c:pt>
                <c:pt idx="32">
                  <c:v>595.76</c:v>
                </c:pt>
                <c:pt idx="33">
                  <c:v>593.32000000000005</c:v>
                </c:pt>
                <c:pt idx="34">
                  <c:v>590.87</c:v>
                </c:pt>
                <c:pt idx="35">
                  <c:v>588.41</c:v>
                </c:pt>
                <c:pt idx="36">
                  <c:v>585.94000000000005</c:v>
                </c:pt>
                <c:pt idx="37">
                  <c:v>583.45000000000005</c:v>
                </c:pt>
                <c:pt idx="38">
                  <c:v>580.97</c:v>
                </c:pt>
                <c:pt idx="39">
                  <c:v>578.47</c:v>
                </c:pt>
                <c:pt idx="40">
                  <c:v>575</c:v>
                </c:pt>
                <c:pt idx="41">
                  <c:v>573.47</c:v>
                </c:pt>
                <c:pt idx="42">
                  <c:v>570.98</c:v>
                </c:pt>
                <c:pt idx="43">
                  <c:v>568.48</c:v>
                </c:pt>
                <c:pt idx="44">
                  <c:v>565.99</c:v>
                </c:pt>
                <c:pt idx="45">
                  <c:v>563.5</c:v>
                </c:pt>
                <c:pt idx="46">
                  <c:v>561.02</c:v>
                </c:pt>
                <c:pt idx="47">
                  <c:v>558.54999999999995</c:v>
                </c:pt>
                <c:pt idx="48">
                  <c:v>556.09</c:v>
                </c:pt>
                <c:pt idx="49">
                  <c:v>553.64</c:v>
                </c:pt>
                <c:pt idx="50">
                  <c:v>551.21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02-47D7-A4D6-3B38944F952F}"/>
            </c:ext>
          </c:extLst>
        </c:ser>
        <c:ser>
          <c:idx val="0"/>
          <c:order val="1"/>
          <c:tx>
            <c:strRef>
              <c:f>'Siemens QAC32'!$C$2</c:f>
              <c:strCache>
                <c:ptCount val="1"/>
                <c:pt idx="0">
                  <c:v>Rsonde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'Siemens QAC32'!$B$3:$B$34</c:f>
              <c:numCache>
                <c:formatCode>0.0</c:formatCode>
                <c:ptCount val="32"/>
                <c:pt idx="0">
                  <c:v>-15</c:v>
                </c:pt>
                <c:pt idx="1">
                  <c:v>-13.5</c:v>
                </c:pt>
                <c:pt idx="2">
                  <c:v>-12</c:v>
                </c:pt>
                <c:pt idx="3">
                  <c:v>-10.5</c:v>
                </c:pt>
                <c:pt idx="4">
                  <c:v>-9</c:v>
                </c:pt>
                <c:pt idx="5">
                  <c:v>-7.5</c:v>
                </c:pt>
                <c:pt idx="6">
                  <c:v>-6</c:v>
                </c:pt>
                <c:pt idx="7">
                  <c:v>-4.5</c:v>
                </c:pt>
                <c:pt idx="8">
                  <c:v>-3</c:v>
                </c:pt>
                <c:pt idx="9">
                  <c:v>-1.5</c:v>
                </c:pt>
                <c:pt idx="10">
                  <c:v>0</c:v>
                </c:pt>
                <c:pt idx="11">
                  <c:v>1.5</c:v>
                </c:pt>
                <c:pt idx="12">
                  <c:v>3</c:v>
                </c:pt>
                <c:pt idx="13">
                  <c:v>4.5</c:v>
                </c:pt>
                <c:pt idx="14">
                  <c:v>6</c:v>
                </c:pt>
                <c:pt idx="15">
                  <c:v>7.5</c:v>
                </c:pt>
                <c:pt idx="16">
                  <c:v>9</c:v>
                </c:pt>
                <c:pt idx="17">
                  <c:v>10.5</c:v>
                </c:pt>
                <c:pt idx="18">
                  <c:v>12</c:v>
                </c:pt>
                <c:pt idx="19">
                  <c:v>13.5</c:v>
                </c:pt>
                <c:pt idx="20">
                  <c:v>15</c:v>
                </c:pt>
                <c:pt idx="21">
                  <c:v>16.5</c:v>
                </c:pt>
                <c:pt idx="22">
                  <c:v>18</c:v>
                </c:pt>
                <c:pt idx="23">
                  <c:v>19.5</c:v>
                </c:pt>
                <c:pt idx="24">
                  <c:v>21</c:v>
                </c:pt>
                <c:pt idx="25">
                  <c:v>22.5</c:v>
                </c:pt>
                <c:pt idx="26">
                  <c:v>24</c:v>
                </c:pt>
                <c:pt idx="27">
                  <c:v>25.5</c:v>
                </c:pt>
                <c:pt idx="28">
                  <c:v>27</c:v>
                </c:pt>
                <c:pt idx="29">
                  <c:v>28.5</c:v>
                </c:pt>
                <c:pt idx="30">
                  <c:v>30</c:v>
                </c:pt>
                <c:pt idx="31">
                  <c:v>31.5</c:v>
                </c:pt>
              </c:numCache>
            </c:numRef>
          </c:xVal>
          <c:yVal>
            <c:numRef>
              <c:f>'Siemens QAC32'!$C$3:$C$34</c:f>
              <c:numCache>
                <c:formatCode>0.00</c:formatCode>
                <c:ptCount val="32"/>
                <c:pt idx="0">
                  <c:v>652.89446455505276</c:v>
                </c:pt>
                <c:pt idx="1">
                  <c:v>649.62874736048263</c:v>
                </c:pt>
                <c:pt idx="2">
                  <c:v>646.36303016591251</c:v>
                </c:pt>
                <c:pt idx="3">
                  <c:v>643.09731297134238</c:v>
                </c:pt>
                <c:pt idx="4">
                  <c:v>639.83159577677225</c:v>
                </c:pt>
                <c:pt idx="5">
                  <c:v>636.56587858220212</c:v>
                </c:pt>
                <c:pt idx="6">
                  <c:v>633.30016138763199</c:v>
                </c:pt>
                <c:pt idx="7">
                  <c:v>630.03444419306186</c:v>
                </c:pt>
                <c:pt idx="8">
                  <c:v>626.76872699849173</c:v>
                </c:pt>
                <c:pt idx="9">
                  <c:v>623.5030098039216</c:v>
                </c:pt>
                <c:pt idx="10">
                  <c:v>620.23729260935147</c:v>
                </c:pt>
                <c:pt idx="11">
                  <c:v>616.97157541478134</c:v>
                </c:pt>
                <c:pt idx="12">
                  <c:v>613.70585822021121</c:v>
                </c:pt>
                <c:pt idx="13">
                  <c:v>610.44014102564108</c:v>
                </c:pt>
                <c:pt idx="14">
                  <c:v>607.17442383107095</c:v>
                </c:pt>
                <c:pt idx="15">
                  <c:v>603.90870663650082</c:v>
                </c:pt>
                <c:pt idx="16">
                  <c:v>600.64298944193069</c:v>
                </c:pt>
                <c:pt idx="17">
                  <c:v>597.37727224736057</c:v>
                </c:pt>
                <c:pt idx="18">
                  <c:v>594.11155505279044</c:v>
                </c:pt>
                <c:pt idx="19">
                  <c:v>590.84583785822031</c:v>
                </c:pt>
                <c:pt idx="20">
                  <c:v>587.58012066365018</c:v>
                </c:pt>
                <c:pt idx="21">
                  <c:v>584.31440346907993</c:v>
                </c:pt>
                <c:pt idx="22">
                  <c:v>581.04868627450981</c:v>
                </c:pt>
                <c:pt idx="23">
                  <c:v>577.78296907993968</c:v>
                </c:pt>
                <c:pt idx="24">
                  <c:v>574.51725188536955</c:v>
                </c:pt>
                <c:pt idx="25">
                  <c:v>571.25153469079942</c:v>
                </c:pt>
                <c:pt idx="26">
                  <c:v>567.98581749622929</c:v>
                </c:pt>
                <c:pt idx="27">
                  <c:v>564.72010030165916</c:v>
                </c:pt>
                <c:pt idx="28">
                  <c:v>561.45438310708903</c:v>
                </c:pt>
                <c:pt idx="29">
                  <c:v>558.1886659125189</c:v>
                </c:pt>
                <c:pt idx="30">
                  <c:v>554.92294871794877</c:v>
                </c:pt>
                <c:pt idx="31">
                  <c:v>551.65723152337864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02-47D7-A4D6-3B38944F952F}"/>
            </c:ext>
          </c:extLst>
        </c:ser>
        <c:ser>
          <c:idx val="1"/>
          <c:order val="2"/>
          <c:tx>
            <c:strRef>
              <c:f>'Siemens QAC32'!$D$2</c:f>
              <c:strCache>
                <c:ptCount val="1"/>
                <c:pt idx="0">
                  <c:v>Rpcb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'Siemens QAC32'!$B$3:$B$3434</c:f>
              <c:numCache>
                <c:formatCode>0.0</c:formatCode>
                <c:ptCount val="3432"/>
                <c:pt idx="0">
                  <c:v>-15</c:v>
                </c:pt>
                <c:pt idx="1">
                  <c:v>-13.5</c:v>
                </c:pt>
                <c:pt idx="2">
                  <c:v>-12</c:v>
                </c:pt>
                <c:pt idx="3">
                  <c:v>-10.5</c:v>
                </c:pt>
                <c:pt idx="4">
                  <c:v>-9</c:v>
                </c:pt>
                <c:pt idx="5">
                  <c:v>-7.5</c:v>
                </c:pt>
                <c:pt idx="6">
                  <c:v>-6</c:v>
                </c:pt>
                <c:pt idx="7">
                  <c:v>-4.5</c:v>
                </c:pt>
                <c:pt idx="8">
                  <c:v>-3</c:v>
                </c:pt>
                <c:pt idx="9">
                  <c:v>-1.5</c:v>
                </c:pt>
                <c:pt idx="10">
                  <c:v>0</c:v>
                </c:pt>
                <c:pt idx="11">
                  <c:v>1.5</c:v>
                </c:pt>
                <c:pt idx="12">
                  <c:v>3</c:v>
                </c:pt>
                <c:pt idx="13">
                  <c:v>4.5</c:v>
                </c:pt>
                <c:pt idx="14">
                  <c:v>6</c:v>
                </c:pt>
                <c:pt idx="15">
                  <c:v>7.5</c:v>
                </c:pt>
                <c:pt idx="16">
                  <c:v>9</c:v>
                </c:pt>
                <c:pt idx="17">
                  <c:v>10.5</c:v>
                </c:pt>
                <c:pt idx="18">
                  <c:v>12</c:v>
                </c:pt>
                <c:pt idx="19">
                  <c:v>13.5</c:v>
                </c:pt>
                <c:pt idx="20">
                  <c:v>15</c:v>
                </c:pt>
                <c:pt idx="21">
                  <c:v>16.5</c:v>
                </c:pt>
                <c:pt idx="22">
                  <c:v>18</c:v>
                </c:pt>
                <c:pt idx="23">
                  <c:v>19.5</c:v>
                </c:pt>
                <c:pt idx="24">
                  <c:v>21</c:v>
                </c:pt>
                <c:pt idx="25">
                  <c:v>22.5</c:v>
                </c:pt>
                <c:pt idx="26">
                  <c:v>24</c:v>
                </c:pt>
                <c:pt idx="27">
                  <c:v>25.5</c:v>
                </c:pt>
                <c:pt idx="28">
                  <c:v>27</c:v>
                </c:pt>
                <c:pt idx="29">
                  <c:v>28.5</c:v>
                </c:pt>
                <c:pt idx="30">
                  <c:v>30</c:v>
                </c:pt>
                <c:pt idx="31">
                  <c:v>31.5</c:v>
                </c:pt>
              </c:numCache>
            </c:numRef>
          </c:xVal>
          <c:yVal>
            <c:numRef>
              <c:f>'Siemens QAC32'!$D$3:$D$34</c:f>
              <c:numCache>
                <c:formatCode>0.00</c:formatCode>
                <c:ptCount val="32"/>
                <c:pt idx="0">
                  <c:v>652.79999999999995</c:v>
                </c:pt>
                <c:pt idx="1">
                  <c:v>649.5</c:v>
                </c:pt>
                <c:pt idx="2">
                  <c:v>646.5</c:v>
                </c:pt>
                <c:pt idx="3">
                  <c:v>643.19999999999993</c:v>
                </c:pt>
                <c:pt idx="4">
                  <c:v>639.9</c:v>
                </c:pt>
                <c:pt idx="5">
                  <c:v>636.59999999999991</c:v>
                </c:pt>
                <c:pt idx="6">
                  <c:v>633.29999999999995</c:v>
                </c:pt>
                <c:pt idx="7">
                  <c:v>630</c:v>
                </c:pt>
                <c:pt idx="8">
                  <c:v>626.69999999999993</c:v>
                </c:pt>
                <c:pt idx="9">
                  <c:v>623.4</c:v>
                </c:pt>
                <c:pt idx="10">
                  <c:v>620.1</c:v>
                </c:pt>
                <c:pt idx="11">
                  <c:v>617.1</c:v>
                </c:pt>
                <c:pt idx="12">
                  <c:v>613.79999999999995</c:v>
                </c:pt>
                <c:pt idx="13">
                  <c:v>610.5</c:v>
                </c:pt>
                <c:pt idx="14">
                  <c:v>607.20000000000005</c:v>
                </c:pt>
                <c:pt idx="15">
                  <c:v>603.9</c:v>
                </c:pt>
                <c:pt idx="16">
                  <c:v>600.6</c:v>
                </c:pt>
                <c:pt idx="17">
                  <c:v>597.29999999999995</c:v>
                </c:pt>
                <c:pt idx="18">
                  <c:v>594</c:v>
                </c:pt>
                <c:pt idx="19">
                  <c:v>590.70000000000005</c:v>
                </c:pt>
                <c:pt idx="20">
                  <c:v>587.70000000000005</c:v>
                </c:pt>
                <c:pt idx="21">
                  <c:v>584.4</c:v>
                </c:pt>
                <c:pt idx="22">
                  <c:v>581.1</c:v>
                </c:pt>
                <c:pt idx="23">
                  <c:v>577.79999999999995</c:v>
                </c:pt>
                <c:pt idx="24">
                  <c:v>574.5</c:v>
                </c:pt>
                <c:pt idx="25">
                  <c:v>571.20000000000005</c:v>
                </c:pt>
                <c:pt idx="26">
                  <c:v>567.9</c:v>
                </c:pt>
                <c:pt idx="27">
                  <c:v>564.6</c:v>
                </c:pt>
                <c:pt idx="28">
                  <c:v>561.29999999999995</c:v>
                </c:pt>
                <c:pt idx="29">
                  <c:v>558.29999999999995</c:v>
                </c:pt>
                <c:pt idx="30">
                  <c:v>555</c:v>
                </c:pt>
                <c:pt idx="31">
                  <c:v>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A02-47D7-A4D6-3B38944F9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2165152"/>
        <c:axId val="782174152"/>
      </c:scatterChart>
      <c:valAx>
        <c:axId val="782165152"/>
        <c:scaling>
          <c:orientation val="minMax"/>
          <c:max val="35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82174152"/>
        <c:crosses val="autoZero"/>
        <c:crossBetween val="midCat"/>
      </c:valAx>
      <c:valAx>
        <c:axId val="782174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82165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19050</xdr:colOff>
      <xdr:row>0</xdr:row>
      <xdr:rowOff>1</xdr:rowOff>
    </xdr:from>
    <xdr:to>
      <xdr:col>30</xdr:col>
      <xdr:colOff>744742</xdr:colOff>
      <xdr:row>39</xdr:row>
      <xdr:rowOff>1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</xdr:colOff>
          <xdr:row>0</xdr:row>
          <xdr:rowOff>19050</xdr:rowOff>
        </xdr:from>
        <xdr:to>
          <xdr:col>17</xdr:col>
          <xdr:colOff>628650</xdr:colOff>
          <xdr:row>0</xdr:row>
          <xdr:rowOff>266700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</xdr:colOff>
          <xdr:row>0</xdr:row>
          <xdr:rowOff>19050</xdr:rowOff>
        </xdr:from>
        <xdr:to>
          <xdr:col>18</xdr:col>
          <xdr:colOff>619125</xdr:colOff>
          <xdr:row>0</xdr:row>
          <xdr:rowOff>266700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</xdr:colOff>
          <xdr:row>1</xdr:row>
          <xdr:rowOff>19050</xdr:rowOff>
        </xdr:from>
        <xdr:to>
          <xdr:col>17</xdr:col>
          <xdr:colOff>628650</xdr:colOff>
          <xdr:row>2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0</xdr:row>
          <xdr:rowOff>19050</xdr:rowOff>
        </xdr:from>
        <xdr:to>
          <xdr:col>19</xdr:col>
          <xdr:colOff>619125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209550</xdr:colOff>
          <xdr:row>1</xdr:row>
          <xdr:rowOff>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1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0</xdr:rowOff>
    </xdr:from>
    <xdr:to>
      <xdr:col>16</xdr:col>
      <xdr:colOff>0</xdr:colOff>
      <xdr:row>14</xdr:row>
      <xdr:rowOff>8963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</xdr:row>
          <xdr:rowOff>57150</xdr:rowOff>
        </xdr:from>
        <xdr:to>
          <xdr:col>7</xdr:col>
          <xdr:colOff>752475</xdr:colOff>
          <xdr:row>2</xdr:row>
          <xdr:rowOff>142875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2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Créer type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85947</xdr:colOff>
      <xdr:row>0</xdr:row>
      <xdr:rowOff>150605</xdr:rowOff>
    </xdr:from>
    <xdr:to>
      <xdr:col>32</xdr:col>
      <xdr:colOff>201705</xdr:colOff>
      <xdr:row>38</xdr:row>
      <xdr:rowOff>100852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0</xdr:row>
          <xdr:rowOff>66675</xdr:rowOff>
        </xdr:from>
        <xdr:to>
          <xdr:col>7</xdr:col>
          <xdr:colOff>695325</xdr:colOff>
          <xdr:row>1</xdr:row>
          <xdr:rowOff>123825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4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Copier sur Mouser.ch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742949</xdr:colOff>
      <xdr:row>1</xdr:row>
      <xdr:rowOff>0</xdr:rowOff>
    </xdr:from>
    <xdr:to>
      <xdr:col>29</xdr:col>
      <xdr:colOff>9525</xdr:colOff>
      <xdr:row>24</xdr:row>
      <xdr:rowOff>180974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7761" name="Button 1" hidden="1">
              <a:extLst>
                <a:ext uri="{63B3BB69-23CF-44E3-9099-C40C66FF867C}">
                  <a14:compatExt spid="_x0000_s117761"/>
                </a:ext>
                <a:ext uri="{FF2B5EF4-FFF2-40B4-BE49-F238E27FC236}">
                  <a16:creationId xmlns:a16="http://schemas.microsoft.com/office/drawing/2014/main" id="{00000000-0008-0000-0700-000001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7762" name="Button 2" hidden="1">
              <a:extLst>
                <a:ext uri="{63B3BB69-23CF-44E3-9099-C40C66FF867C}">
                  <a14:compatExt spid="_x0000_s117762"/>
                </a:ext>
                <a:ext uri="{FF2B5EF4-FFF2-40B4-BE49-F238E27FC236}">
                  <a16:creationId xmlns:a16="http://schemas.microsoft.com/office/drawing/2014/main" id="{00000000-0008-0000-0700-000002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7763" name="Button 3" hidden="1">
              <a:extLst>
                <a:ext uri="{63B3BB69-23CF-44E3-9099-C40C66FF867C}">
                  <a14:compatExt spid="_x0000_s117763"/>
                </a:ext>
                <a:ext uri="{FF2B5EF4-FFF2-40B4-BE49-F238E27FC236}">
                  <a16:creationId xmlns:a16="http://schemas.microsoft.com/office/drawing/2014/main" id="{00000000-0008-0000-0700-000003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7764" name="Button 4" hidden="1">
              <a:extLst>
                <a:ext uri="{63B3BB69-23CF-44E3-9099-C40C66FF867C}">
                  <a14:compatExt spid="_x0000_s117764"/>
                </a:ext>
                <a:ext uri="{FF2B5EF4-FFF2-40B4-BE49-F238E27FC236}">
                  <a16:creationId xmlns:a16="http://schemas.microsoft.com/office/drawing/2014/main" id="{00000000-0008-0000-0700-000004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7765" name="Button 5" hidden="1">
              <a:extLst>
                <a:ext uri="{63B3BB69-23CF-44E3-9099-C40C66FF867C}">
                  <a14:compatExt spid="_x0000_s117765"/>
                </a:ext>
                <a:ext uri="{FF2B5EF4-FFF2-40B4-BE49-F238E27FC236}">
                  <a16:creationId xmlns:a16="http://schemas.microsoft.com/office/drawing/2014/main" id="{00000000-0008-0000-0700-000005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7766" name="Button 6" hidden="1">
              <a:extLst>
                <a:ext uri="{63B3BB69-23CF-44E3-9099-C40C66FF867C}">
                  <a14:compatExt spid="_x0000_s117766"/>
                </a:ext>
                <a:ext uri="{FF2B5EF4-FFF2-40B4-BE49-F238E27FC236}">
                  <a16:creationId xmlns:a16="http://schemas.microsoft.com/office/drawing/2014/main" id="{00000000-0008-0000-0700-000006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7767" name="Button 7" hidden="1">
              <a:extLst>
                <a:ext uri="{63B3BB69-23CF-44E3-9099-C40C66FF867C}">
                  <a14:compatExt spid="_x0000_s117767"/>
                </a:ext>
                <a:ext uri="{FF2B5EF4-FFF2-40B4-BE49-F238E27FC236}">
                  <a16:creationId xmlns:a16="http://schemas.microsoft.com/office/drawing/2014/main" id="{00000000-0008-0000-0700-000007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7768" name="Button 8" hidden="1">
              <a:extLst>
                <a:ext uri="{63B3BB69-23CF-44E3-9099-C40C66FF867C}">
                  <a14:compatExt spid="_x0000_s117768"/>
                </a:ext>
                <a:ext uri="{FF2B5EF4-FFF2-40B4-BE49-F238E27FC236}">
                  <a16:creationId xmlns:a16="http://schemas.microsoft.com/office/drawing/2014/main" id="{00000000-0008-0000-0700-000008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117769" name="Button 9" hidden="1">
              <a:extLst>
                <a:ext uri="{63B3BB69-23CF-44E3-9099-C40C66FF867C}">
                  <a14:compatExt spid="_x0000_s117769"/>
                </a:ext>
                <a:ext uri="{FF2B5EF4-FFF2-40B4-BE49-F238E27FC236}">
                  <a16:creationId xmlns:a16="http://schemas.microsoft.com/office/drawing/2014/main" id="{00000000-0008-0000-0700-000009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117770" name="Button 10" hidden="1">
              <a:extLst>
                <a:ext uri="{63B3BB69-23CF-44E3-9099-C40C66FF867C}">
                  <a14:compatExt spid="_x0000_s117770"/>
                </a:ext>
                <a:ext uri="{FF2B5EF4-FFF2-40B4-BE49-F238E27FC236}">
                  <a16:creationId xmlns:a16="http://schemas.microsoft.com/office/drawing/2014/main" id="{00000000-0008-0000-0700-00000A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7281" name="Button 1" hidden="1">
              <a:extLst>
                <a:ext uri="{63B3BB69-23CF-44E3-9099-C40C66FF867C}">
                  <a14:compatExt spid="_x0000_s97281"/>
                </a:ext>
                <a:ext uri="{FF2B5EF4-FFF2-40B4-BE49-F238E27FC236}">
                  <a16:creationId xmlns:a16="http://schemas.microsoft.com/office/drawing/2014/main" id="{00000000-0008-0000-0800-000001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655320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7282" name="Button 2" hidden="1">
              <a:extLst>
                <a:ext uri="{63B3BB69-23CF-44E3-9099-C40C66FF867C}">
                  <a14:compatExt spid="_x0000_s97282"/>
                </a:ext>
                <a:ext uri="{FF2B5EF4-FFF2-40B4-BE49-F238E27FC236}">
                  <a16:creationId xmlns:a16="http://schemas.microsoft.com/office/drawing/2014/main" id="{00000000-0008-0000-0800-000002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655320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7283" name="Button 3" hidden="1">
              <a:extLst>
                <a:ext uri="{63B3BB69-23CF-44E3-9099-C40C66FF867C}">
                  <a14:compatExt spid="_x0000_s97283"/>
                </a:ext>
                <a:ext uri="{FF2B5EF4-FFF2-40B4-BE49-F238E27FC236}">
                  <a16:creationId xmlns:a16="http://schemas.microsoft.com/office/drawing/2014/main" id="{00000000-0008-0000-0800-000003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7284" name="Button 4" hidden="1">
              <a:extLst>
                <a:ext uri="{63B3BB69-23CF-44E3-9099-C40C66FF867C}">
                  <a14:compatExt spid="_x0000_s97284"/>
                </a:ext>
                <a:ext uri="{FF2B5EF4-FFF2-40B4-BE49-F238E27FC236}">
                  <a16:creationId xmlns:a16="http://schemas.microsoft.com/office/drawing/2014/main" id="{00000000-0008-0000-0800-000004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7285" name="Button 5" hidden="1">
              <a:extLst>
                <a:ext uri="{63B3BB69-23CF-44E3-9099-C40C66FF867C}">
                  <a14:compatExt spid="_x0000_s97285"/>
                </a:ext>
                <a:ext uri="{FF2B5EF4-FFF2-40B4-BE49-F238E27FC236}">
                  <a16:creationId xmlns:a16="http://schemas.microsoft.com/office/drawing/2014/main" id="{00000000-0008-0000-0800-000005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7286" name="Button 6" hidden="1">
              <a:extLst>
                <a:ext uri="{63B3BB69-23CF-44E3-9099-C40C66FF867C}">
                  <a14:compatExt spid="_x0000_s97286"/>
                </a:ext>
                <a:ext uri="{FF2B5EF4-FFF2-40B4-BE49-F238E27FC236}">
                  <a16:creationId xmlns:a16="http://schemas.microsoft.com/office/drawing/2014/main" id="{00000000-0008-0000-0800-000006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7287" name="Button 7" hidden="1">
              <a:extLst>
                <a:ext uri="{63B3BB69-23CF-44E3-9099-C40C66FF867C}">
                  <a14:compatExt spid="_x0000_s97287"/>
                </a:ext>
                <a:ext uri="{FF2B5EF4-FFF2-40B4-BE49-F238E27FC236}">
                  <a16:creationId xmlns:a16="http://schemas.microsoft.com/office/drawing/2014/main" id="{00000000-0008-0000-0800-000007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7288" name="Button 8" hidden="1">
              <a:extLst>
                <a:ext uri="{63B3BB69-23CF-44E3-9099-C40C66FF867C}">
                  <a14:compatExt spid="_x0000_s97288"/>
                </a:ext>
                <a:ext uri="{FF2B5EF4-FFF2-40B4-BE49-F238E27FC236}">
                  <a16:creationId xmlns:a16="http://schemas.microsoft.com/office/drawing/2014/main" id="{00000000-0008-0000-0800-000008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97289" name="Button 9" hidden="1">
              <a:extLst>
                <a:ext uri="{63B3BB69-23CF-44E3-9099-C40C66FF867C}">
                  <a14:compatExt spid="_x0000_s97289"/>
                </a:ext>
                <a:ext uri="{FF2B5EF4-FFF2-40B4-BE49-F238E27FC236}">
                  <a16:creationId xmlns:a16="http://schemas.microsoft.com/office/drawing/2014/main" id="{00000000-0008-0000-0800-000009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97290" name="Button 10" hidden="1">
              <a:extLst>
                <a:ext uri="{63B3BB69-23CF-44E3-9099-C40C66FF867C}">
                  <a14:compatExt spid="_x0000_s97290"/>
                </a:ext>
                <a:ext uri="{FF2B5EF4-FFF2-40B4-BE49-F238E27FC236}">
                  <a16:creationId xmlns:a16="http://schemas.microsoft.com/office/drawing/2014/main" id="{00000000-0008-0000-0800-00000A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57149</xdr:colOff>
      <xdr:row>19</xdr:row>
      <xdr:rowOff>29526</xdr:rowOff>
    </xdr:from>
    <xdr:to>
      <xdr:col>26</xdr:col>
      <xdr:colOff>742949</xdr:colOff>
      <xdr:row>42</xdr:row>
      <xdr:rowOff>152399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9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9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9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9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9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18438" name="Button 6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9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18439" name="Button 7" hidden="1">
              <a:extLst>
                <a:ext uri="{63B3BB69-23CF-44E3-9099-C40C66FF867C}">
                  <a14:compatExt spid="_x0000_s18439"/>
                </a:ext>
                <a:ext uri="{FF2B5EF4-FFF2-40B4-BE49-F238E27FC236}">
                  <a16:creationId xmlns:a16="http://schemas.microsoft.com/office/drawing/2014/main" id="{00000000-0008-0000-0900-00000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A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A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A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A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62" name="Button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A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63" name="Button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A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64" name="Button 8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0A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65" name="Button 9" hidden="1">
              <a:extLst>
                <a:ext uri="{63B3BB69-23CF-44E3-9099-C40C66FF867C}">
                  <a14:compatExt spid="_x0000_s19465"/>
                </a:ext>
                <a:ext uri="{FF2B5EF4-FFF2-40B4-BE49-F238E27FC236}">
                  <a16:creationId xmlns:a16="http://schemas.microsoft.com/office/drawing/2014/main" id="{00000000-0008-0000-0A00-00000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19466" name="Button 10" hidden="1">
              <a:extLst>
                <a:ext uri="{63B3BB69-23CF-44E3-9099-C40C66FF867C}">
                  <a14:compatExt spid="_x0000_s19466"/>
                </a:ext>
                <a:ext uri="{FF2B5EF4-FFF2-40B4-BE49-F238E27FC236}">
                  <a16:creationId xmlns:a16="http://schemas.microsoft.com/office/drawing/2014/main" id="{00000000-0008-0000-0A00-00000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19467" name="Button 11" hidden="1">
              <a:extLst>
                <a:ext uri="{63B3BB69-23CF-44E3-9099-C40C66FF867C}">
                  <a14:compatExt spid="_x0000_s19467"/>
                </a:ext>
                <a:ext uri="{FF2B5EF4-FFF2-40B4-BE49-F238E27FC236}">
                  <a16:creationId xmlns:a16="http://schemas.microsoft.com/office/drawing/2014/main" id="{00000000-0008-0000-0A00-00000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B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B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2532" name="Button 4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B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2533" name="Button 5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0000000-0008-0000-0B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2534" name="Button 6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B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2535" name="Button 7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0B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2536" name="Button 8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0B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2537" name="Button 9" hidden="1">
              <a:extLst>
                <a:ext uri="{63B3BB69-23CF-44E3-9099-C40C66FF867C}">
                  <a14:compatExt spid="_x0000_s22537"/>
                </a:ext>
                <a:ext uri="{FF2B5EF4-FFF2-40B4-BE49-F238E27FC236}">
                  <a16:creationId xmlns:a16="http://schemas.microsoft.com/office/drawing/2014/main" id="{00000000-0008-0000-0B00-00000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22538" name="Button 10" hidden="1">
              <a:extLst>
                <a:ext uri="{63B3BB69-23CF-44E3-9099-C40C66FF867C}">
                  <a14:compatExt spid="_x0000_s22538"/>
                </a:ext>
                <a:ext uri="{FF2B5EF4-FFF2-40B4-BE49-F238E27FC236}">
                  <a16:creationId xmlns:a16="http://schemas.microsoft.com/office/drawing/2014/main" id="{00000000-0008-0000-0B00-00000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22539" name="Button 11" hidden="1">
              <a:extLst>
                <a:ext uri="{63B3BB69-23CF-44E3-9099-C40C66FF867C}">
                  <a14:compatExt spid="_x0000_s22539"/>
                </a:ext>
                <a:ext uri="{FF2B5EF4-FFF2-40B4-BE49-F238E27FC236}">
                  <a16:creationId xmlns:a16="http://schemas.microsoft.com/office/drawing/2014/main" id="{00000000-0008-0000-0B00-00000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7697" name="Button 1" hidden="1">
              <a:extLst>
                <a:ext uri="{63B3BB69-23CF-44E3-9099-C40C66FF867C}">
                  <a14:compatExt spid="_x0000_s157697"/>
                </a:ext>
                <a:ext uri="{FF2B5EF4-FFF2-40B4-BE49-F238E27FC236}">
                  <a16:creationId xmlns:a16="http://schemas.microsoft.com/office/drawing/2014/main" id="{00000000-0008-0000-0C00-000001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659130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7698" name="Button 2" hidden="1">
              <a:extLst>
                <a:ext uri="{63B3BB69-23CF-44E3-9099-C40C66FF867C}">
                  <a14:compatExt spid="_x0000_s157698"/>
                </a:ext>
                <a:ext uri="{FF2B5EF4-FFF2-40B4-BE49-F238E27FC236}">
                  <a16:creationId xmlns:a16="http://schemas.microsoft.com/office/drawing/2014/main" id="{00000000-0008-0000-0C00-000002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 txBox="1"/>
      </xdr:nvSpPr>
      <xdr:spPr>
        <a:xfrm>
          <a:off x="659130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7699" name="Button 3" hidden="1">
              <a:extLst>
                <a:ext uri="{63B3BB69-23CF-44E3-9099-C40C66FF867C}">
                  <a14:compatExt spid="_x0000_s157699"/>
                </a:ext>
                <a:ext uri="{FF2B5EF4-FFF2-40B4-BE49-F238E27FC236}">
                  <a16:creationId xmlns:a16="http://schemas.microsoft.com/office/drawing/2014/main" id="{00000000-0008-0000-0C00-000003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7700" name="Button 4" hidden="1">
              <a:extLst>
                <a:ext uri="{63B3BB69-23CF-44E3-9099-C40C66FF867C}">
                  <a14:compatExt spid="_x0000_s157700"/>
                </a:ext>
                <a:ext uri="{FF2B5EF4-FFF2-40B4-BE49-F238E27FC236}">
                  <a16:creationId xmlns:a16="http://schemas.microsoft.com/office/drawing/2014/main" id="{00000000-0008-0000-0C00-000004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7701" name="Button 5" hidden="1">
              <a:extLst>
                <a:ext uri="{63B3BB69-23CF-44E3-9099-C40C66FF867C}">
                  <a14:compatExt spid="_x0000_s157701"/>
                </a:ext>
                <a:ext uri="{FF2B5EF4-FFF2-40B4-BE49-F238E27FC236}">
                  <a16:creationId xmlns:a16="http://schemas.microsoft.com/office/drawing/2014/main" id="{00000000-0008-0000-0C00-000005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7702" name="Button 6" hidden="1">
              <a:extLst>
                <a:ext uri="{63B3BB69-23CF-44E3-9099-C40C66FF867C}">
                  <a14:compatExt spid="_x0000_s157702"/>
                </a:ext>
                <a:ext uri="{FF2B5EF4-FFF2-40B4-BE49-F238E27FC236}">
                  <a16:creationId xmlns:a16="http://schemas.microsoft.com/office/drawing/2014/main" id="{00000000-0008-0000-0C00-000006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7703" name="Button 7" hidden="1">
              <a:extLst>
                <a:ext uri="{63B3BB69-23CF-44E3-9099-C40C66FF867C}">
                  <a14:compatExt spid="_x0000_s157703"/>
                </a:ext>
                <a:ext uri="{FF2B5EF4-FFF2-40B4-BE49-F238E27FC236}">
                  <a16:creationId xmlns:a16="http://schemas.microsoft.com/office/drawing/2014/main" id="{00000000-0008-0000-0C00-000007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7704" name="Button 8" hidden="1">
              <a:extLst>
                <a:ext uri="{63B3BB69-23CF-44E3-9099-C40C66FF867C}">
                  <a14:compatExt spid="_x0000_s157704"/>
                </a:ext>
                <a:ext uri="{FF2B5EF4-FFF2-40B4-BE49-F238E27FC236}">
                  <a16:creationId xmlns:a16="http://schemas.microsoft.com/office/drawing/2014/main" id="{00000000-0008-0000-0C00-000008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1</xdr:row>
          <xdr:rowOff>247650</xdr:rowOff>
        </xdr:to>
        <xdr:sp macro="" textlink="">
          <xdr:nvSpPr>
            <xdr:cNvPr id="157705" name="Button 9" hidden="1">
              <a:extLst>
                <a:ext uri="{63B3BB69-23CF-44E3-9099-C40C66FF867C}">
                  <a14:compatExt spid="_x0000_s157705"/>
                </a:ext>
                <a:ext uri="{FF2B5EF4-FFF2-40B4-BE49-F238E27FC236}">
                  <a16:creationId xmlns:a16="http://schemas.microsoft.com/office/drawing/2014/main" id="{00000000-0008-0000-0C00-000009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1</xdr:row>
          <xdr:rowOff>247650</xdr:rowOff>
        </xdr:to>
        <xdr:sp macro="" textlink="">
          <xdr:nvSpPr>
            <xdr:cNvPr id="157706" name="Button 10" hidden="1">
              <a:extLst>
                <a:ext uri="{63B3BB69-23CF-44E3-9099-C40C66FF867C}">
                  <a14:compatExt spid="_x0000_s157706"/>
                </a:ext>
                <a:ext uri="{FF2B5EF4-FFF2-40B4-BE49-F238E27FC236}">
                  <a16:creationId xmlns:a16="http://schemas.microsoft.com/office/drawing/2014/main" id="{00000000-0008-0000-0C00-00000A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82945" name="Button 1" hidden="1">
              <a:extLst>
                <a:ext uri="{63B3BB69-23CF-44E3-9099-C40C66FF867C}">
                  <a14:compatExt spid="_x0000_s82945"/>
                </a:ext>
                <a:ext uri="{FF2B5EF4-FFF2-40B4-BE49-F238E27FC236}">
                  <a16:creationId xmlns:a16="http://schemas.microsoft.com/office/drawing/2014/main" id="{00000000-0008-0000-0D00-00000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82946" name="Button 2" hidden="1">
              <a:extLst>
                <a:ext uri="{63B3BB69-23CF-44E3-9099-C40C66FF867C}">
                  <a14:compatExt spid="_x0000_s82946"/>
                </a:ext>
                <a:ext uri="{FF2B5EF4-FFF2-40B4-BE49-F238E27FC236}">
                  <a16:creationId xmlns:a16="http://schemas.microsoft.com/office/drawing/2014/main" id="{00000000-0008-0000-0D00-00000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82947" name="Button 3" hidden="1">
              <a:extLst>
                <a:ext uri="{63B3BB69-23CF-44E3-9099-C40C66FF867C}">
                  <a14:compatExt spid="_x0000_s82947"/>
                </a:ext>
                <a:ext uri="{FF2B5EF4-FFF2-40B4-BE49-F238E27FC236}">
                  <a16:creationId xmlns:a16="http://schemas.microsoft.com/office/drawing/2014/main" id="{00000000-0008-0000-0D00-00000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82948" name="Button 4" hidden="1">
              <a:extLst>
                <a:ext uri="{63B3BB69-23CF-44E3-9099-C40C66FF867C}">
                  <a14:compatExt spid="_x0000_s82948"/>
                </a:ext>
                <a:ext uri="{FF2B5EF4-FFF2-40B4-BE49-F238E27FC236}">
                  <a16:creationId xmlns:a16="http://schemas.microsoft.com/office/drawing/2014/main" id="{00000000-0008-0000-0D00-00000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82949" name="Button 5" hidden="1">
              <a:extLst>
                <a:ext uri="{63B3BB69-23CF-44E3-9099-C40C66FF867C}">
                  <a14:compatExt spid="_x0000_s82949"/>
                </a:ext>
                <a:ext uri="{FF2B5EF4-FFF2-40B4-BE49-F238E27FC236}">
                  <a16:creationId xmlns:a16="http://schemas.microsoft.com/office/drawing/2014/main" id="{00000000-0008-0000-0D00-00000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82950" name="Button 6" hidden="1">
              <a:extLst>
                <a:ext uri="{63B3BB69-23CF-44E3-9099-C40C66FF867C}">
                  <a14:compatExt spid="_x0000_s82950"/>
                </a:ext>
                <a:ext uri="{FF2B5EF4-FFF2-40B4-BE49-F238E27FC236}">
                  <a16:creationId xmlns:a16="http://schemas.microsoft.com/office/drawing/2014/main" id="{00000000-0008-0000-0D00-00000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82951" name="Button 7" hidden="1">
              <a:extLst>
                <a:ext uri="{63B3BB69-23CF-44E3-9099-C40C66FF867C}">
                  <a14:compatExt spid="_x0000_s82951"/>
                </a:ext>
                <a:ext uri="{FF2B5EF4-FFF2-40B4-BE49-F238E27FC236}">
                  <a16:creationId xmlns:a16="http://schemas.microsoft.com/office/drawing/2014/main" id="{00000000-0008-0000-0D00-00000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82952" name="Button 8" hidden="1">
              <a:extLst>
                <a:ext uri="{63B3BB69-23CF-44E3-9099-C40C66FF867C}">
                  <a14:compatExt spid="_x0000_s82952"/>
                </a:ext>
                <a:ext uri="{FF2B5EF4-FFF2-40B4-BE49-F238E27FC236}">
                  <a16:creationId xmlns:a16="http://schemas.microsoft.com/office/drawing/2014/main" id="{00000000-0008-0000-0D00-00000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82953" name="Button 9" hidden="1">
              <a:extLst>
                <a:ext uri="{63B3BB69-23CF-44E3-9099-C40C66FF867C}">
                  <a14:compatExt spid="_x0000_s82953"/>
                </a:ext>
                <a:ext uri="{FF2B5EF4-FFF2-40B4-BE49-F238E27FC236}">
                  <a16:creationId xmlns:a16="http://schemas.microsoft.com/office/drawing/2014/main" id="{00000000-0008-0000-0D00-00000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82954" name="Button 10" hidden="1">
              <a:extLst>
                <a:ext uri="{63B3BB69-23CF-44E3-9099-C40C66FF867C}">
                  <a14:compatExt spid="_x0000_s82954"/>
                </a:ext>
                <a:ext uri="{FF2B5EF4-FFF2-40B4-BE49-F238E27FC236}">
                  <a16:creationId xmlns:a16="http://schemas.microsoft.com/office/drawing/2014/main" id="{00000000-0008-0000-0D00-00000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E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E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E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1508" name="Button 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E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1509" name="Button 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E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1510" name="Button 6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E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E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21512" name="Button 8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E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21513" name="Button 9" hidden="1">
              <a:extLst>
                <a:ext uri="{63B3BB69-23CF-44E3-9099-C40C66FF867C}">
                  <a14:compatExt spid="_x0000_s21513"/>
                </a:ext>
                <a:ext uri="{FF2B5EF4-FFF2-40B4-BE49-F238E27FC236}">
                  <a16:creationId xmlns:a16="http://schemas.microsoft.com/office/drawing/2014/main" id="{00000000-0008-0000-0E00-00000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6433" name="Button 1" hidden="1">
              <a:extLst>
                <a:ext uri="{63B3BB69-23CF-44E3-9099-C40C66FF867C}">
                  <a14:compatExt spid="_x0000_s146433"/>
                </a:ext>
                <a:ext uri="{FF2B5EF4-FFF2-40B4-BE49-F238E27FC236}">
                  <a16:creationId xmlns:a16="http://schemas.microsoft.com/office/drawing/2014/main" id="{00000000-0008-0000-0F00-000001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 txBox="1"/>
      </xdr:nvSpPr>
      <xdr:spPr>
        <a:xfrm>
          <a:off x="659130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6434" name="Button 2" hidden="1">
              <a:extLst>
                <a:ext uri="{63B3BB69-23CF-44E3-9099-C40C66FF867C}">
                  <a14:compatExt spid="_x0000_s146434"/>
                </a:ext>
                <a:ext uri="{FF2B5EF4-FFF2-40B4-BE49-F238E27FC236}">
                  <a16:creationId xmlns:a16="http://schemas.microsoft.com/office/drawing/2014/main" id="{00000000-0008-0000-0F00-000002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 txBox="1"/>
      </xdr:nvSpPr>
      <xdr:spPr>
        <a:xfrm>
          <a:off x="659130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6435" name="Button 3" hidden="1">
              <a:extLst>
                <a:ext uri="{63B3BB69-23CF-44E3-9099-C40C66FF867C}">
                  <a14:compatExt spid="_x0000_s146435"/>
                </a:ext>
                <a:ext uri="{FF2B5EF4-FFF2-40B4-BE49-F238E27FC236}">
                  <a16:creationId xmlns:a16="http://schemas.microsoft.com/office/drawing/2014/main" id="{00000000-0008-0000-0F00-000003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6436" name="Button 4" hidden="1">
              <a:extLst>
                <a:ext uri="{63B3BB69-23CF-44E3-9099-C40C66FF867C}">
                  <a14:compatExt spid="_x0000_s146436"/>
                </a:ext>
                <a:ext uri="{FF2B5EF4-FFF2-40B4-BE49-F238E27FC236}">
                  <a16:creationId xmlns:a16="http://schemas.microsoft.com/office/drawing/2014/main" id="{00000000-0008-0000-0F00-000004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6437" name="Button 5" hidden="1">
              <a:extLst>
                <a:ext uri="{63B3BB69-23CF-44E3-9099-C40C66FF867C}">
                  <a14:compatExt spid="_x0000_s146437"/>
                </a:ext>
                <a:ext uri="{FF2B5EF4-FFF2-40B4-BE49-F238E27FC236}">
                  <a16:creationId xmlns:a16="http://schemas.microsoft.com/office/drawing/2014/main" id="{00000000-0008-0000-0F00-000005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6438" name="Button 6" hidden="1">
              <a:extLst>
                <a:ext uri="{63B3BB69-23CF-44E3-9099-C40C66FF867C}">
                  <a14:compatExt spid="_x0000_s146438"/>
                </a:ext>
                <a:ext uri="{FF2B5EF4-FFF2-40B4-BE49-F238E27FC236}">
                  <a16:creationId xmlns:a16="http://schemas.microsoft.com/office/drawing/2014/main" id="{00000000-0008-0000-0F00-000006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6439" name="Button 7" hidden="1">
              <a:extLst>
                <a:ext uri="{63B3BB69-23CF-44E3-9099-C40C66FF867C}">
                  <a14:compatExt spid="_x0000_s146439"/>
                </a:ext>
                <a:ext uri="{FF2B5EF4-FFF2-40B4-BE49-F238E27FC236}">
                  <a16:creationId xmlns:a16="http://schemas.microsoft.com/office/drawing/2014/main" id="{00000000-0008-0000-0F00-000007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6440" name="Button 8" hidden="1">
              <a:extLst>
                <a:ext uri="{63B3BB69-23CF-44E3-9099-C40C66FF867C}">
                  <a14:compatExt spid="_x0000_s146440"/>
                </a:ext>
                <a:ext uri="{FF2B5EF4-FFF2-40B4-BE49-F238E27FC236}">
                  <a16:creationId xmlns:a16="http://schemas.microsoft.com/office/drawing/2014/main" id="{00000000-0008-0000-0F00-000008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1</xdr:row>
          <xdr:rowOff>247650</xdr:rowOff>
        </xdr:to>
        <xdr:sp macro="" textlink="">
          <xdr:nvSpPr>
            <xdr:cNvPr id="146441" name="Button 9" hidden="1">
              <a:extLst>
                <a:ext uri="{63B3BB69-23CF-44E3-9099-C40C66FF867C}">
                  <a14:compatExt spid="_x0000_s146441"/>
                </a:ext>
                <a:ext uri="{FF2B5EF4-FFF2-40B4-BE49-F238E27FC236}">
                  <a16:creationId xmlns:a16="http://schemas.microsoft.com/office/drawing/2014/main" id="{00000000-0008-0000-0F00-000009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1</xdr:row>
          <xdr:rowOff>247650</xdr:rowOff>
        </xdr:to>
        <xdr:sp macro="" textlink="">
          <xdr:nvSpPr>
            <xdr:cNvPr id="146442" name="Button 10" hidden="1">
              <a:extLst>
                <a:ext uri="{63B3BB69-23CF-44E3-9099-C40C66FF867C}">
                  <a14:compatExt spid="_x0000_s146442"/>
                </a:ext>
                <a:ext uri="{FF2B5EF4-FFF2-40B4-BE49-F238E27FC236}">
                  <a16:creationId xmlns:a16="http://schemas.microsoft.com/office/drawing/2014/main" id="{00000000-0008-0000-0F00-00000A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10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10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10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10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0485" name="Button 5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10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0486" name="Button 6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10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20487" name="Button 7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id="{00000000-0008-0000-10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20488" name="Button 8" hidden="1">
              <a:extLst>
                <a:ext uri="{63B3BB69-23CF-44E3-9099-C40C66FF867C}">
                  <a14:compatExt spid="_x0000_s20488"/>
                </a:ext>
                <a:ext uri="{FF2B5EF4-FFF2-40B4-BE49-F238E27FC236}">
                  <a16:creationId xmlns:a16="http://schemas.microsoft.com/office/drawing/2014/main" id="{00000000-0008-0000-1000-00000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0</xdr:colOff>
      <xdr:row>26</xdr:row>
      <xdr:rowOff>0</xdr:rowOff>
    </xdr:from>
    <xdr:ext cx="25994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ZoneTexte 4">
              <a:extLst>
                <a:ext uri="{FF2B5EF4-FFF2-40B4-BE49-F238E27FC236}">
                  <a16:creationId xmlns:a16="http://schemas.microsoft.com/office/drawing/2014/main" id="{00000000-0008-0000-1100-000005000000}"/>
                </a:ext>
              </a:extLst>
            </xdr:cNvPr>
            <xdr:cNvSpPr txBox="1"/>
          </xdr:nvSpPr>
          <xdr:spPr>
            <a:xfrm>
              <a:off x="8991600" y="2194560"/>
              <a:ext cx="259943" cy="172227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fr-CH" sz="11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𝜃</m:t>
                    </m:r>
                    <m:r>
                      <a:rPr lang="fr-CH" sz="11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fr-CH" sz="11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5" name="ZoneTexte 4">
              <a:extLst>
                <a:ext uri="{FF2B5EF4-FFF2-40B4-BE49-F238E27FC236}">
                  <a16:creationId xmlns:a16="http://schemas.microsoft.com/office/drawing/2014/main" id="{604ED456-34D3-4E9F-8F1E-2F7CF43AC85C}"/>
                </a:ext>
              </a:extLst>
            </xdr:cNvPr>
            <xdr:cNvSpPr txBox="1"/>
          </xdr:nvSpPr>
          <xdr:spPr>
            <a:xfrm>
              <a:off x="8991600" y="2194560"/>
              <a:ext cx="259943" cy="172227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fr-CH" sz="11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𝜃</a:t>
              </a:r>
              <a:r>
                <a:rPr lang="fr-CH" sz="11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endParaRPr lang="fr-CH" sz="11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13</xdr:col>
      <xdr:colOff>0</xdr:colOff>
      <xdr:row>17</xdr:row>
      <xdr:rowOff>0</xdr:rowOff>
    </xdr:from>
    <xdr:ext cx="3933193" cy="17274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00000000-0008-0000-1100-000002000000}"/>
                </a:ext>
              </a:extLst>
            </xdr:cNvPr>
            <xdr:cNvSpPr txBox="1"/>
          </xdr:nvSpPr>
          <xdr:spPr>
            <a:xfrm>
              <a:off x="6614160" y="548640"/>
              <a:ext cx="3933193" cy="172740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fr-CH" sz="105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𝑅</m:t>
                    </m:r>
                    <m:r>
                      <a:rPr lang="fr-CH" sz="105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=5∗</m:t>
                    </m:r>
                    <m:sSup>
                      <m:sSupPr>
                        <m:ctrlP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</m:t>
                        </m:r>
                      </m:e>
                      <m:sup>
                        <m: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−7</m:t>
                        </m:r>
                      </m:sup>
                    </m:sSup>
                    <m:r>
                      <a:rPr lang="fr-CH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sSup>
                      <m:sSupPr>
                        <m:ctrlP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𝜃</m:t>
                        </m:r>
                      </m:e>
                      <m:sup>
                        <m: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4</m:t>
                        </m:r>
                      </m:sup>
                    </m:sSup>
                    <m:r>
                      <a:rPr lang="fr-CH" sz="105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−9</m:t>
                    </m:r>
                    <m:r>
                      <a:rPr lang="fr-CH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sSup>
                      <m:sSupPr>
                        <m:ctrlPr>
                          <a:rPr lang="fr-CH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fr-CH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10</m:t>
                        </m:r>
                      </m:e>
                      <m:sup>
                        <m:r>
                          <a:rPr lang="fr-CH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−5</m:t>
                        </m:r>
                      </m:sup>
                    </m:sSup>
                    <m:r>
                      <a:rPr lang="fr-CH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sSup>
                      <m:sSupPr>
                        <m:ctrlP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𝜃</m:t>
                        </m:r>
                      </m:e>
                      <m:sup>
                        <m: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3</m:t>
                        </m:r>
                      </m:sup>
                    </m:sSup>
                    <m:r>
                      <a:rPr lang="fr-CH" sz="105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+0.0068</m:t>
                    </m:r>
                    <m:r>
                      <a:rPr lang="fr-CH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sSup>
                      <m:sSupPr>
                        <m:ctrlP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𝜃</m:t>
                        </m:r>
                      </m:e>
                      <m:sup>
                        <m: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fr-CH" sz="105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−0,265</m:t>
                    </m:r>
                    <m:r>
                      <a:rPr lang="fr-CH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r>
                      <a:rPr lang="fr-CH" sz="105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𝜃</m:t>
                    </m:r>
                    <m:r>
                      <a:rPr lang="fr-CH" sz="105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+5,61</m:t>
                    </m:r>
                  </m:oMath>
                </m:oMathPara>
              </a14:m>
              <a:endParaRPr lang="fr-CH" sz="105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AA737AED-3C3C-4ADA-ADA7-E5C26ECD3E3D}"/>
                </a:ext>
              </a:extLst>
            </xdr:cNvPr>
            <xdr:cNvSpPr txBox="1"/>
          </xdr:nvSpPr>
          <xdr:spPr>
            <a:xfrm>
              <a:off x="6614160" y="548640"/>
              <a:ext cx="3933193" cy="172740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fr-CH" sz="105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𝑅=5∗10^(−7)</a:t>
              </a:r>
              <a:r>
                <a:rPr lang="fr-CH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∗</a:t>
              </a:r>
              <a:r>
                <a:rPr lang="fr-CH" sz="105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𝜃^4−9</a:t>
              </a:r>
              <a:r>
                <a:rPr lang="fr-CH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∗10^(−5)∗</a:t>
              </a:r>
              <a:r>
                <a:rPr lang="fr-CH" sz="105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𝜃^3+0.0068</a:t>
              </a:r>
              <a:r>
                <a:rPr lang="fr-CH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∗</a:t>
              </a:r>
              <a:r>
                <a:rPr lang="fr-CH" sz="105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𝜃^2−0,265</a:t>
              </a:r>
              <a:r>
                <a:rPr lang="fr-CH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∗</a:t>
              </a:r>
              <a:r>
                <a:rPr lang="fr-CH" sz="105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𝜃+5,61</a:t>
              </a:r>
              <a:endParaRPr lang="fr-CH" sz="105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11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11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365" name="Button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11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366" name="Button 6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11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11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368" name="Button 8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11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15369" name="Button 9" hidden="1">
              <a:extLst>
                <a:ext uri="{63B3BB69-23CF-44E3-9099-C40C66FF867C}">
                  <a14:compatExt spid="_x0000_s15369"/>
                </a:ext>
                <a:ext uri="{FF2B5EF4-FFF2-40B4-BE49-F238E27FC236}">
                  <a16:creationId xmlns:a16="http://schemas.microsoft.com/office/drawing/2014/main" id="{00000000-0008-0000-1100-00000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15370" name="Button 10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id="{00000000-0008-0000-1100-00000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1617" name="Button 1" hidden="1">
              <a:extLst>
                <a:ext uri="{63B3BB69-23CF-44E3-9099-C40C66FF867C}">
                  <a14:compatExt spid="_x0000_s111617"/>
                </a:ext>
                <a:ext uri="{FF2B5EF4-FFF2-40B4-BE49-F238E27FC236}">
                  <a16:creationId xmlns:a16="http://schemas.microsoft.com/office/drawing/2014/main" id="{00000000-0008-0000-1200-000001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1618" name="Button 2" hidden="1">
              <a:extLst>
                <a:ext uri="{63B3BB69-23CF-44E3-9099-C40C66FF867C}">
                  <a14:compatExt spid="_x0000_s111618"/>
                </a:ext>
                <a:ext uri="{FF2B5EF4-FFF2-40B4-BE49-F238E27FC236}">
                  <a16:creationId xmlns:a16="http://schemas.microsoft.com/office/drawing/2014/main" id="{00000000-0008-0000-1200-000002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1619" name="Button 3" hidden="1">
              <a:extLst>
                <a:ext uri="{63B3BB69-23CF-44E3-9099-C40C66FF867C}">
                  <a14:compatExt spid="_x0000_s111619"/>
                </a:ext>
                <a:ext uri="{FF2B5EF4-FFF2-40B4-BE49-F238E27FC236}">
                  <a16:creationId xmlns:a16="http://schemas.microsoft.com/office/drawing/2014/main" id="{00000000-0008-0000-1200-000003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1620" name="Button 4" hidden="1">
              <a:extLst>
                <a:ext uri="{63B3BB69-23CF-44E3-9099-C40C66FF867C}">
                  <a14:compatExt spid="_x0000_s111620"/>
                </a:ext>
                <a:ext uri="{FF2B5EF4-FFF2-40B4-BE49-F238E27FC236}">
                  <a16:creationId xmlns:a16="http://schemas.microsoft.com/office/drawing/2014/main" id="{00000000-0008-0000-1200-000004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1621" name="Button 5" hidden="1">
              <a:extLst>
                <a:ext uri="{63B3BB69-23CF-44E3-9099-C40C66FF867C}">
                  <a14:compatExt spid="_x0000_s111621"/>
                </a:ext>
                <a:ext uri="{FF2B5EF4-FFF2-40B4-BE49-F238E27FC236}">
                  <a16:creationId xmlns:a16="http://schemas.microsoft.com/office/drawing/2014/main" id="{00000000-0008-0000-1200-000005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1622" name="Button 6" hidden="1">
              <a:extLst>
                <a:ext uri="{63B3BB69-23CF-44E3-9099-C40C66FF867C}">
                  <a14:compatExt spid="_x0000_s111622"/>
                </a:ext>
                <a:ext uri="{FF2B5EF4-FFF2-40B4-BE49-F238E27FC236}">
                  <a16:creationId xmlns:a16="http://schemas.microsoft.com/office/drawing/2014/main" id="{00000000-0008-0000-1200-000006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1623" name="Button 7" hidden="1">
              <a:extLst>
                <a:ext uri="{63B3BB69-23CF-44E3-9099-C40C66FF867C}">
                  <a14:compatExt spid="_x0000_s111623"/>
                </a:ext>
                <a:ext uri="{FF2B5EF4-FFF2-40B4-BE49-F238E27FC236}">
                  <a16:creationId xmlns:a16="http://schemas.microsoft.com/office/drawing/2014/main" id="{00000000-0008-0000-1200-000007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1624" name="Button 8" hidden="1">
              <a:extLst>
                <a:ext uri="{63B3BB69-23CF-44E3-9099-C40C66FF867C}">
                  <a14:compatExt spid="_x0000_s111624"/>
                </a:ext>
                <a:ext uri="{FF2B5EF4-FFF2-40B4-BE49-F238E27FC236}">
                  <a16:creationId xmlns:a16="http://schemas.microsoft.com/office/drawing/2014/main" id="{00000000-0008-0000-1200-000008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111625" name="Button 9" hidden="1">
              <a:extLst>
                <a:ext uri="{63B3BB69-23CF-44E3-9099-C40C66FF867C}">
                  <a14:compatExt spid="_x0000_s111625"/>
                </a:ext>
                <a:ext uri="{FF2B5EF4-FFF2-40B4-BE49-F238E27FC236}">
                  <a16:creationId xmlns:a16="http://schemas.microsoft.com/office/drawing/2014/main" id="{00000000-0008-0000-1200-000009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111626" name="Button 10" hidden="1">
              <a:extLst>
                <a:ext uri="{63B3BB69-23CF-44E3-9099-C40C66FF867C}">
                  <a14:compatExt spid="_x0000_s111626"/>
                </a:ext>
                <a:ext uri="{FF2B5EF4-FFF2-40B4-BE49-F238E27FC236}">
                  <a16:creationId xmlns:a16="http://schemas.microsoft.com/office/drawing/2014/main" id="{00000000-0008-0000-1200-00000A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1137" name="Button 1" hidden="1">
              <a:extLst>
                <a:ext uri="{63B3BB69-23CF-44E3-9099-C40C66FF867C}">
                  <a14:compatExt spid="_x0000_s91137"/>
                </a:ext>
                <a:ext uri="{FF2B5EF4-FFF2-40B4-BE49-F238E27FC236}">
                  <a16:creationId xmlns:a16="http://schemas.microsoft.com/office/drawing/2014/main" id="{00000000-0008-0000-1300-000001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1138" name="Button 2" hidden="1">
              <a:extLst>
                <a:ext uri="{63B3BB69-23CF-44E3-9099-C40C66FF867C}">
                  <a14:compatExt spid="_x0000_s91138"/>
                </a:ext>
                <a:ext uri="{FF2B5EF4-FFF2-40B4-BE49-F238E27FC236}">
                  <a16:creationId xmlns:a16="http://schemas.microsoft.com/office/drawing/2014/main" id="{00000000-0008-0000-1300-000002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1139" name="Button 3" hidden="1">
              <a:extLst>
                <a:ext uri="{63B3BB69-23CF-44E3-9099-C40C66FF867C}">
                  <a14:compatExt spid="_x0000_s91139"/>
                </a:ext>
                <a:ext uri="{FF2B5EF4-FFF2-40B4-BE49-F238E27FC236}">
                  <a16:creationId xmlns:a16="http://schemas.microsoft.com/office/drawing/2014/main" id="{00000000-0008-0000-1300-000003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1140" name="Button 4" hidden="1">
              <a:extLst>
                <a:ext uri="{63B3BB69-23CF-44E3-9099-C40C66FF867C}">
                  <a14:compatExt spid="_x0000_s91140"/>
                </a:ext>
                <a:ext uri="{FF2B5EF4-FFF2-40B4-BE49-F238E27FC236}">
                  <a16:creationId xmlns:a16="http://schemas.microsoft.com/office/drawing/2014/main" id="{00000000-0008-0000-1300-000004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1141" name="Button 5" hidden="1">
              <a:extLst>
                <a:ext uri="{63B3BB69-23CF-44E3-9099-C40C66FF867C}">
                  <a14:compatExt spid="_x0000_s91141"/>
                </a:ext>
                <a:ext uri="{FF2B5EF4-FFF2-40B4-BE49-F238E27FC236}">
                  <a16:creationId xmlns:a16="http://schemas.microsoft.com/office/drawing/2014/main" id="{00000000-0008-0000-1300-000005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1142" name="Button 6" hidden="1">
              <a:extLst>
                <a:ext uri="{63B3BB69-23CF-44E3-9099-C40C66FF867C}">
                  <a14:compatExt spid="_x0000_s91142"/>
                </a:ext>
                <a:ext uri="{FF2B5EF4-FFF2-40B4-BE49-F238E27FC236}">
                  <a16:creationId xmlns:a16="http://schemas.microsoft.com/office/drawing/2014/main" id="{00000000-0008-0000-1300-000006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1143" name="Button 7" hidden="1">
              <a:extLst>
                <a:ext uri="{63B3BB69-23CF-44E3-9099-C40C66FF867C}">
                  <a14:compatExt spid="_x0000_s91143"/>
                </a:ext>
                <a:ext uri="{FF2B5EF4-FFF2-40B4-BE49-F238E27FC236}">
                  <a16:creationId xmlns:a16="http://schemas.microsoft.com/office/drawing/2014/main" id="{00000000-0008-0000-1300-000007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1144" name="Button 8" hidden="1">
              <a:extLst>
                <a:ext uri="{63B3BB69-23CF-44E3-9099-C40C66FF867C}">
                  <a14:compatExt spid="_x0000_s91144"/>
                </a:ext>
                <a:ext uri="{FF2B5EF4-FFF2-40B4-BE49-F238E27FC236}">
                  <a16:creationId xmlns:a16="http://schemas.microsoft.com/office/drawing/2014/main" id="{00000000-0008-0000-1300-000008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91145" name="Button 9" hidden="1">
              <a:extLst>
                <a:ext uri="{63B3BB69-23CF-44E3-9099-C40C66FF867C}">
                  <a14:compatExt spid="_x0000_s91145"/>
                </a:ext>
                <a:ext uri="{FF2B5EF4-FFF2-40B4-BE49-F238E27FC236}">
                  <a16:creationId xmlns:a16="http://schemas.microsoft.com/office/drawing/2014/main" id="{00000000-0008-0000-1300-000009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91146" name="Button 10" hidden="1">
              <a:extLst>
                <a:ext uri="{63B3BB69-23CF-44E3-9099-C40C66FF867C}">
                  <a14:compatExt spid="_x0000_s91146"/>
                </a:ext>
                <a:ext uri="{FF2B5EF4-FFF2-40B4-BE49-F238E27FC236}">
                  <a16:creationId xmlns:a16="http://schemas.microsoft.com/office/drawing/2014/main" id="{00000000-0008-0000-1300-00000A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9265" name="Button 1" hidden="1">
              <a:extLst>
                <a:ext uri="{63B3BB69-23CF-44E3-9099-C40C66FF867C}">
                  <a14:compatExt spid="_x0000_s139265"/>
                </a:ext>
                <a:ext uri="{FF2B5EF4-FFF2-40B4-BE49-F238E27FC236}">
                  <a16:creationId xmlns:a16="http://schemas.microsoft.com/office/drawing/2014/main" id="{00000000-0008-0000-1400-000001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9266" name="Button 2" hidden="1">
              <a:extLst>
                <a:ext uri="{63B3BB69-23CF-44E3-9099-C40C66FF867C}">
                  <a14:compatExt spid="_x0000_s139266"/>
                </a:ext>
                <a:ext uri="{FF2B5EF4-FFF2-40B4-BE49-F238E27FC236}">
                  <a16:creationId xmlns:a16="http://schemas.microsoft.com/office/drawing/2014/main" id="{00000000-0008-0000-1400-000002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9267" name="Button 3" hidden="1">
              <a:extLst>
                <a:ext uri="{63B3BB69-23CF-44E3-9099-C40C66FF867C}">
                  <a14:compatExt spid="_x0000_s139267"/>
                </a:ext>
                <a:ext uri="{FF2B5EF4-FFF2-40B4-BE49-F238E27FC236}">
                  <a16:creationId xmlns:a16="http://schemas.microsoft.com/office/drawing/2014/main" id="{00000000-0008-0000-1400-000003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9268" name="Button 4" hidden="1">
              <a:extLst>
                <a:ext uri="{63B3BB69-23CF-44E3-9099-C40C66FF867C}">
                  <a14:compatExt spid="_x0000_s139268"/>
                </a:ext>
                <a:ext uri="{FF2B5EF4-FFF2-40B4-BE49-F238E27FC236}">
                  <a16:creationId xmlns:a16="http://schemas.microsoft.com/office/drawing/2014/main" id="{00000000-0008-0000-1400-000004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9269" name="Button 5" hidden="1">
              <a:extLst>
                <a:ext uri="{63B3BB69-23CF-44E3-9099-C40C66FF867C}">
                  <a14:compatExt spid="_x0000_s139269"/>
                </a:ext>
                <a:ext uri="{FF2B5EF4-FFF2-40B4-BE49-F238E27FC236}">
                  <a16:creationId xmlns:a16="http://schemas.microsoft.com/office/drawing/2014/main" id="{00000000-0008-0000-1400-000005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9270" name="Button 6" hidden="1">
              <a:extLst>
                <a:ext uri="{63B3BB69-23CF-44E3-9099-C40C66FF867C}">
                  <a14:compatExt spid="_x0000_s139270"/>
                </a:ext>
                <a:ext uri="{FF2B5EF4-FFF2-40B4-BE49-F238E27FC236}">
                  <a16:creationId xmlns:a16="http://schemas.microsoft.com/office/drawing/2014/main" id="{00000000-0008-0000-1400-000006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9271" name="Button 7" hidden="1">
              <a:extLst>
                <a:ext uri="{63B3BB69-23CF-44E3-9099-C40C66FF867C}">
                  <a14:compatExt spid="_x0000_s139271"/>
                </a:ext>
                <a:ext uri="{FF2B5EF4-FFF2-40B4-BE49-F238E27FC236}">
                  <a16:creationId xmlns:a16="http://schemas.microsoft.com/office/drawing/2014/main" id="{00000000-0008-0000-1400-000007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9272" name="Button 8" hidden="1">
              <a:extLst>
                <a:ext uri="{63B3BB69-23CF-44E3-9099-C40C66FF867C}">
                  <a14:compatExt spid="_x0000_s139272"/>
                </a:ext>
                <a:ext uri="{FF2B5EF4-FFF2-40B4-BE49-F238E27FC236}">
                  <a16:creationId xmlns:a16="http://schemas.microsoft.com/office/drawing/2014/main" id="{00000000-0008-0000-1400-000008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139273" name="Button 9" hidden="1">
              <a:extLst>
                <a:ext uri="{63B3BB69-23CF-44E3-9099-C40C66FF867C}">
                  <a14:compatExt spid="_x0000_s139273"/>
                </a:ext>
                <a:ext uri="{FF2B5EF4-FFF2-40B4-BE49-F238E27FC236}">
                  <a16:creationId xmlns:a16="http://schemas.microsoft.com/office/drawing/2014/main" id="{00000000-0008-0000-1400-000009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139274" name="Button 10" hidden="1">
              <a:extLst>
                <a:ext uri="{63B3BB69-23CF-44E3-9099-C40C66FF867C}">
                  <a14:compatExt spid="_x0000_s139274"/>
                </a:ext>
                <a:ext uri="{FF2B5EF4-FFF2-40B4-BE49-F238E27FC236}">
                  <a16:creationId xmlns:a16="http://schemas.microsoft.com/office/drawing/2014/main" id="{00000000-0008-0000-1400-00000A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152400</xdr:colOff>
      <xdr:row>2</xdr:row>
      <xdr:rowOff>142875</xdr:rowOff>
    </xdr:from>
    <xdr:to>
      <xdr:col>29</xdr:col>
      <xdr:colOff>180976</xdr:colOff>
      <xdr:row>26</xdr:row>
      <xdr:rowOff>133349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3121" name="Button 1" hidden="1">
              <a:extLst>
                <a:ext uri="{63B3BB69-23CF-44E3-9099-C40C66FF867C}">
                  <a14:compatExt spid="_x0000_s133121"/>
                </a:ext>
                <a:ext uri="{FF2B5EF4-FFF2-40B4-BE49-F238E27FC236}">
                  <a16:creationId xmlns:a16="http://schemas.microsoft.com/office/drawing/2014/main" id="{00000000-0008-0000-1500-000001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3122" name="Button 2" hidden="1">
              <a:extLst>
                <a:ext uri="{63B3BB69-23CF-44E3-9099-C40C66FF867C}">
                  <a14:compatExt spid="_x0000_s133122"/>
                </a:ext>
                <a:ext uri="{FF2B5EF4-FFF2-40B4-BE49-F238E27FC236}">
                  <a16:creationId xmlns:a16="http://schemas.microsoft.com/office/drawing/2014/main" id="{00000000-0008-0000-1500-000002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3123" name="Button 3" hidden="1">
              <a:extLst>
                <a:ext uri="{63B3BB69-23CF-44E3-9099-C40C66FF867C}">
                  <a14:compatExt spid="_x0000_s133123"/>
                </a:ext>
                <a:ext uri="{FF2B5EF4-FFF2-40B4-BE49-F238E27FC236}">
                  <a16:creationId xmlns:a16="http://schemas.microsoft.com/office/drawing/2014/main" id="{00000000-0008-0000-1500-000003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15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15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3126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1500-000006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3127" name="Button 7" hidden="1">
              <a:extLst>
                <a:ext uri="{63B3BB69-23CF-44E3-9099-C40C66FF867C}">
                  <a14:compatExt spid="_x0000_s133127"/>
                </a:ext>
                <a:ext uri="{FF2B5EF4-FFF2-40B4-BE49-F238E27FC236}">
                  <a16:creationId xmlns:a16="http://schemas.microsoft.com/office/drawing/2014/main" id="{00000000-0008-0000-1500-000007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15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133129" name="Button 9" hidden="1">
              <a:extLst>
                <a:ext uri="{63B3BB69-23CF-44E3-9099-C40C66FF867C}">
                  <a14:compatExt spid="_x0000_s133129"/>
                </a:ext>
                <a:ext uri="{FF2B5EF4-FFF2-40B4-BE49-F238E27FC236}">
                  <a16:creationId xmlns:a16="http://schemas.microsoft.com/office/drawing/2014/main" id="{00000000-0008-0000-1500-000009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133130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1500-00000A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6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16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16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16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3557" name="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16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3558" name="Button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16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3559" name="Butto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16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16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23561" name="Button 9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16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23562" name="Button 10" hidden="1">
              <a:extLst>
                <a:ext uri="{63B3BB69-23CF-44E3-9099-C40C66FF867C}">
                  <a14:compatExt spid="_x0000_s23562"/>
                </a:ext>
                <a:ext uri="{FF2B5EF4-FFF2-40B4-BE49-F238E27FC236}">
                  <a16:creationId xmlns:a16="http://schemas.microsoft.com/office/drawing/2014/main" id="{00000000-0008-0000-1600-00000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7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17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17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17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17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17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17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17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17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17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8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18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18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18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18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18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18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18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18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18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BLO" refreshedDate="45298.49721296296" backgroundQuery="1" createdVersion="8" refreshedVersion="8" minRefreshableVersion="3" recordCount="448" xr:uid="{5E5E14DE-3D80-436E-93D4-9531E3E6876D}">
  <cacheSource type="external" connectionId="1"/>
  <cacheFields count="13">
    <cacheField name="#R" numFmtId="0">
      <sharedItems/>
    </cacheField>
    <cacheField name="θ" numFmtId="0">
      <sharedItems containsSemiMixedTypes="0" containsString="0" containsNumber="1" minValue="-15" maxValue="31.5"/>
    </cacheField>
    <cacheField name="Rsonde" numFmtId="0">
      <sharedItems containsSemiMixedTypes="0" containsString="0" containsNumber="1" minValue="94.110999999999976" maxValue="72502"/>
    </cacheField>
    <cacheField name="Rpcb" numFmtId="0">
      <sharedItems containsSemiMixedTypes="0" containsString="0" containsNumber="1" minValue="94" maxValue="72773"/>
    </cacheField>
    <cacheField name="Diff R" numFmtId="0">
      <sharedItems containsSemiMixedTypes="0" containsString="0" containsNumber="1" minValue="-190" maxValue="271"/>
    </cacheField>
    <cacheField name="Diff %" numFmtId="0">
      <sharedItems containsSemiMixedTypes="0" containsString="0" containsNumber="1" minValue="-4.2863266180882984E-3" maxValue="4.120879120879121E-3"/>
    </cacheField>
    <cacheField name="Radd" numFmtId="0">
      <sharedItems containsSemiMixedTypes="0" containsString="0" containsNumber="1" minValue="0" maxValue="7500" count="71">
        <n v="1300"/>
        <n v="20"/>
        <n v="22"/>
        <n v="110.00000000000001"/>
        <n v="100"/>
        <n v="91"/>
        <n v="82"/>
        <n v="75"/>
        <n v="68"/>
        <n v="62"/>
        <n v="56"/>
        <n v="51"/>
        <n v="47"/>
        <n v="43"/>
        <n v="39"/>
        <n v="36"/>
        <n v="33"/>
        <n v="30"/>
        <n v="27"/>
        <n v="24"/>
        <n v="240"/>
        <n v="819.99999999999989"/>
        <n v="6.2"/>
        <n v="6.8"/>
        <n v="7.5"/>
        <n v="8.1999999999999993"/>
        <n v="9.1"/>
        <n v="6200"/>
        <n v="5100"/>
        <n v="4300"/>
        <n v="3900"/>
        <n v="3600"/>
        <n v="3000"/>
        <n v="2700"/>
        <n v="2400"/>
        <n v="2200"/>
        <n v="2000"/>
        <n v="1800"/>
        <n v="1500"/>
        <n v="1200"/>
        <n v="1000"/>
        <n v="910"/>
        <n v="750"/>
        <n v="680"/>
        <n v="620"/>
        <n v="560"/>
        <n v="509.99999999999994"/>
        <n v="7500"/>
        <n v="430"/>
        <n v="390"/>
        <n v="360"/>
        <n v="330"/>
        <n v="300"/>
        <n v="270"/>
        <n v="220.00000000000003"/>
        <n v="200"/>
        <n v="180"/>
        <n v="160"/>
        <n v="130"/>
        <n v="150"/>
        <n v="470"/>
        <n v="120"/>
        <n v="1600"/>
        <n v="0"/>
        <n v="0.68"/>
        <n v="0.62000000000000011"/>
        <n v="0.55999999999999994"/>
        <n v="5.6"/>
        <n v="3.3"/>
        <n v="3"/>
        <n v="110" u="1"/>
      </sharedItems>
    </cacheField>
    <cacheField name="RaddLow" numFmtId="0">
      <sharedItems containsSemiMixedTypes="0" containsString="0" containsNumber="1" minValue="0" maxValue="6800"/>
    </cacheField>
    <cacheField name="RaddLowDiff" numFmtId="0">
      <sharedItems containsSemiMixedTypes="0" containsString="0" containsNumber="1" minValue="-763" maxValue="0"/>
    </cacheField>
    <cacheField name="RaddHigh" numFmtId="0">
      <sharedItems containsSemiMixedTypes="0" containsString="0" containsNumber="1" minValue="0.1" maxValue="7500"/>
    </cacheField>
    <cacheField name="RaddHighDiff" numFmtId="0">
      <sharedItems containsSemiMixedTypes="0" containsString="0" containsNumber="1" minValue="-99.22" maxValue="383"/>
    </cacheField>
    <cacheField name="Rmes" numFmtId="0">
      <sharedItems containsSemiMixedTypes="0" containsString="0" containsNumber="1" minValue="94" maxValue="4992.2987726056854"/>
    </cacheField>
    <cacheField name="Name" numFmtId="0">
      <sharedItems count="14">
        <s v="DeDietrich AF40"/>
        <s v="DeDietrich AF60"/>
        <s v="KTY81 210"/>
        <s v="Ni1000 TK5000"/>
        <s v="Ni1000 TK6180"/>
        <s v="NTC 10k 3977"/>
        <s v="NTC 1k 3528"/>
        <s v="NTC 2.2k 3528"/>
        <s v="NTC 2k 3390"/>
        <s v="NTC 2k Xavier"/>
        <s v="Pt100"/>
        <s v="Pt1000"/>
        <s v="Viessmann AV17"/>
        <s v="VRC DCF 953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8">
  <r>
    <s v="R1/R33"/>
    <n v="-15"/>
    <n v="1448.4"/>
    <n v="1448"/>
    <n v="-0.40000000000009095"/>
    <n v="-2.7616680475013182E-4"/>
    <x v="0"/>
    <n v="1300"/>
    <n v="-148.4"/>
    <n v="1500"/>
    <n v="51.6"/>
    <n v="1448"/>
    <x v="0"/>
  </r>
  <r>
    <s v="R2/R34"/>
    <n v="-13.5"/>
    <n v="1468.65"/>
    <n v="1468"/>
    <n v="-0.65000000000009095"/>
    <n v="-4.4258332482217743E-4"/>
    <x v="1"/>
    <n v="20"/>
    <n v="-0.65"/>
    <n v="22"/>
    <n v="1.35"/>
    <n v="1468"/>
    <x v="0"/>
  </r>
  <r>
    <s v="R3/R35"/>
    <n v="-12"/>
    <n v="1488.9"/>
    <n v="1488"/>
    <n v="-0.90000000000009095"/>
    <n v="-6.0447310094706886E-4"/>
    <x v="1"/>
    <n v="20"/>
    <n v="-0.9"/>
    <n v="22"/>
    <n v="1.1000000000000001"/>
    <n v="1488"/>
    <x v="0"/>
  </r>
  <r>
    <s v="R4/R36"/>
    <n v="-10.5"/>
    <n v="1509.15"/>
    <n v="1510"/>
    <n v="0.84999999999990905"/>
    <n v="5.6323095782388028E-4"/>
    <x v="2"/>
    <n v="20"/>
    <n v="-1.1499999999999999"/>
    <n v="22"/>
    <n v="0.85"/>
    <n v="1510"/>
    <x v="0"/>
  </r>
  <r>
    <s v="R5/R37"/>
    <n v="-9"/>
    <n v="1529.4"/>
    <n v="1530"/>
    <n v="0.59999999999990905"/>
    <n v="3.9231071008232577E-4"/>
    <x v="1"/>
    <n v="18"/>
    <n v="-1.4"/>
    <n v="20"/>
    <n v="0.6"/>
    <n v="1530"/>
    <x v="0"/>
  </r>
  <r>
    <s v="R6/R38"/>
    <n v="-7.5"/>
    <n v="1549.65"/>
    <n v="1550"/>
    <n v="0.34999999999990905"/>
    <n v="2.2585745168257932E-4"/>
    <x v="1"/>
    <n v="18"/>
    <n v="-1.65"/>
    <n v="20"/>
    <n v="0.35"/>
    <n v="1550"/>
    <x v="0"/>
  </r>
  <r>
    <s v="R7/R39"/>
    <n v="-6"/>
    <n v="1569.9"/>
    <n v="1570"/>
    <n v="9.9999999999909051E-2"/>
    <n v="6.3698324734001556E-5"/>
    <x v="1"/>
    <n v="18"/>
    <n v="-1.9"/>
    <n v="20"/>
    <n v="0.1"/>
    <n v="1570"/>
    <x v="0"/>
  </r>
  <r>
    <s v="R8/R40"/>
    <n v="-4.5"/>
    <n v="1590.15"/>
    <n v="1590"/>
    <n v="-0.15000000000009095"/>
    <n v="-9.4330723516706562E-5"/>
    <x v="1"/>
    <n v="20"/>
    <n v="-0.15"/>
    <n v="22"/>
    <n v="1.85"/>
    <n v="1590"/>
    <x v="0"/>
  </r>
  <r>
    <s v="R9/R41"/>
    <n v="-3"/>
    <n v="1610.4"/>
    <n v="1610"/>
    <n v="-0.40000000000009095"/>
    <n v="-2.4838549428719012E-4"/>
    <x v="1"/>
    <n v="20"/>
    <n v="-0.4"/>
    <n v="22"/>
    <n v="1.6"/>
    <n v="1610"/>
    <x v="0"/>
  </r>
  <r>
    <s v="R10/R42"/>
    <n v="-1.5"/>
    <n v="1630.65"/>
    <n v="1630"/>
    <n v="-0.65000000000009095"/>
    <n v="-3.9861404961217362E-4"/>
    <x v="1"/>
    <n v="20"/>
    <n v="-0.65"/>
    <n v="22"/>
    <n v="1.35"/>
    <n v="1630"/>
    <x v="0"/>
  </r>
  <r>
    <s v="R11/R43"/>
    <n v="0"/>
    <n v="1650.9"/>
    <n v="1650"/>
    <n v="-0.90000000000009095"/>
    <n v="-5.451571869889702E-4"/>
    <x v="1"/>
    <n v="20"/>
    <n v="-0.9"/>
    <n v="22"/>
    <n v="1.1000000000000001"/>
    <n v="1650"/>
    <x v="0"/>
  </r>
  <r>
    <s v="R12/R44"/>
    <n v="1.5"/>
    <n v="1671.15"/>
    <n v="1672"/>
    <n v="0.84999999999990905"/>
    <n v="5.0863178051037254E-4"/>
    <x v="2"/>
    <n v="20"/>
    <n v="-1.1499999999999999"/>
    <n v="22"/>
    <n v="0.85"/>
    <n v="1672"/>
    <x v="0"/>
  </r>
  <r>
    <s v="R13/R45"/>
    <n v="3"/>
    <n v="1691.4"/>
    <n v="1692"/>
    <n v="0.59999999999990905"/>
    <n v="3.5473572188714025E-4"/>
    <x v="1"/>
    <n v="18"/>
    <n v="-1.4"/>
    <n v="20"/>
    <n v="0.6"/>
    <n v="1692"/>
    <x v="0"/>
  </r>
  <r>
    <s v="R14/R46"/>
    <n v="4.5"/>
    <n v="1711.65"/>
    <n v="1712"/>
    <n v="0.34999999999990905"/>
    <n v="2.0448105629066048E-4"/>
    <x v="1"/>
    <n v="18"/>
    <n v="-1.65"/>
    <n v="20"/>
    <n v="0.35"/>
    <n v="1712"/>
    <x v="0"/>
  </r>
  <r>
    <s v="R15/R47"/>
    <n v="6"/>
    <n v="1731.9"/>
    <n v="1732"/>
    <n v="9.9999999999909051E-2"/>
    <n v="5.7740054275598501E-5"/>
    <x v="1"/>
    <n v="18"/>
    <n v="-1.9"/>
    <n v="20"/>
    <n v="0.1"/>
    <n v="1732"/>
    <x v="0"/>
  </r>
  <r>
    <s v="R16/R48"/>
    <n v="7.5"/>
    <n v="1752.15"/>
    <n v="1752"/>
    <n v="-0.15000000000009095"/>
    <n v="-8.5609108809229205E-5"/>
    <x v="1"/>
    <n v="20"/>
    <n v="-0.15"/>
    <n v="22"/>
    <n v="1.85"/>
    <n v="1752"/>
    <x v="0"/>
  </r>
  <r>
    <s v="R17/R49"/>
    <n v="9"/>
    <n v="1772.4"/>
    <n v="1772"/>
    <n v="-0.40000000000009095"/>
    <n v="-2.2568269013771775E-4"/>
    <x v="1"/>
    <n v="20"/>
    <n v="-0.4"/>
    <n v="22"/>
    <n v="1.6"/>
    <n v="1772"/>
    <x v="0"/>
  </r>
  <r>
    <s v="R18/R50"/>
    <n v="10.5"/>
    <n v="1792.65"/>
    <n v="1792"/>
    <n v="-0.65000000000009095"/>
    <n v="-3.6259169386109445E-4"/>
    <x v="1"/>
    <n v="20"/>
    <n v="-0.65"/>
    <n v="22"/>
    <n v="1.35"/>
    <n v="1792"/>
    <x v="0"/>
  </r>
  <r>
    <s v="R19/R51"/>
    <n v="12"/>
    <n v="1812.9"/>
    <n v="1812"/>
    <n v="-0.90000000000009095"/>
    <n v="-4.9644216448788733E-4"/>
    <x v="1"/>
    <n v="20"/>
    <n v="-0.9"/>
    <n v="22"/>
    <n v="1.1000000000000001"/>
    <n v="1812"/>
    <x v="0"/>
  </r>
  <r>
    <s v="R20/R52"/>
    <n v="13.5"/>
    <n v="1833.15"/>
    <n v="1834"/>
    <n v="0.84999999999990905"/>
    <n v="4.6368273190950494E-4"/>
    <x v="2"/>
    <n v="20"/>
    <n v="-1.1499999999999999"/>
    <n v="22"/>
    <n v="0.85"/>
    <n v="1834"/>
    <x v="0"/>
  </r>
  <r>
    <s v="R21/R53"/>
    <n v="15"/>
    <n v="1853.4"/>
    <n v="1854"/>
    <n v="0.59999999999990905"/>
    <n v="3.2372936225310726E-4"/>
    <x v="1"/>
    <n v="18"/>
    <n v="-1.4"/>
    <n v="20"/>
    <n v="0.6"/>
    <n v="1854"/>
    <x v="0"/>
  </r>
  <r>
    <s v="R22/R54"/>
    <n v="16.5"/>
    <n v="1873.65"/>
    <n v="1874"/>
    <n v="0.34999999999990905"/>
    <n v="1.8680116350434128E-4"/>
    <x v="1"/>
    <n v="18"/>
    <n v="-1.65"/>
    <n v="20"/>
    <n v="0.35"/>
    <n v="1874"/>
    <x v="0"/>
  </r>
  <r>
    <s v="R23/R55"/>
    <n v="18"/>
    <n v="1893.9"/>
    <n v="1894"/>
    <n v="9.9999999999909051E-2"/>
    <n v="5.2801098262795841E-5"/>
    <x v="1"/>
    <n v="18"/>
    <n v="-1.9"/>
    <n v="20"/>
    <n v="0.1"/>
    <n v="1894"/>
    <x v="0"/>
  </r>
  <r>
    <s v="R24/R56"/>
    <n v="19.5"/>
    <n v="1914.15"/>
    <n v="1914"/>
    <n v="-0.15000000000009095"/>
    <n v="-7.8363764595298663E-5"/>
    <x v="1"/>
    <n v="20"/>
    <n v="-0.15"/>
    <n v="22"/>
    <n v="1.85"/>
    <n v="1914"/>
    <x v="0"/>
  </r>
  <r>
    <s v="R25/R57"/>
    <n v="21"/>
    <n v="1934.4"/>
    <n v="1934"/>
    <n v="-0.40000000000009095"/>
    <n v="-2.0678246484702798E-4"/>
    <x v="1"/>
    <n v="20"/>
    <n v="-0.4"/>
    <n v="22"/>
    <n v="1.6"/>
    <n v="1934"/>
    <x v="0"/>
  </r>
  <r>
    <s v="R26/R58"/>
    <n v="22.5"/>
    <n v="1954.65"/>
    <n v="1954"/>
    <n v="-0.65000000000009095"/>
    <n v="-3.3254035249282018E-4"/>
    <x v="1"/>
    <n v="20"/>
    <n v="-0.65"/>
    <n v="22"/>
    <n v="1.35"/>
    <n v="1954"/>
    <x v="0"/>
  </r>
  <r>
    <s v="R27/R59"/>
    <n v="24"/>
    <n v="1974.9"/>
    <n v="1974"/>
    <n v="-0.90000000000009095"/>
    <n v="-4.5571927692545999E-4"/>
    <x v="1"/>
    <n v="20"/>
    <n v="-0.9"/>
    <n v="22"/>
    <n v="1.1000000000000001"/>
    <n v="1974"/>
    <x v="0"/>
  </r>
  <r>
    <s v="R28/R60"/>
    <n v="25.5"/>
    <n v="1995.15"/>
    <n v="1996"/>
    <n v="0.84999999999990905"/>
    <n v="4.2603313034103151E-4"/>
    <x v="2"/>
    <n v="20"/>
    <n v="-1.1499999999999999"/>
    <n v="22"/>
    <n v="0.85"/>
    <n v="1996"/>
    <x v="0"/>
  </r>
  <r>
    <s v="R29/R61"/>
    <n v="27"/>
    <n v="2015.4"/>
    <n v="2016"/>
    <n v="0.59999999999990905"/>
    <n v="2.9770765108658778E-4"/>
    <x v="1"/>
    <n v="18"/>
    <n v="-1.4"/>
    <n v="20"/>
    <n v="0.6"/>
    <n v="2016"/>
    <x v="0"/>
  </r>
  <r>
    <s v="R30/R62"/>
    <n v="28.5"/>
    <n v="2035.65"/>
    <n v="2036"/>
    <n v="0.34999999999990905"/>
    <n v="1.7193525409569868E-4"/>
    <x v="1"/>
    <n v="18"/>
    <n v="-1.65"/>
    <n v="20"/>
    <n v="0.35"/>
    <n v="2036"/>
    <x v="0"/>
  </r>
  <r>
    <s v="R31/R63"/>
    <n v="30"/>
    <n v="2055.9"/>
    <n v="2056"/>
    <n v="9.9999999999909051E-2"/>
    <n v="4.8640498078656087E-5"/>
    <x v="1"/>
    <n v="18"/>
    <n v="-1.9"/>
    <n v="20"/>
    <n v="0.1"/>
    <n v="2056"/>
    <x v="0"/>
  </r>
  <r>
    <s v="R32/R64"/>
    <n v="31.5"/>
    <n v="2076.15"/>
    <n v="2076"/>
    <n v="-0.15000000000009095"/>
    <n v="-7.2249114948385682E-5"/>
    <x v="1"/>
    <n v="20"/>
    <n v="-0.15"/>
    <n v="22"/>
    <n v="1.85"/>
    <n v="2076"/>
    <x v="0"/>
  </r>
  <r>
    <s v="R32/R64"/>
    <n v="-15"/>
    <n v="2015.0000027779399"/>
    <n v="2010"/>
    <n v="-5.0000027779399261"/>
    <n v="-2.4813909533730875E-3"/>
    <x v="3"/>
    <n v="110.00000000000001"/>
    <n v="-5"/>
    <n v="120"/>
    <n v="5"/>
    <n v="2010"/>
    <x v="1"/>
  </r>
  <r>
    <s v="R31/R63"/>
    <n v="-13.5"/>
    <n v="1904.0249852369834"/>
    <n v="1900"/>
    <n v="-4.0249852369834116"/>
    <n v="-2.1139350944401835E-3"/>
    <x v="4"/>
    <n v="100"/>
    <n v="-4.0199999999999996"/>
    <n v="110.00000000000001"/>
    <n v="5.98"/>
    <n v="1900"/>
    <x v="1"/>
  </r>
  <r>
    <s v="R30/R62"/>
    <n v="-12"/>
    <n v="1799.1860383975925"/>
    <n v="1800"/>
    <n v="0.81396160240751669"/>
    <n v="4.5240546838194376E-4"/>
    <x v="4"/>
    <n v="91"/>
    <n v="-8.19"/>
    <n v="100"/>
    <n v="0.81"/>
    <n v="1800"/>
    <x v="1"/>
  </r>
  <r>
    <s v="R29/R61"/>
    <n v="-10.5"/>
    <n v="1700.1322070435394"/>
    <n v="1700"/>
    <n v="-0.13220704353943802"/>
    <n v="-7.7762801617258146E-5"/>
    <x v="5"/>
    <n v="91"/>
    <n v="-0.13"/>
    <n v="100"/>
    <n v="8.8699999999999992"/>
    <n v="1700"/>
    <x v="1"/>
  </r>
  <r>
    <s v="R28/R60"/>
    <n v="-9"/>
    <n v="1606.5337569594521"/>
    <n v="1609"/>
    <n v="2.4662430405478517"/>
    <n v="1.5351330340020351E-3"/>
    <x v="5"/>
    <n v="82"/>
    <n v="-6.53"/>
    <n v="91"/>
    <n v="2.4700000000000002"/>
    <n v="1609"/>
    <x v="1"/>
  </r>
  <r>
    <s v="R27/R59"/>
    <n v="-7.5"/>
    <n v="1518.0808044316789"/>
    <n v="1518"/>
    <n v="-8.0804431678870969E-2"/>
    <n v="-5.3228017535681558E-5"/>
    <x v="6"/>
    <n v="82"/>
    <n v="-0.08"/>
    <n v="91"/>
    <n v="8.92"/>
    <n v="1518"/>
    <x v="1"/>
  </r>
  <r>
    <s v="R26/R58"/>
    <n v="-6"/>
    <n v="1434.4820405163659"/>
    <n v="1436"/>
    <n v="1.5179594836340584"/>
    <n v="1.0581934389974261E-3"/>
    <x v="6"/>
    <n v="75"/>
    <n v="-5.48"/>
    <n v="82"/>
    <n v="1.52"/>
    <n v="1436"/>
    <x v="1"/>
  </r>
  <r>
    <s v="R25/R57"/>
    <n v="-4.5"/>
    <n v="1355.4635430665596"/>
    <n v="1354"/>
    <n v="-1.4635430665596232"/>
    <n v="-1.0797362083590589E-3"/>
    <x v="7"/>
    <n v="75"/>
    <n v="-1.46"/>
    <n v="82"/>
    <n v="5.54"/>
    <n v="1354"/>
    <x v="1"/>
  </r>
  <r>
    <s v="R24/R56"/>
    <n v="-3"/>
    <n v="1280.7676700628544"/>
    <n v="1279"/>
    <n v="-1.7676700628544495"/>
    <n v="-1.3801644936647253E-3"/>
    <x v="8"/>
    <n v="68"/>
    <n v="-1.77"/>
    <n v="75"/>
    <n v="5.23"/>
    <n v="1279"/>
    <x v="1"/>
  </r>
  <r>
    <s v="R23/R55"/>
    <n v="-1.5"/>
    <n v="1210.1520282984279"/>
    <n v="1211"/>
    <n v="0.84797170157207802"/>
    <n v="7.0071501905789066E-4"/>
    <x v="8"/>
    <n v="62"/>
    <n v="-5.15"/>
    <n v="68"/>
    <n v="0.85"/>
    <n v="1211"/>
    <x v="1"/>
  </r>
  <r>
    <s v="R22/R54"/>
    <n v="0"/>
    <n v="1143.3885119338111"/>
    <n v="1143"/>
    <n v="-0.38851193381105986"/>
    <n v="-3.3978995744322313E-4"/>
    <x v="9"/>
    <n v="62"/>
    <n v="-0.39"/>
    <n v="68"/>
    <n v="5.61"/>
    <n v="1143"/>
    <x v="1"/>
  </r>
  <r>
    <s v="R21/R53"/>
    <n v="1.5"/>
    <n v="1080.2624058621793"/>
    <n v="1081"/>
    <n v="0.73759413782067895"/>
    <n v="6.8279163823348101E-4"/>
    <x v="9"/>
    <n v="56"/>
    <n v="-5.26"/>
    <n v="62"/>
    <n v="0.74"/>
    <n v="1081"/>
    <x v="1"/>
  </r>
  <r>
    <s v="R20/R52"/>
    <n v="3"/>
    <n v="1020.5715492166131"/>
    <n v="1019"/>
    <n v="-1.5715492166131071"/>
    <n v="-1.5398716707509849E-3"/>
    <x v="10"/>
    <n v="56"/>
    <n v="-1.57"/>
    <n v="62"/>
    <n v="4.43"/>
    <n v="1019"/>
    <x v="1"/>
  </r>
  <r>
    <s v="R19/R51"/>
    <n v="4.5"/>
    <n v="964.12555470933125"/>
    <n v="963"/>
    <n v="-1.1255547093312543"/>
    <n v="-1.167435821852675E-3"/>
    <x v="11"/>
    <n v="51"/>
    <n v="-1.1299999999999999"/>
    <n v="56"/>
    <n v="3.87"/>
    <n v="963"/>
    <x v="1"/>
  </r>
  <r>
    <s v="R18/R50"/>
    <n v="6"/>
    <n v="910.74507982211969"/>
    <n v="912"/>
    <n v="1.2549201778803081"/>
    <n v="1.3779049765774308E-3"/>
    <x v="11"/>
    <n v="47"/>
    <n v="-2.75"/>
    <n v="51"/>
    <n v="1.25"/>
    <n v="912"/>
    <x v="1"/>
  </r>
  <r>
    <s v="R17/R49"/>
    <n v="7.5"/>
    <n v="860.26114616975656"/>
    <n v="861"/>
    <n v="0.73885383024344264"/>
    <n v="8.5887155723948457E-4"/>
    <x v="12"/>
    <n v="43"/>
    <n v="-3.26"/>
    <n v="47"/>
    <n v="0.74"/>
    <n v="861"/>
    <x v="1"/>
  </r>
  <r>
    <s v="R16/R48"/>
    <n v="9"/>
    <n v="812.5145036361705"/>
    <n v="814"/>
    <n v="1.4854963638294976"/>
    <n v="1.8282705812408197E-3"/>
    <x v="12"/>
    <n v="43"/>
    <n v="-2.5099999999999998"/>
    <n v="47"/>
    <n v="1.49"/>
    <n v="814"/>
    <x v="1"/>
  </r>
  <r>
    <s v="R15/R47"/>
    <n v="10.5"/>
    <n v="767.35503613912692"/>
    <n v="767"/>
    <n v="-0.35503613912692344"/>
    <n v="-4.6267519258523884E-4"/>
    <x v="13"/>
    <n v="43"/>
    <n v="-0.36"/>
    <n v="47"/>
    <n v="3.64"/>
    <n v="767"/>
    <x v="1"/>
  </r>
  <r>
    <s v="R14/R46"/>
    <n v="12"/>
    <n v="724.64120611413534"/>
    <n v="724"/>
    <n v="-0.64120611413534334"/>
    <n v="-8.8486013315995378E-4"/>
    <x v="14"/>
    <n v="39"/>
    <n v="-0.64"/>
    <n v="43"/>
    <n v="3.36"/>
    <n v="724"/>
    <x v="1"/>
  </r>
  <r>
    <s v="R13/R45"/>
    <n v="13.5"/>
    <n v="684.239535025245"/>
    <n v="685"/>
    <n v="0.76046497475499564"/>
    <n v="1.1114016887769256E-3"/>
    <x v="14"/>
    <n v="36"/>
    <n v="-2.2400000000000002"/>
    <n v="39"/>
    <n v="0.76"/>
    <n v="685"/>
    <x v="1"/>
  </r>
  <r>
    <s v="R12/R44"/>
    <n v="15"/>
    <n v="646.02411740959644"/>
    <n v="646"/>
    <n v="-2.4117409596442485E-2"/>
    <n v="-3.7332057653122268E-5"/>
    <x v="15"/>
    <n v="36"/>
    <n v="-0.02"/>
    <n v="39"/>
    <n v="2.98"/>
    <n v="646"/>
    <x v="1"/>
  </r>
  <r>
    <s v="R11/R43"/>
    <n v="16.5"/>
    <n v="609.87616614649778"/>
    <n v="610"/>
    <n v="0.12383385350221943"/>
    <n v="2.030475371494898E-4"/>
    <x v="16"/>
    <n v="30"/>
    <n v="-2.88"/>
    <n v="33"/>
    <n v="0.12"/>
    <n v="610"/>
    <x v="1"/>
  </r>
  <r>
    <s v="R10/R42"/>
    <n v="18"/>
    <n v="575.68358681110294"/>
    <n v="577"/>
    <n v="1.3164131888970587"/>
    <n v="2.2866957110747174E-3"/>
    <x v="16"/>
    <n v="30"/>
    <n v="-1.68"/>
    <n v="33"/>
    <n v="1.32"/>
    <n v="577"/>
    <x v="1"/>
  </r>
  <r>
    <s v="R9/R41"/>
    <n v="19.5"/>
    <n v="543.34057912893991"/>
    <n v="544"/>
    <n v="0.6594208710600924"/>
    <n v="1.2136418599863227E-3"/>
    <x v="17"/>
    <n v="27"/>
    <n v="-2.34"/>
    <n v="30"/>
    <n v="0.66"/>
    <n v="544"/>
    <x v="1"/>
  </r>
  <r>
    <s v="R8/R40"/>
    <n v="21"/>
    <n v="512.74726369170321"/>
    <n v="514"/>
    <n v="1.2527363082967895"/>
    <n v="2.4431847754335665E-3"/>
    <x v="17"/>
    <n v="27"/>
    <n v="-1.75"/>
    <n v="30"/>
    <n v="1.25"/>
    <n v="514"/>
    <x v="1"/>
  </r>
  <r>
    <s v="R7/R39"/>
    <n v="22.5"/>
    <n v="483.809332227494"/>
    <n v="484"/>
    <n v="0.19066777250600353"/>
    <n v="3.9409692993757478E-4"/>
    <x v="18"/>
    <n v="24"/>
    <n v="-2.81"/>
    <n v="27"/>
    <n v="0.19"/>
    <n v="484"/>
    <x v="1"/>
  </r>
  <r>
    <s v="R6/R38"/>
    <n v="24"/>
    <n v="456.43771984164073"/>
    <n v="457"/>
    <n v="0.56228015835927181"/>
    <n v="1.2318880187079033E-3"/>
    <x v="18"/>
    <n v="24"/>
    <n v="-2.44"/>
    <n v="27"/>
    <n v="0.56000000000000005"/>
    <n v="457"/>
    <x v="1"/>
  </r>
  <r>
    <s v="R5/R37"/>
    <n v="25.5"/>
    <n v="430.54829775745435"/>
    <n v="430"/>
    <n v="-0.54829775745434972"/>
    <n v="-1.2734872261955348E-3"/>
    <x v="19"/>
    <n v="24"/>
    <n v="-0.55000000000000004"/>
    <n v="27"/>
    <n v="2.4500000000000002"/>
    <n v="430"/>
    <x v="1"/>
  </r>
  <r>
    <s v="R4/R36"/>
    <n v="27"/>
    <n v="406.06158519112699"/>
    <n v="406"/>
    <n v="-6.1585191126994232E-2"/>
    <n v="-1.5166465721697616E-4"/>
    <x v="19"/>
    <n v="24"/>
    <n v="-0.06"/>
    <n v="27"/>
    <n v="2.94"/>
    <n v="406"/>
    <x v="1"/>
  </r>
  <r>
    <s v="R3/R35"/>
    <n v="28.5"/>
    <n v="382.90247909173598"/>
    <n v="382"/>
    <n v="-0.90247909173598373"/>
    <n v="-2.3569424096618798E-3"/>
    <x v="2"/>
    <n v="22"/>
    <n v="-0.9"/>
    <n v="24"/>
    <n v="1.1000000000000001"/>
    <n v="382"/>
    <x v="1"/>
  </r>
  <r>
    <s v="R2/R34"/>
    <n v="30"/>
    <n v="361.00000056694142"/>
    <n v="360"/>
    <n v="-1.0000005669414236"/>
    <n v="-2.770084668617584E-3"/>
    <x v="1"/>
    <n v="20"/>
    <n v="-1"/>
    <n v="22"/>
    <n v="1"/>
    <n v="360"/>
    <x v="1"/>
  </r>
  <r>
    <s v="R1/R33"/>
    <n v="31.5"/>
    <n v="340.28705689770516"/>
    <n v="340"/>
    <n v="-0.28705689770515619"/>
    <n v="-8.4357277741377431E-4"/>
    <x v="20"/>
    <n v="240"/>
    <n v="-100.29"/>
    <n v="270"/>
    <n v="-70.290000000000006"/>
    <n v="340"/>
    <x v="1"/>
  </r>
  <r>
    <s v="R1/R33"/>
    <n v="-15"/>
    <n v="1423.3375056895766"/>
    <n v="1423"/>
    <n v="-0.33750568957657379"/>
    <n v="-2.3712274019861473E-4"/>
    <x v="0"/>
    <n v="1300"/>
    <n v="-123.34"/>
    <n v="1500"/>
    <n v="76.66"/>
    <n v="1423"/>
    <x v="2"/>
  </r>
  <r>
    <s v="R2/R34"/>
    <n v="-13.5"/>
    <n v="1444.7705052344104"/>
    <n v="1445"/>
    <n v="0.22949476558960669"/>
    <n v="1.5884513475195269E-4"/>
    <x v="2"/>
    <n v="20"/>
    <n v="-1.77"/>
    <n v="22"/>
    <n v="0.23"/>
    <n v="1445"/>
    <x v="2"/>
  </r>
  <r>
    <s v="R3/R35"/>
    <n v="-12"/>
    <n v="1466.2035047792442"/>
    <n v="1467"/>
    <n v="0.79649522075578716"/>
    <n v="5.4323647308134743E-4"/>
    <x v="2"/>
    <n v="20"/>
    <n v="-1.2"/>
    <n v="22"/>
    <n v="0.8"/>
    <n v="1467"/>
    <x v="2"/>
  </r>
  <r>
    <s v="R4/R36"/>
    <n v="-10.5"/>
    <n v="1487.636504324078"/>
    <n v="1487"/>
    <n v="-0.63650432407803237"/>
    <n v="-4.2786280265906372E-4"/>
    <x v="1"/>
    <n v="20"/>
    <n v="-0.64"/>
    <n v="22"/>
    <n v="1.36"/>
    <n v="1487"/>
    <x v="2"/>
  </r>
  <r>
    <s v="R5/R37"/>
    <n v="-9"/>
    <n v="1509.0695038689121"/>
    <n v="1509"/>
    <n v="-6.950386891207927E-2"/>
    <n v="-4.6057433891472267E-5"/>
    <x v="2"/>
    <n v="22"/>
    <n v="-7.0000000000000007E-2"/>
    <n v="24"/>
    <n v="1.93"/>
    <n v="1509"/>
    <x v="2"/>
  </r>
  <r>
    <s v="R6/R38"/>
    <n v="-7.5"/>
    <n v="1530.5025034137459"/>
    <n v="1531"/>
    <n v="0.4974965862541012"/>
    <n v="3.2505440869547619E-4"/>
    <x v="2"/>
    <n v="20"/>
    <n v="-1.5"/>
    <n v="22"/>
    <n v="0.5"/>
    <n v="1531"/>
    <x v="2"/>
  </r>
  <r>
    <s v="R7/R39"/>
    <n v="-6"/>
    <n v="1551.9355029585797"/>
    <n v="1551"/>
    <n v="-0.93550295857971832"/>
    <n v="-6.0279757554118304E-4"/>
    <x v="1"/>
    <n v="20"/>
    <n v="-0.94"/>
    <n v="22"/>
    <n v="1.06"/>
    <n v="1551"/>
    <x v="2"/>
  </r>
  <r>
    <s v="R8/R40"/>
    <n v="-4.5"/>
    <n v="1573.3685025034135"/>
    <n v="1573"/>
    <n v="-0.36850250341353785"/>
    <n v="-2.3421245742952603E-4"/>
    <x v="2"/>
    <n v="22"/>
    <n v="-0.37"/>
    <n v="24"/>
    <n v="1.63"/>
    <n v="1573"/>
    <x v="2"/>
  </r>
  <r>
    <s v="R9/R41"/>
    <n v="-3"/>
    <n v="1594.8015020482476"/>
    <n v="1595"/>
    <n v="0.19849795175241525"/>
    <n v="1.2446561625222878E-4"/>
    <x v="2"/>
    <n v="20"/>
    <n v="-1.8"/>
    <n v="22"/>
    <n v="0.2"/>
    <n v="1595"/>
    <x v="2"/>
  </r>
  <r>
    <s v="R10/R42"/>
    <n v="-1.5"/>
    <n v="1616.2345015930814"/>
    <n v="1617"/>
    <n v="0.76549840691859572"/>
    <n v="4.7363077954595286E-4"/>
    <x v="2"/>
    <n v="20"/>
    <n v="-1.23"/>
    <n v="22"/>
    <n v="0.77"/>
    <n v="1617"/>
    <x v="2"/>
  </r>
  <r>
    <s v="R11/R43"/>
    <n v="0"/>
    <n v="1637.6675011379152"/>
    <n v="1637"/>
    <n v="-0.66750113791522381"/>
    <n v="-4.0759258973596164E-4"/>
    <x v="1"/>
    <n v="20"/>
    <n v="-0.67"/>
    <n v="22"/>
    <n v="1.33"/>
    <n v="1637"/>
    <x v="2"/>
  </r>
  <r>
    <s v="R12/R44"/>
    <n v="1.5"/>
    <n v="1659.100500682749"/>
    <n v="1659"/>
    <n v="-0.10050068274904334"/>
    <n v="-6.0575403785174881E-5"/>
    <x v="2"/>
    <n v="22"/>
    <n v="-0.1"/>
    <n v="24"/>
    <n v="1.9"/>
    <n v="1659"/>
    <x v="2"/>
  </r>
  <r>
    <s v="R13/R45"/>
    <n v="3"/>
    <n v="1680.5335002275829"/>
    <n v="1681"/>
    <n v="0.46649977241713714"/>
    <n v="2.7759028448642192E-4"/>
    <x v="2"/>
    <n v="20"/>
    <n v="-1.53"/>
    <n v="22"/>
    <n v="0.47"/>
    <n v="1681"/>
    <x v="2"/>
  </r>
  <r>
    <s v="R14/R46"/>
    <n v="4.5"/>
    <n v="1701.9664997724169"/>
    <n v="1701"/>
    <n v="-0.96649977241690976"/>
    <n v="-5.6787238323794732E-4"/>
    <x v="1"/>
    <n v="20"/>
    <n v="-0.97"/>
    <n v="22"/>
    <n v="1.03"/>
    <n v="1701"/>
    <x v="2"/>
  </r>
  <r>
    <s v="R15/R47"/>
    <n v="6"/>
    <n v="1723.3994993172507"/>
    <n v="1723"/>
    <n v="-0.39949931725072929"/>
    <n v="-2.3180888552479947E-4"/>
    <x v="2"/>
    <n v="22"/>
    <n v="-0.4"/>
    <n v="24"/>
    <n v="1.6"/>
    <n v="1723"/>
    <x v="2"/>
  </r>
  <r>
    <s v="R16/R48"/>
    <n v="7.5"/>
    <n v="1744.8324988620845"/>
    <n v="1745"/>
    <n v="0.16750113791545118"/>
    <n v="9.5998405591762675E-5"/>
    <x v="2"/>
    <n v="20"/>
    <n v="-1.83"/>
    <n v="22"/>
    <n v="0.17"/>
    <n v="1745"/>
    <x v="2"/>
  </r>
  <r>
    <s v="R17/R49"/>
    <n v="9"/>
    <n v="1766.2654984069184"/>
    <n v="1767"/>
    <n v="0.73450159308163165"/>
    <n v="4.1585004844634893E-4"/>
    <x v="2"/>
    <n v="20"/>
    <n v="-1.27"/>
    <n v="22"/>
    <n v="0.73"/>
    <n v="1767"/>
    <x v="2"/>
  </r>
  <r>
    <s v="R18/R50"/>
    <n v="10.5"/>
    <n v="1787.6984979517524"/>
    <n v="1787"/>
    <n v="-0.69849795175241525"/>
    <n v="-3.9072469577656197E-4"/>
    <x v="1"/>
    <n v="20"/>
    <n v="-0.7"/>
    <n v="22"/>
    <n v="1.3"/>
    <n v="1787"/>
    <x v="2"/>
  </r>
  <r>
    <s v="R19/R51"/>
    <n v="12"/>
    <n v="1809.1314974965862"/>
    <n v="1809"/>
    <n v="-0.13149749658623477"/>
    <n v="-7.2685427658628724E-5"/>
    <x v="2"/>
    <n v="22"/>
    <n v="-0.13"/>
    <n v="24"/>
    <n v="1.87"/>
    <n v="1809"/>
    <x v="2"/>
  </r>
  <r>
    <s v="R20/R52"/>
    <n v="13.5"/>
    <n v="1830.5644970414201"/>
    <n v="1831"/>
    <n v="0.4355029585799457"/>
    <n v="2.3790637220584727E-4"/>
    <x v="2"/>
    <n v="20"/>
    <n v="-1.56"/>
    <n v="22"/>
    <n v="0.44"/>
    <n v="1831"/>
    <x v="2"/>
  </r>
  <r>
    <s v="R21/R53"/>
    <n v="15"/>
    <n v="1851.9974965862539"/>
    <n v="1853"/>
    <n v="1.0025034137461262"/>
    <n v="5.4130927044664936E-4"/>
    <x v="2"/>
    <n v="20"/>
    <n v="-1"/>
    <n v="22"/>
    <n v="1"/>
    <n v="1853"/>
    <x v="2"/>
  </r>
  <r>
    <s v="R22/R54"/>
    <n v="16.5"/>
    <n v="1873.4304961310877"/>
    <n v="1873"/>
    <n v="-0.43049613108769336"/>
    <n v="-2.2979028684369759E-4"/>
    <x v="1"/>
    <n v="20"/>
    <n v="-0.43"/>
    <n v="22"/>
    <n v="1.57"/>
    <n v="1873"/>
    <x v="2"/>
  </r>
  <r>
    <s v="R23/R55"/>
    <n v="18"/>
    <n v="1894.8634956759215"/>
    <n v="1895"/>
    <n v="0.13650432407848712"/>
    <n v="7.2039133367648894E-5"/>
    <x v="2"/>
    <n v="20"/>
    <n v="-1.86"/>
    <n v="22"/>
    <n v="0.14000000000000001"/>
    <n v="1895"/>
    <x v="2"/>
  </r>
  <r>
    <s v="R24/R56"/>
    <n v="19.5"/>
    <n v="1916.2964952207556"/>
    <n v="1917"/>
    <n v="0.70350477924444021"/>
    <n v="3.6711687413663885E-4"/>
    <x v="2"/>
    <n v="20"/>
    <n v="-1.3"/>
    <n v="22"/>
    <n v="0.7"/>
    <n v="1917"/>
    <x v="2"/>
  </r>
  <r>
    <s v="R25/R57"/>
    <n v="21"/>
    <n v="1937.7294947655894"/>
    <n v="1937"/>
    <n v="-0.72949476558937931"/>
    <n v="-3.7646883507732725E-4"/>
    <x v="1"/>
    <n v="20"/>
    <n v="-0.73"/>
    <n v="22"/>
    <n v="1.27"/>
    <n v="1937"/>
    <x v="2"/>
  </r>
  <r>
    <s v="R26/R58"/>
    <n v="22.5"/>
    <n v="1959.1624943104232"/>
    <n v="1959"/>
    <n v="-0.16249431042319884"/>
    <n v="-8.2940700883717575E-5"/>
    <x v="2"/>
    <n v="22"/>
    <n v="-0.16"/>
    <n v="24"/>
    <n v="1.84"/>
    <n v="1959"/>
    <x v="2"/>
  </r>
  <r>
    <s v="R27/R59"/>
    <n v="24"/>
    <n v="1980.5954938552572"/>
    <n v="1981"/>
    <n v="0.40450614474275426"/>
    <n v="2.0423460822652752E-4"/>
    <x v="2"/>
    <n v="20"/>
    <n v="-1.6"/>
    <n v="22"/>
    <n v="0.4"/>
    <n v="1981"/>
    <x v="2"/>
  </r>
  <r>
    <s v="R28/R60"/>
    <n v="25.5"/>
    <n v="2002.0284934000911"/>
    <n v="2003"/>
    <n v="0.97150659990893473"/>
    <n v="4.8526112545930989E-4"/>
    <x v="2"/>
    <n v="20"/>
    <n v="-1.03"/>
    <n v="22"/>
    <n v="0.97"/>
    <n v="2003"/>
    <x v="2"/>
  </r>
  <r>
    <s v="R29/R61"/>
    <n v="27"/>
    <n v="2023.4614929449249"/>
    <n v="2023"/>
    <n v="-0.4614929449248848"/>
    <n v="-2.2807102904302506E-4"/>
    <x v="1"/>
    <n v="20"/>
    <n v="-0.46"/>
    <n v="22"/>
    <n v="1.54"/>
    <n v="2023"/>
    <x v="2"/>
  </r>
  <r>
    <s v="R30/R62"/>
    <n v="28.5"/>
    <n v="2044.8944924897587"/>
    <n v="2045"/>
    <n v="0.10550751024129568"/>
    <n v="5.1595576509590544E-5"/>
    <x v="2"/>
    <n v="20"/>
    <n v="-1.89"/>
    <n v="22"/>
    <n v="0.11"/>
    <n v="2045"/>
    <x v="2"/>
  </r>
  <r>
    <s v="R31/R63"/>
    <n v="30"/>
    <n v="2066.3274920345925"/>
    <n v="2067"/>
    <n v="0.67250796540747615"/>
    <n v="3.2546049355675787E-4"/>
    <x v="2"/>
    <n v="20"/>
    <n v="-1.33"/>
    <n v="22"/>
    <n v="0.67"/>
    <n v="2067"/>
    <x v="2"/>
  </r>
  <r>
    <s v="R32/R64"/>
    <n v="31.5"/>
    <n v="2087.7604915794263"/>
    <n v="2087"/>
    <n v="-0.76049157942634338"/>
    <n v="-3.6426188851337952E-4"/>
    <x v="1"/>
    <n v="20"/>
    <n v="-0.76"/>
    <n v="22"/>
    <n v="1.24"/>
    <n v="2087"/>
    <x v="2"/>
  </r>
  <r>
    <s v="R1/R33"/>
    <n v="-15"/>
    <n v="934.74"/>
    <n v="934.99999999999989"/>
    <n v="0.25999999999987722"/>
    <n v="2.7815221344959799E-4"/>
    <x v="21"/>
    <n v="819.99999999999989"/>
    <n v="-114.74"/>
    <n v="910"/>
    <n v="-24.74"/>
    <n v="934.99999999999989"/>
    <x v="3"/>
  </r>
  <r>
    <s v="R2/R34"/>
    <n v="-13.5"/>
    <n v="941.16499999999996"/>
    <n v="941.19999999999993"/>
    <n v="3.4999999999968168E-2"/>
    <n v="3.7187953228146151E-5"/>
    <x v="22"/>
    <n v="5.6"/>
    <n v="-0.56999999999999995"/>
    <n v="6.2"/>
    <n v="0.03"/>
    <n v="941.19999999999993"/>
    <x v="3"/>
  </r>
  <r>
    <s v="R3/R35"/>
    <n v="-12"/>
    <n v="947.61"/>
    <n v="947.4"/>
    <n v="-0.21000000000003638"/>
    <n v="-2.2161015607690546E-4"/>
    <x v="22"/>
    <n v="6.2"/>
    <n v="-0.21"/>
    <n v="6.8"/>
    <n v="0.39"/>
    <n v="947.4"/>
    <x v="3"/>
  </r>
  <r>
    <s v="R4/R36"/>
    <n v="-10.5"/>
    <n v="954.07999999999993"/>
    <n v="954.19999999999993"/>
    <n v="0.12000000000000455"/>
    <n v="1.2577561630052465E-4"/>
    <x v="23"/>
    <n v="6.2"/>
    <n v="-0.48"/>
    <n v="6.8"/>
    <n v="0.12"/>
    <n v="954.19999999999993"/>
    <x v="3"/>
  </r>
  <r>
    <s v="R5/R37"/>
    <n v="-9"/>
    <n v="960.57"/>
    <n v="960.4"/>
    <n v="-0.17000000000007276"/>
    <n v="-1.7697825249598961E-4"/>
    <x v="22"/>
    <n v="6.2"/>
    <n v="-0.17"/>
    <n v="6.8"/>
    <n v="0.43"/>
    <n v="960.4"/>
    <x v="3"/>
  </r>
  <r>
    <s v="R6/R38"/>
    <n v="-7.5"/>
    <n v="967.08500000000004"/>
    <n v="967.19999999999993"/>
    <n v="0.11499999999989541"/>
    <n v="1.189140561583474E-4"/>
    <x v="23"/>
    <n v="6.2"/>
    <n v="-0.49"/>
    <n v="6.8"/>
    <n v="0.11"/>
    <n v="967.19999999999993"/>
    <x v="3"/>
  </r>
  <r>
    <s v="R7/R39"/>
    <n v="-6"/>
    <n v="973.62"/>
    <n v="973.4"/>
    <n v="-0.22000000000002728"/>
    <n v="-2.2596084714778588E-4"/>
    <x v="22"/>
    <n v="6.2"/>
    <n v="-0.22"/>
    <n v="6.8"/>
    <n v="0.38"/>
    <n v="973.4"/>
    <x v="3"/>
  </r>
  <r>
    <s v="R8/R40"/>
    <n v="-4.5"/>
    <n v="980.18000000000006"/>
    <n v="980.19999999999993"/>
    <n v="1.9999999999868123E-2"/>
    <n v="2.0404415515383013E-5"/>
    <x v="23"/>
    <n v="6.2"/>
    <n v="-0.57999999999999996"/>
    <n v="6.8"/>
    <n v="0.02"/>
    <n v="980.19999999999993"/>
    <x v="3"/>
  </r>
  <r>
    <s v="R9/R41"/>
    <n v="-3"/>
    <n v="986.77"/>
    <n v="986.99999999999989"/>
    <n v="0.2299999999999045"/>
    <n v="2.3308369731538708E-4"/>
    <x v="23"/>
    <n v="6.2"/>
    <n v="-0.37"/>
    <n v="6.8"/>
    <n v="0.23"/>
    <n v="986.99999999999989"/>
    <x v="3"/>
  </r>
  <r>
    <s v="R10/R42"/>
    <n v="-1.5"/>
    <n v="993.375"/>
    <n v="993.19999999999993"/>
    <n v="-0.17500000000006821"/>
    <n v="-1.7616710708450304E-4"/>
    <x v="22"/>
    <n v="6.2"/>
    <n v="-0.18"/>
    <n v="6.8"/>
    <n v="0.42"/>
    <n v="993.19999999999993"/>
    <x v="3"/>
  </r>
  <r>
    <s v="R11/R43"/>
    <n v="0"/>
    <n v="1000"/>
    <n v="999.99999999999989"/>
    <n v="0"/>
    <n v="0"/>
    <x v="23"/>
    <n v="6.8"/>
    <n v="0"/>
    <n v="7.5"/>
    <n v="0.7"/>
    <n v="999.99999999999989"/>
    <x v="3"/>
  </r>
  <r>
    <s v="R12/R44"/>
    <n v="1.5"/>
    <n v="1006.65"/>
    <n v="1006.7999999999998"/>
    <n v="0.14999999999986358"/>
    <n v="1.490090895543273E-4"/>
    <x v="23"/>
    <n v="6.2"/>
    <n v="-0.45"/>
    <n v="6.8"/>
    <n v="0.15"/>
    <n v="1006.7999999999998"/>
    <x v="3"/>
  </r>
  <r>
    <s v="R13/R45"/>
    <n v="3"/>
    <n v="1013.33"/>
    <n v="1013.5999999999998"/>
    <n v="0.26999999999975444"/>
    <n v="2.6644824489530008E-4"/>
    <x v="23"/>
    <n v="6.2"/>
    <n v="-0.33"/>
    <n v="6.8"/>
    <n v="0.27"/>
    <n v="1013.5999999999998"/>
    <x v="3"/>
  </r>
  <r>
    <s v="R14/R46"/>
    <n v="4.5"/>
    <n v="1020.025"/>
    <n v="1019.7999999999998"/>
    <n v="-0.22500000000013642"/>
    <n v="-2.2058282885236777E-4"/>
    <x v="22"/>
    <n v="6.2"/>
    <n v="-0.23"/>
    <n v="6.8"/>
    <n v="0.37"/>
    <n v="1019.7999999999998"/>
    <x v="3"/>
  </r>
  <r>
    <s v="R15/R47"/>
    <n v="6"/>
    <n v="1026.75"/>
    <n v="1026.5999999999999"/>
    <n v="-0.15000000000009095"/>
    <n v="-1.4609203798401845E-4"/>
    <x v="23"/>
    <n v="6.8"/>
    <n v="-0.15"/>
    <n v="7.5"/>
    <n v="0.55000000000000004"/>
    <n v="1026.5999999999999"/>
    <x v="3"/>
  </r>
  <r>
    <s v="R16/R48"/>
    <n v="7.5"/>
    <n v="1033.4949999999999"/>
    <n v="1033.3999999999996"/>
    <n v="-9.5000000000254659E-2"/>
    <n v="-9.1921102666442191E-5"/>
    <x v="23"/>
    <n v="6.8"/>
    <n v="-0.09"/>
    <n v="7.5"/>
    <n v="0.61"/>
    <n v="1033.3999999999996"/>
    <x v="3"/>
  </r>
  <r>
    <s v="R17/R49"/>
    <n v="9"/>
    <n v="1040.27"/>
    <n v="1040.1999999999998"/>
    <n v="-7.0000000000163709E-2"/>
    <n v="-6.7290222730794611E-5"/>
    <x v="23"/>
    <n v="6.8"/>
    <n v="-7.0000000000000007E-2"/>
    <n v="7.5"/>
    <n v="0.63"/>
    <n v="1040.1999999999998"/>
    <x v="3"/>
  </r>
  <r>
    <s v="R18/R50"/>
    <n v="10.5"/>
    <n v="1047.06"/>
    <n v="1046.9999999999995"/>
    <n v="-6.0000000000400178E-2"/>
    <n v="-5.730330640116152E-5"/>
    <x v="23"/>
    <n v="6.8"/>
    <n v="-0.06"/>
    <n v="7.5"/>
    <n v="0.64"/>
    <n v="1046.9999999999995"/>
    <x v="3"/>
  </r>
  <r>
    <s v="R19/R51"/>
    <n v="12"/>
    <n v="1053.8800000000001"/>
    <n v="1053.7999999999997"/>
    <n v="-8.0000000000381988E-2"/>
    <n v="-7.5909970775023703E-5"/>
    <x v="23"/>
    <n v="6.8"/>
    <n v="-0.08"/>
    <n v="7.5"/>
    <n v="0.62"/>
    <n v="1053.7999999999997"/>
    <x v="3"/>
  </r>
  <r>
    <s v="R20/R52"/>
    <n v="13.5"/>
    <n v="1060.7249999999999"/>
    <n v="1060.5999999999995"/>
    <n v="-0.12500000000045475"/>
    <n v="-1.1784392750284452E-4"/>
    <x v="23"/>
    <n v="6.8"/>
    <n v="-0.13"/>
    <n v="7.5"/>
    <n v="0.56999999999999995"/>
    <n v="1060.5999999999995"/>
    <x v="3"/>
  </r>
  <r>
    <s v="R21/R53"/>
    <n v="15"/>
    <n v="1067.5899999999999"/>
    <n v="1067.3999999999996"/>
    <n v="-0.19000000000028194"/>
    <n v="-1.779709439019492E-4"/>
    <x v="23"/>
    <n v="6.8"/>
    <n v="-0.19"/>
    <n v="7.5"/>
    <n v="0.51"/>
    <n v="1067.3999999999996"/>
    <x v="3"/>
  </r>
  <r>
    <s v="R22/R54"/>
    <n v="16.5"/>
    <n v="1074.48"/>
    <n v="1074.1999999999994"/>
    <n v="-0.28000000000065484"/>
    <n v="-2.6059116968268821E-4"/>
    <x v="23"/>
    <n v="6.8"/>
    <n v="-0.28000000000000003"/>
    <n v="7.5"/>
    <n v="0.42"/>
    <n v="1074.1999999999994"/>
    <x v="3"/>
  </r>
  <r>
    <s v="R23/R55"/>
    <n v="18"/>
    <n v="1081.3900000000001"/>
    <n v="1081.6999999999994"/>
    <n v="0.30999999999926331"/>
    <n v="2.8666808459414578E-4"/>
    <x v="24"/>
    <n v="6.8"/>
    <n v="-0.39"/>
    <n v="7.5"/>
    <n v="0.31"/>
    <n v="1081.6999999999994"/>
    <x v="3"/>
  </r>
  <r>
    <s v="R24/R56"/>
    <n v="19.5"/>
    <n v="1088.335"/>
    <n v="1088.4999999999995"/>
    <n v="0.16499999999950887"/>
    <n v="1.5160773107499885E-4"/>
    <x v="23"/>
    <n v="6.2"/>
    <n v="-0.44"/>
    <n v="6.8"/>
    <n v="0.16"/>
    <n v="1088.4999999999995"/>
    <x v="3"/>
  </r>
  <r>
    <s v="R25/R57"/>
    <n v="21"/>
    <n v="1095.3"/>
    <n v="1095.2999999999993"/>
    <n v="0"/>
    <n v="0"/>
    <x v="23"/>
    <n v="6.8"/>
    <n v="0"/>
    <n v="7.5"/>
    <n v="0.7"/>
    <n v="1095.2999999999993"/>
    <x v="3"/>
  </r>
  <r>
    <s v="R26/R58"/>
    <n v="22.5"/>
    <n v="1102.29"/>
    <n v="1102.0999999999995"/>
    <n v="-0.19000000000050932"/>
    <n v="-1.7236843298996574E-4"/>
    <x v="23"/>
    <n v="6.8"/>
    <n v="-0.19"/>
    <n v="7.5"/>
    <n v="0.51"/>
    <n v="1102.0999999999995"/>
    <x v="3"/>
  </r>
  <r>
    <s v="R27/R59"/>
    <n v="24"/>
    <n v="1109.3"/>
    <n v="1109.5999999999995"/>
    <n v="0.29999999999949978"/>
    <n v="2.7044081853375986E-4"/>
    <x v="24"/>
    <n v="6.8"/>
    <n v="-0.4"/>
    <n v="7.5"/>
    <n v="0.3"/>
    <n v="1109.5999999999995"/>
    <x v="3"/>
  </r>
  <r>
    <s v="R28/R60"/>
    <n v="25.5"/>
    <n v="1116.345"/>
    <n v="1116.3999999999992"/>
    <n v="5.499999999915417E-2"/>
    <n v="4.9267923445847087E-5"/>
    <x v="23"/>
    <n v="6.2"/>
    <n v="-0.55000000000000004"/>
    <n v="6.8"/>
    <n v="0.05"/>
    <n v="1116.3999999999992"/>
    <x v="3"/>
  </r>
  <r>
    <s v="R29/R61"/>
    <n v="27"/>
    <n v="1123.4100000000001"/>
    <n v="1123.1999999999994"/>
    <n v="-0.2100000000007185"/>
    <n v="-1.8693086228600288E-4"/>
    <x v="23"/>
    <n v="6.8"/>
    <n v="-0.21"/>
    <n v="7.5"/>
    <n v="0.49"/>
    <n v="1123.1999999999994"/>
    <x v="3"/>
  </r>
  <r>
    <s v="R30/R62"/>
    <n v="28.5"/>
    <n v="1130.5"/>
    <n v="1130.6999999999994"/>
    <n v="0.19999999999936335"/>
    <n v="1.7691287041075927E-4"/>
    <x v="24"/>
    <n v="6.8"/>
    <n v="-0.5"/>
    <n v="7.5"/>
    <n v="0.2"/>
    <n v="1130.6999999999994"/>
    <x v="3"/>
  </r>
  <r>
    <s v="R31/R63"/>
    <n v="30"/>
    <n v="1137.6199999999999"/>
    <n v="1137.4999999999991"/>
    <n v="-0.12000000000080036"/>
    <n v="-1.0548337757845359E-4"/>
    <x v="23"/>
    <n v="6.8"/>
    <n v="-0.12"/>
    <n v="7.5"/>
    <n v="0.57999999999999996"/>
    <n v="1137.4999999999991"/>
    <x v="3"/>
  </r>
  <r>
    <s v="R32/R64"/>
    <n v="31.5"/>
    <n v="1144.7550000000001"/>
    <n v="1144.9999999999991"/>
    <n v="0.24499999999898137"/>
    <n v="2.1401959371130185E-4"/>
    <x v="24"/>
    <n v="6.8"/>
    <n v="-0.46"/>
    <n v="7.5"/>
    <n v="0.24"/>
    <n v="1144.9999999999991"/>
    <x v="3"/>
  </r>
  <r>
    <s v="R1/R33"/>
    <n v="-15"/>
    <n v="919.22"/>
    <n v="918.99999999999989"/>
    <n v="-0.22000000000014097"/>
    <n v="-2.3933334783853808E-4"/>
    <x v="21"/>
    <n v="750"/>
    <n v="-169.22"/>
    <n v="819.99999999999989"/>
    <n v="-99.22"/>
    <n v="918.99999999999989"/>
    <x v="4"/>
  </r>
  <r>
    <s v="R2/R34"/>
    <n v="-13.5"/>
    <n v="927.16499999999996"/>
    <n v="927.19999999999993"/>
    <n v="3.4999999999968168E-2"/>
    <n v="3.7749483640957294E-5"/>
    <x v="25"/>
    <n v="7.5"/>
    <n v="-0.67"/>
    <n v="8.1999999999999993"/>
    <n v="0.03"/>
    <n v="927.19999999999993"/>
    <x v="4"/>
  </r>
  <r>
    <s v="R3/R35"/>
    <n v="-12"/>
    <n v="935.14"/>
    <n v="935.4"/>
    <n v="0.25999999999999091"/>
    <n v="2.7803323566523826E-4"/>
    <x v="25"/>
    <n v="7.5"/>
    <n v="-0.44"/>
    <n v="8.1999999999999993"/>
    <n v="0.26"/>
    <n v="935.4"/>
    <x v="4"/>
  </r>
  <r>
    <s v="R4/R36"/>
    <n v="-10.5"/>
    <n v="943.14499999999998"/>
    <n v="942.9"/>
    <n v="-0.24500000000000455"/>
    <n v="-2.5976917653171522E-4"/>
    <x v="24"/>
    <n v="7.5"/>
    <n v="-0.25"/>
    <n v="8.1999999999999993"/>
    <n v="0.45"/>
    <n v="942.9"/>
    <x v="4"/>
  </r>
  <r>
    <s v="R5/R37"/>
    <n v="-9"/>
    <n v="951.17"/>
    <n v="951.1"/>
    <n v="-6.9999999999936335E-2"/>
    <n v="-7.3593574229566049E-5"/>
    <x v="25"/>
    <n v="8.1999999999999993"/>
    <n v="-7.0000000000000007E-2"/>
    <n v="9.1"/>
    <n v="0.83"/>
    <n v="951.1"/>
    <x v="4"/>
  </r>
  <r>
    <s v="R6/R38"/>
    <n v="-7.5"/>
    <n v="959.24"/>
    <n v="959.30000000000007"/>
    <n v="6.0000000000059117E-2"/>
    <n v="6.254951836877019E-5"/>
    <x v="25"/>
    <n v="7.5"/>
    <n v="-0.64"/>
    <n v="8.1999999999999993"/>
    <n v="0.06"/>
    <n v="959.30000000000007"/>
    <x v="4"/>
  </r>
  <r>
    <s v="R7/R39"/>
    <n v="-6"/>
    <n v="967.33"/>
    <n v="967.50000000000011"/>
    <n v="0.17000000000007276"/>
    <n v="1.7574147395415499E-4"/>
    <x v="25"/>
    <n v="7.5"/>
    <n v="-0.53"/>
    <n v="8.1999999999999993"/>
    <n v="0.17"/>
    <n v="967.50000000000011"/>
    <x v="4"/>
  </r>
  <r>
    <s v="R8/R40"/>
    <n v="-4.5"/>
    <n v="975.45499999999993"/>
    <n v="975.70000000000016"/>
    <n v="0.24500000000023192"/>
    <n v="2.5116484102314502E-4"/>
    <x v="25"/>
    <n v="7.5"/>
    <n v="-0.45"/>
    <n v="8.1999999999999993"/>
    <n v="0.25"/>
    <n v="975.70000000000016"/>
    <x v="4"/>
  </r>
  <r>
    <s v="R9/R41"/>
    <n v="-3"/>
    <n v="983.6"/>
    <n v="983.9000000000002"/>
    <n v="0.3000000000001819"/>
    <n v="3.0500203334707393E-4"/>
    <x v="25"/>
    <n v="7.5"/>
    <n v="-0.4"/>
    <n v="8.1999999999999993"/>
    <n v="0.3"/>
    <n v="983.9000000000002"/>
    <x v="4"/>
  </r>
  <r>
    <s v="R10/R42"/>
    <n v="-1.5"/>
    <n v="991.79"/>
    <n v="992.10000000000025"/>
    <n v="0.31000000000028649"/>
    <n v="3.1256616824154961E-4"/>
    <x v="25"/>
    <n v="7.5"/>
    <n v="-0.39"/>
    <n v="8.1999999999999993"/>
    <n v="0.31"/>
    <n v="992.10000000000025"/>
    <x v="4"/>
  </r>
  <r>
    <s v="R11/R43"/>
    <n v="0"/>
    <n v="1000"/>
    <n v="1000.3000000000003"/>
    <n v="0.30000000000029559"/>
    <n v="3.0000000000029558E-4"/>
    <x v="25"/>
    <n v="7.5"/>
    <n v="-0.4"/>
    <n v="8.1999999999999993"/>
    <n v="0.3"/>
    <n v="1000.3000000000003"/>
    <x v="4"/>
  </r>
  <r>
    <s v="R12/R44"/>
    <n v="1.5"/>
    <n v="1008.245"/>
    <n v="1008.5000000000003"/>
    <n v="0.25500000000033651"/>
    <n v="2.5291471814919639E-4"/>
    <x v="25"/>
    <n v="7.5"/>
    <n v="-0.44"/>
    <n v="8.1999999999999993"/>
    <n v="0.26"/>
    <n v="1008.5000000000003"/>
    <x v="4"/>
  </r>
  <r>
    <s v="R13/R45"/>
    <n v="3"/>
    <n v="1016.51"/>
    <n v="1016.7000000000004"/>
    <n v="0.19000000000039563"/>
    <n v="1.869140490505707E-4"/>
    <x v="25"/>
    <n v="7.5"/>
    <n v="-0.51"/>
    <n v="8.1999999999999993"/>
    <n v="0.19"/>
    <n v="1016.7000000000004"/>
    <x v="4"/>
  </r>
  <r>
    <s v="R14/R46"/>
    <n v="4.5"/>
    <n v="1024.82"/>
    <n v="1024.9000000000005"/>
    <n v="8.0000000000609361E-2"/>
    <n v="7.8062489023057087E-5"/>
    <x v="25"/>
    <n v="7.5"/>
    <n v="-0.62"/>
    <n v="8.1999999999999993"/>
    <n v="0.08"/>
    <n v="1024.9000000000005"/>
    <x v="4"/>
  </r>
  <r>
    <s v="R15/R47"/>
    <n v="6"/>
    <n v="1033.1500000000001"/>
    <n v="1033.1000000000004"/>
    <n v="-4.9999999999727152E-2"/>
    <n v="-4.8395683104802927E-5"/>
    <x v="25"/>
    <n v="8.1999999999999993"/>
    <n v="-0.05"/>
    <n v="9.1"/>
    <n v="0.85"/>
    <n v="1033.1000000000004"/>
    <x v="4"/>
  </r>
  <r>
    <s v="R16/R48"/>
    <n v="7.5"/>
    <n v="1041.5149999999999"/>
    <n v="1041.3000000000006"/>
    <n v="-0.21499999999923602"/>
    <n v="-2.0643005621545158E-4"/>
    <x v="25"/>
    <n v="8.1999999999999993"/>
    <n v="-0.21"/>
    <n v="9.1"/>
    <n v="0.69"/>
    <n v="1041.3000000000006"/>
    <x v="4"/>
  </r>
  <r>
    <s v="R17/R49"/>
    <n v="9"/>
    <n v="1049.9000000000001"/>
    <n v="1049.5000000000005"/>
    <n v="-0.3999999999996362"/>
    <n v="-3.8098866558685225E-4"/>
    <x v="25"/>
    <n v="8.1999999999999993"/>
    <n v="-0.4"/>
    <n v="9.1"/>
    <n v="0.5"/>
    <n v="1049.5000000000005"/>
    <x v="4"/>
  </r>
  <r>
    <s v="R18/R50"/>
    <n v="10.5"/>
    <n v="1058.33"/>
    <n v="1058.6000000000006"/>
    <n v="0.27000000000066393"/>
    <n v="2.5511891376098564E-4"/>
    <x v="26"/>
    <n v="8.1999999999999993"/>
    <n v="-0.63"/>
    <n v="9.1"/>
    <n v="0.27"/>
    <n v="1058.6000000000006"/>
    <x v="4"/>
  </r>
  <r>
    <s v="R19/R51"/>
    <n v="12"/>
    <n v="1066.78"/>
    <n v="1066.8000000000006"/>
    <n v="2.0000000000663931E-2"/>
    <n v="1.8748008024769804E-5"/>
    <x v="25"/>
    <n v="7.5"/>
    <n v="-0.68"/>
    <n v="8.1999999999999993"/>
    <n v="0.02"/>
    <n v="1066.8000000000006"/>
    <x v="4"/>
  </r>
  <r>
    <s v="R20/R52"/>
    <n v="13.5"/>
    <n v="1075.26"/>
    <n v="1075.0000000000007"/>
    <n v="-0.25999999999930878"/>
    <n v="-2.4180198277561594E-4"/>
    <x v="25"/>
    <n v="8.1999999999999993"/>
    <n v="-0.26"/>
    <n v="9.1"/>
    <n v="0.64"/>
    <n v="1075.0000000000007"/>
    <x v="4"/>
  </r>
  <r>
    <s v="R21/R53"/>
    <n v="15"/>
    <n v="1083.77"/>
    <n v="1084.1000000000008"/>
    <n v="0.33000000000083674"/>
    <n v="3.0449265065543124E-4"/>
    <x v="26"/>
    <n v="8.1999999999999993"/>
    <n v="-0.56999999999999995"/>
    <n v="9.1"/>
    <n v="0.33"/>
    <n v="1084.1000000000008"/>
    <x v="4"/>
  </r>
  <r>
    <s v="R22/R54"/>
    <n v="16.5"/>
    <n v="1092.3150000000001"/>
    <n v="1092.3000000000006"/>
    <n v="-1.4999999999417923E-2"/>
    <n v="-1.373230249462648E-5"/>
    <x v="25"/>
    <n v="8.1999999999999993"/>
    <n v="-0.01"/>
    <n v="9.1"/>
    <n v="0.89"/>
    <n v="1092.3000000000006"/>
    <x v="4"/>
  </r>
  <r>
    <s v="R23/R55"/>
    <n v="18"/>
    <n v="1100.8900000000001"/>
    <n v="1100.5000000000009"/>
    <n v="-0.38999999999919055"/>
    <n v="-3.5425882694836952E-4"/>
    <x v="25"/>
    <n v="8.1999999999999993"/>
    <n v="-0.39"/>
    <n v="9.1"/>
    <n v="0.51"/>
    <n v="1100.5000000000009"/>
    <x v="4"/>
  </r>
  <r>
    <s v="R24/R56"/>
    <n v="19.5"/>
    <n v="1109.4899999999998"/>
    <n v="1109.6000000000008"/>
    <n v="0.11000000000103682"/>
    <n v="9.9144652048271589E-5"/>
    <x v="26"/>
    <n v="8.1999999999999993"/>
    <n v="-0.79"/>
    <n v="9.1"/>
    <n v="0.11"/>
    <n v="1109.6000000000008"/>
    <x v="4"/>
  </r>
  <r>
    <s v="R25/R57"/>
    <n v="21"/>
    <n v="1118.1199999999999"/>
    <n v="1117.8000000000009"/>
    <n v="-0.31999999999902684"/>
    <n v="-2.8619468393287559E-4"/>
    <x v="25"/>
    <n v="8.1999999999999993"/>
    <n v="-0.32"/>
    <n v="9.1"/>
    <n v="0.57999999999999996"/>
    <n v="1117.8000000000009"/>
    <x v="4"/>
  </r>
  <r>
    <s v="R26/R58"/>
    <n v="22.5"/>
    <n v="1126.79"/>
    <n v="1126.9000000000008"/>
    <n v="0.11000000000080945"/>
    <n v="9.7622449614222218E-5"/>
    <x v="26"/>
    <n v="8.1999999999999993"/>
    <n v="-0.79"/>
    <n v="9.1"/>
    <n v="0.11"/>
    <n v="1126.9000000000008"/>
    <x v="4"/>
  </r>
  <r>
    <s v="R27/R59"/>
    <n v="24"/>
    <n v="1135.48"/>
    <n v="1135.1000000000008"/>
    <n v="-0.37999999999919964"/>
    <n v="-3.3466023179553987E-4"/>
    <x v="25"/>
    <n v="8.1999999999999993"/>
    <n v="-0.38"/>
    <n v="9.1"/>
    <n v="0.52"/>
    <n v="1135.1000000000008"/>
    <x v="4"/>
  </r>
  <r>
    <s v="R28/R60"/>
    <n v="25.5"/>
    <n v="1144.2049999999999"/>
    <n v="1144.2000000000007"/>
    <n v="-4.9999999991996447E-3"/>
    <n v="-4.3698463118057037E-6"/>
    <x v="26"/>
    <n v="9.1"/>
    <n v="0"/>
    <n v="10"/>
    <n v="0.9"/>
    <n v="1144.2000000000007"/>
    <x v="4"/>
  </r>
  <r>
    <s v="R29/R61"/>
    <n v="27"/>
    <n v="1152.96"/>
    <n v="1153.3000000000006"/>
    <n v="0.34000000000060027"/>
    <n v="2.9489314460224143E-4"/>
    <x v="26"/>
    <n v="8.1999999999999993"/>
    <n v="-0.56000000000000005"/>
    <n v="9.1"/>
    <n v="0.34"/>
    <n v="1153.3000000000006"/>
    <x v="4"/>
  </r>
  <r>
    <s v="R30/R62"/>
    <n v="28.5"/>
    <n v="1161.7449999999999"/>
    <n v="1161.5000000000007"/>
    <n v="-0.24499999999920874"/>
    <n v="-2.1088965306432028E-4"/>
    <x v="25"/>
    <n v="8.1999999999999993"/>
    <n v="-0.24"/>
    <n v="9.1"/>
    <n v="0.66"/>
    <n v="1161.5000000000007"/>
    <x v="4"/>
  </r>
  <r>
    <s v="R31/R63"/>
    <n v="30"/>
    <n v="1170.56"/>
    <n v="1170.6000000000006"/>
    <n v="4.0000000000645741E-2"/>
    <n v="3.4171678513400205E-5"/>
    <x v="26"/>
    <n v="8.1999999999999993"/>
    <n v="-0.86"/>
    <n v="9.1"/>
    <n v="0.04"/>
    <n v="1170.6000000000006"/>
    <x v="4"/>
  </r>
  <r>
    <s v="R32/R64"/>
    <n v="31.5"/>
    <n v="1179.405"/>
    <n v="1179.7000000000005"/>
    <n v="0.29500000000052751"/>
    <n v="2.5012612291835929E-4"/>
    <x v="26"/>
    <n v="8.1999999999999993"/>
    <n v="-0.6"/>
    <n v="9.1"/>
    <n v="0.3"/>
    <n v="1179.7000000000005"/>
    <x v="4"/>
  </r>
  <r>
    <s v="R32/R64"/>
    <n v="-15"/>
    <n v="72502"/>
    <n v="72773"/>
    <n v="271"/>
    <n v="3.7378279219883589E-3"/>
    <x v="27"/>
    <n v="5600"/>
    <n v="-329"/>
    <n v="6200"/>
    <n v="271"/>
    <n v="4992.2987726056854"/>
    <x v="5"/>
  </r>
  <r>
    <s v="R31/R63"/>
    <n v="-13.5"/>
    <n v="66690"/>
    <n v="66573"/>
    <n v="-117"/>
    <n v="-1.7543859649122807E-3"/>
    <x v="28"/>
    <n v="5100"/>
    <n v="-117"/>
    <n v="5600"/>
    <n v="383"/>
    <n v="4960.6061195835009"/>
    <x v="5"/>
  </r>
  <r>
    <s v="R30/R62"/>
    <n v="-12"/>
    <n v="61394"/>
    <n v="61473"/>
    <n v="79"/>
    <n v="1.2867706942046454E-3"/>
    <x v="28"/>
    <n v="4700"/>
    <n v="-321"/>
    <n v="5100"/>
    <n v="79"/>
    <n v="4930.1285293193487"/>
    <x v="5"/>
  </r>
  <r>
    <s v="R29/R61"/>
    <n v="-10.5"/>
    <n v="56563"/>
    <n v="56373"/>
    <n v="-190"/>
    <n v="-3.3590863285186431E-3"/>
    <x v="29"/>
    <n v="4300"/>
    <n v="-190"/>
    <n v="4700"/>
    <n v="210"/>
    <n v="4894.6151977062509"/>
    <x v="5"/>
  </r>
  <r>
    <s v="R28/R60"/>
    <n v="-9"/>
    <n v="52153"/>
    <n v="52073"/>
    <n v="-80"/>
    <n v="-1.5339481908998524E-3"/>
    <x v="30"/>
    <n v="3900"/>
    <n v="-80"/>
    <n v="4300"/>
    <n v="320"/>
    <n v="4859.7719081364376"/>
    <x v="5"/>
  </r>
  <r>
    <s v="R27/R59"/>
    <n v="-7.5"/>
    <n v="48123"/>
    <n v="48173"/>
    <n v="50"/>
    <n v="1.0390042183571265E-3"/>
    <x v="31"/>
    <n v="3300"/>
    <n v="-250"/>
    <n v="3600"/>
    <n v="50"/>
    <n v="4823.3291614518148"/>
    <x v="5"/>
  </r>
  <r>
    <s v="R26/R58"/>
    <n v="-6"/>
    <n v="44439"/>
    <n v="44573"/>
    <n v="134"/>
    <n v="3.0153693827493868E-3"/>
    <x v="31"/>
    <n v="3300"/>
    <n v="-166"/>
    <n v="3600"/>
    <n v="134"/>
    <n v="4784.6370135982215"/>
    <x v="5"/>
  </r>
  <r>
    <s v="R25/R57"/>
    <n v="-4.5"/>
    <n v="41068"/>
    <n v="40973"/>
    <n v="-95"/>
    <n v="-2.3132365832278174E-3"/>
    <x v="32"/>
    <n v="3000"/>
    <n v="-95"/>
    <n v="3300"/>
    <n v="205"/>
    <n v="4739.9322297282715"/>
    <x v="5"/>
  </r>
  <r>
    <s v="R24/R56"/>
    <n v="-3"/>
    <n v="37980"/>
    <n v="37973"/>
    <n v="-7"/>
    <n v="-1.8430753027909427E-4"/>
    <x v="33"/>
    <n v="2700"/>
    <n v="-7"/>
    <n v="3000"/>
    <n v="293"/>
    <n v="4697.0041308010059"/>
    <x v="5"/>
  </r>
  <r>
    <s v="R23/R55"/>
    <n v="-1.5"/>
    <n v="35151"/>
    <n v="35273"/>
    <n v="122"/>
    <n v="3.4707405194731302E-3"/>
    <x v="33"/>
    <n v="2400"/>
    <n v="-178"/>
    <n v="2700"/>
    <n v="122"/>
    <n v="4652.9490807963966"/>
    <x v="5"/>
  </r>
  <r>
    <s v="R22/R54"/>
    <n v="0"/>
    <n v="32555"/>
    <n v="32573"/>
    <n v="18"/>
    <n v="5.5291045922285364E-4"/>
    <x v="34"/>
    <n v="2200"/>
    <n v="-182"/>
    <n v="2400"/>
    <n v="18"/>
    <n v="4602.6225186513066"/>
    <x v="5"/>
  </r>
  <r>
    <s v="R21/R53"/>
    <n v="1.5"/>
    <n v="30173"/>
    <n v="30173"/>
    <n v="0"/>
    <n v="0"/>
    <x v="35"/>
    <n v="2200"/>
    <n v="0"/>
    <n v="2200"/>
    <n v="0"/>
    <n v="4551.4670869332731"/>
    <x v="5"/>
  </r>
  <r>
    <s v="R20/R52"/>
    <n v="3"/>
    <n v="27985"/>
    <n v="27973"/>
    <n v="-12"/>
    <n v="-4.288011434697159E-4"/>
    <x v="36"/>
    <n v="2000"/>
    <n v="-12"/>
    <n v="2200"/>
    <n v="188"/>
    <n v="4498.1033810338104"/>
    <x v="5"/>
  </r>
  <r>
    <s v="R19/R51"/>
    <n v="4.5"/>
    <n v="25973"/>
    <n v="25973"/>
    <n v="0"/>
    <n v="0"/>
    <x v="37"/>
    <n v="1800"/>
    <n v="0"/>
    <n v="1800"/>
    <n v="0"/>
    <n v="4443.0881179587013"/>
    <x v="5"/>
  </r>
  <r>
    <s v="R18/R50"/>
    <n v="6"/>
    <n v="24122"/>
    <n v="24173"/>
    <n v="51"/>
    <n v="2.114252549539839E-3"/>
    <x v="37"/>
    <n v="1600"/>
    <n v="-149"/>
    <n v="1800"/>
    <n v="51"/>
    <n v="4387.2034673077578"/>
    <x v="5"/>
  </r>
  <r>
    <s v="R17/R49"/>
    <n v="7.5"/>
    <n v="22419"/>
    <n v="22373"/>
    <n v="-46"/>
    <n v="-2.0518310361746731E-3"/>
    <x v="38"/>
    <n v="1500"/>
    <n v="-46"/>
    <n v="1600"/>
    <n v="54"/>
    <n v="4324.0644719287493"/>
    <x v="5"/>
  </r>
  <r>
    <s v="R16/R48"/>
    <n v="9"/>
    <n v="20850"/>
    <n v="20873"/>
    <n v="23"/>
    <n v="1.1031175059952039E-3"/>
    <x v="38"/>
    <n v="1300"/>
    <n v="-177"/>
    <n v="1500"/>
    <n v="23"/>
    <n v="4264.8297945336026"/>
    <x v="5"/>
  </r>
  <r>
    <s v="R15/R47"/>
    <n v="10.5"/>
    <n v="19403"/>
    <n v="19373"/>
    <n v="-30"/>
    <n v="-1.5461526568056486E-3"/>
    <x v="0"/>
    <n v="1300"/>
    <n v="-30"/>
    <n v="1500"/>
    <n v="170"/>
    <n v="4198.4102211620102"/>
    <x v="5"/>
  </r>
  <r>
    <s v="R14/R46"/>
    <n v="12"/>
    <n v="18068"/>
    <n v="18073"/>
    <n v="5"/>
    <n v="2.767323444764224E-4"/>
    <x v="39"/>
    <n v="1100"/>
    <n v="-95"/>
    <n v="1200"/>
    <n v="5"/>
    <n v="4133.9683352537022"/>
    <x v="5"/>
  </r>
  <r>
    <s v="R13/R45"/>
    <n v="13.5"/>
    <n v="16836"/>
    <n v="16873"/>
    <n v="37"/>
    <n v="2.197671655975291E-3"/>
    <x v="39"/>
    <n v="1100"/>
    <n v="-63"/>
    <n v="1200"/>
    <n v="37"/>
    <n v="4067.7947195610127"/>
    <x v="5"/>
  </r>
  <r>
    <s v="R12/R44"/>
    <n v="15"/>
    <n v="15698"/>
    <n v="15673"/>
    <n v="-25"/>
    <n v="-1.5925595617276086E-3"/>
    <x v="40"/>
    <n v="1000"/>
    <n v="-25"/>
    <n v="1100"/>
    <n v="75"/>
    <n v="3994.0702705272665"/>
    <x v="5"/>
  </r>
  <r>
    <s v="R11/R43"/>
    <n v="16.5"/>
    <n v="14646"/>
    <n v="14673"/>
    <n v="27"/>
    <n v="1.8435067595247848E-3"/>
    <x v="40"/>
    <n v="910"/>
    <n v="-63"/>
    <n v="1000"/>
    <n v="27"/>
    <n v="3925.8862876254179"/>
    <x v="5"/>
  </r>
  <r>
    <s v="R10/R42"/>
    <n v="18"/>
    <n v="13673"/>
    <n v="13673"/>
    <n v="0"/>
    <n v="0"/>
    <x v="41"/>
    <n v="910"/>
    <n v="0"/>
    <n v="910"/>
    <n v="0"/>
    <n v="3850.537487521673"/>
    <x v="5"/>
  </r>
  <r>
    <s v="R9/R41"/>
    <n v="19.5"/>
    <n v="12773"/>
    <n v="12763"/>
    <n v="-10"/>
    <n v="-7.8290143270962184E-4"/>
    <x v="21"/>
    <n v="819.99999999999989"/>
    <n v="-10"/>
    <n v="910"/>
    <n v="80"/>
    <n v="3774.7436958560943"/>
    <x v="5"/>
  </r>
  <r>
    <s v="R8/R40"/>
    <n v="21"/>
    <n v="11939"/>
    <n v="11943"/>
    <n v="4"/>
    <n v="3.3503643521232932E-4"/>
    <x v="42"/>
    <n v="680"/>
    <n v="-66"/>
    <n v="750"/>
    <n v="4"/>
    <n v="3699.6174073860025"/>
    <x v="5"/>
  </r>
  <r>
    <s v="R7/R39"/>
    <n v="22.5"/>
    <n v="11166"/>
    <n v="11193"/>
    <n v="27"/>
    <n v="2.4180548092423426E-3"/>
    <x v="42"/>
    <n v="680"/>
    <n v="-43"/>
    <n v="750"/>
    <n v="27"/>
    <n v="3624.3871201594875"/>
    <x v="5"/>
  </r>
  <r>
    <s v="R6/R38"/>
    <n v="24"/>
    <n v="10449"/>
    <n v="10443"/>
    <n v="-6"/>
    <n v="-5.7421762848119441E-4"/>
    <x v="43"/>
    <n v="680"/>
    <n v="-6"/>
    <n v="750"/>
    <n v="64"/>
    <n v="3542.0160728975511"/>
    <x v="5"/>
  </r>
  <r>
    <s v="R5/R37"/>
    <n v="25.5"/>
    <n v="9784"/>
    <n v="9763"/>
    <n v="-21"/>
    <n v="-2.1463614063777594E-3"/>
    <x v="44"/>
    <n v="620"/>
    <n v="-21"/>
    <n v="680"/>
    <n v="39"/>
    <n v="3460.271110229452"/>
    <x v="5"/>
  </r>
  <r>
    <s v="R4/R36"/>
    <n v="27"/>
    <n v="9166"/>
    <n v="9143"/>
    <n v="-23"/>
    <n v="-2.5092734017019419E-3"/>
    <x v="45"/>
    <n v="560"/>
    <n v="-23"/>
    <n v="620"/>
    <n v="37"/>
    <n v="3379.058125904985"/>
    <x v="5"/>
  </r>
  <r>
    <s v="R3/R35"/>
    <n v="28.5"/>
    <n v="8593"/>
    <n v="8583"/>
    <n v="-10"/>
    <n v="-1.1637379262190155E-3"/>
    <x v="46"/>
    <n v="509.99999999999994"/>
    <n v="-10"/>
    <n v="560"/>
    <n v="40"/>
    <n v="3299.4965215520333"/>
    <x v="5"/>
  </r>
  <r>
    <s v="R2/R34"/>
    <n v="30"/>
    <n v="8059"/>
    <n v="8073"/>
    <n v="14"/>
    <n v="1.7371882367539398E-3"/>
    <x v="46"/>
    <n v="470"/>
    <n v="-26"/>
    <n v="509.99999999999994"/>
    <n v="14"/>
    <n v="3221.2670289585349"/>
    <x v="5"/>
  </r>
  <r>
    <s v="R1/R33"/>
    <n v="31.5"/>
    <n v="7563"/>
    <n v="7563"/>
    <n v="0"/>
    <n v="0"/>
    <x v="47"/>
    <n v="6800"/>
    <n v="-763"/>
    <n v="7500"/>
    <n v="-63"/>
    <n v="3136.8629575176042"/>
    <x v="5"/>
  </r>
  <r>
    <s v="R32/R64"/>
    <n v="-15"/>
    <n v="5855"/>
    <n v="5853"/>
    <n v="-2"/>
    <n v="-3.4158838599487618E-4"/>
    <x v="48"/>
    <n v="430"/>
    <n v="-2"/>
    <n v="470"/>
    <n v="38"/>
    <n v="3692.0456695893522"/>
    <x v="6"/>
  </r>
  <r>
    <s v="R31/R63"/>
    <n v="-13.5"/>
    <n v="5431"/>
    <n v="5423"/>
    <n v="-8"/>
    <n v="-1.4730252255569876E-3"/>
    <x v="49"/>
    <n v="390"/>
    <n v="-8"/>
    <n v="430"/>
    <n v="32"/>
    <n v="3516.1771380405889"/>
    <x v="6"/>
  </r>
  <r>
    <s v="R30/R62"/>
    <n v="-12"/>
    <n v="5041"/>
    <n v="5033"/>
    <n v="-8"/>
    <n v="-1.5869867089863122E-3"/>
    <x v="50"/>
    <n v="360"/>
    <n v="-8"/>
    <n v="390"/>
    <n v="22"/>
    <n v="3347.9678041641723"/>
    <x v="6"/>
  </r>
  <r>
    <s v="R29/R61"/>
    <n v="-10.5"/>
    <n v="4683"/>
    <n v="4673"/>
    <n v="-10"/>
    <n v="-2.1353833013025838E-3"/>
    <x v="51"/>
    <n v="330"/>
    <n v="-10"/>
    <n v="360"/>
    <n v="20"/>
    <n v="3184.7611258774618"/>
    <x v="6"/>
  </r>
  <r>
    <s v="R28/R60"/>
    <n v="-9"/>
    <n v="4353"/>
    <n v="4343"/>
    <n v="-10"/>
    <n v="-2.297266253158741E-3"/>
    <x v="52"/>
    <n v="300"/>
    <n v="-10"/>
    <n v="330"/>
    <n v="20"/>
    <n v="3027.9578888656488"/>
    <x v="6"/>
  </r>
  <r>
    <s v="R27/R59"/>
    <n v="-7.5"/>
    <n v="4050"/>
    <n v="4043"/>
    <n v="-7"/>
    <n v="-1.7283950617283952E-3"/>
    <x v="53"/>
    <n v="270"/>
    <n v="-7"/>
    <n v="300"/>
    <n v="23"/>
    <n v="2879.0144556006553"/>
    <x v="6"/>
  </r>
  <r>
    <s v="R26/R58"/>
    <n v="-6"/>
    <n v="3771"/>
    <n v="3773"/>
    <n v="2"/>
    <n v="5.3036329885971893E-4"/>
    <x v="53"/>
    <n v="240"/>
    <n v="-28"/>
    <n v="270"/>
    <n v="2"/>
    <n v="2739.4177012996442"/>
    <x v="6"/>
  </r>
  <r>
    <s v="R25/R57"/>
    <n v="-4.5"/>
    <n v="3513"/>
    <n v="3503"/>
    <n v="-10"/>
    <n v="-2.8465698832906348E-3"/>
    <x v="54"/>
    <n v="220.00000000000003"/>
    <n v="-10"/>
    <n v="240"/>
    <n v="10"/>
    <n v="2594.2383174109459"/>
    <x v="6"/>
  </r>
  <r>
    <s v="R24/R56"/>
    <n v="-3"/>
    <n v="3276"/>
    <n v="3283"/>
    <n v="7"/>
    <n v="2.136752136752137E-3"/>
    <x v="54"/>
    <n v="200"/>
    <n v="-13"/>
    <n v="220.00000000000003"/>
    <n v="7"/>
    <n v="2471.5802153128056"/>
    <x v="6"/>
  </r>
  <r>
    <s v="R23/R55"/>
    <n v="-1.5"/>
    <n v="3057"/>
    <n v="3063"/>
    <n v="6"/>
    <n v="1.9627085377821392E-3"/>
    <x v="55"/>
    <n v="180"/>
    <n v="-14"/>
    <n v="200"/>
    <n v="6"/>
    <n v="2344.790630023731"/>
    <x v="6"/>
  </r>
  <r>
    <s v="R22/R54"/>
    <n v="0"/>
    <n v="2854"/>
    <n v="2863"/>
    <n v="9"/>
    <n v="3.1534688156972671E-3"/>
    <x v="55"/>
    <n v="180"/>
    <n v="-11"/>
    <n v="200"/>
    <n v="9"/>
    <n v="2225.7638187048124"/>
    <x v="6"/>
  </r>
  <r>
    <s v="R21/R53"/>
    <n v="1.5"/>
    <n v="2667"/>
    <n v="2663"/>
    <n v="-4"/>
    <n v="-1.4998125234345708E-3"/>
    <x v="56"/>
    <n v="180"/>
    <n v="-4"/>
    <n v="200"/>
    <n v="16"/>
    <n v="2102.9771776040434"/>
    <x v="6"/>
  </r>
  <r>
    <s v="R20/R52"/>
    <n v="3"/>
    <n v="2493"/>
    <n v="2483"/>
    <n v="-10"/>
    <n v="-4.0112314480545532E-3"/>
    <x v="57"/>
    <n v="160"/>
    <n v="-10"/>
    <n v="180"/>
    <n v="10"/>
    <n v="1989.1051830489466"/>
    <x v="6"/>
  </r>
  <r>
    <s v="R19/R51"/>
    <n v="4.5"/>
    <n v="2333"/>
    <n v="2323"/>
    <n v="-10"/>
    <n v="-4.2863266180882984E-3"/>
    <x v="58"/>
    <n v="130"/>
    <n v="-10"/>
    <n v="150"/>
    <n v="10"/>
    <n v="1885.0929156861155"/>
    <x v="6"/>
  </r>
  <r>
    <s v="R18/R50"/>
    <n v="6"/>
    <n v="2184"/>
    <n v="2193"/>
    <n v="9"/>
    <n v="4.120879120879121E-3"/>
    <x v="59"/>
    <n v="130"/>
    <n v="-11"/>
    <n v="150"/>
    <n v="9"/>
    <n v="1798.5729516935946"/>
    <x v="6"/>
  </r>
  <r>
    <s v="R17/R49"/>
    <n v="7.5"/>
    <n v="2046"/>
    <n v="2043"/>
    <n v="-3"/>
    <n v="-1.4662756598240469E-3"/>
    <x v="58"/>
    <n v="130"/>
    <n v="-3"/>
    <n v="150"/>
    <n v="17"/>
    <n v="1696.4211575188906"/>
    <x v="6"/>
  </r>
  <r>
    <s v="R16/R48"/>
    <n v="9"/>
    <n v="1918"/>
    <n v="1913"/>
    <n v="-5"/>
    <n v="-2.6068821689259644E-3"/>
    <x v="3"/>
    <n v="110.00000000000001"/>
    <n v="-5"/>
    <n v="120"/>
    <n v="5"/>
    <n v="1605.8087803240157"/>
    <x v="6"/>
  </r>
  <r>
    <s v="R15/R47"/>
    <n v="10.5"/>
    <n v="1799"/>
    <n v="1803"/>
    <n v="4"/>
    <n v="2.2234574763757642E-3"/>
    <x v="3"/>
    <n v="100"/>
    <n v="-6"/>
    <n v="110.00000000000001"/>
    <n v="4"/>
    <n v="1527.5777344742862"/>
    <x v="6"/>
  </r>
  <r>
    <s v="R14/R46"/>
    <n v="12"/>
    <n v="1689"/>
    <n v="1693"/>
    <n v="4"/>
    <n v="2.368265245707519E-3"/>
    <x v="3"/>
    <n v="100"/>
    <n v="-6"/>
    <n v="110.00000000000001"/>
    <n v="4"/>
    <n v="1447.8747968870264"/>
    <x v="6"/>
  </r>
  <r>
    <s v="R13/R45"/>
    <n v="13.5"/>
    <n v="1586"/>
    <n v="1583"/>
    <n v="-3"/>
    <n v="-1.8915510718789407E-3"/>
    <x v="5"/>
    <n v="91"/>
    <n v="-3"/>
    <n v="100"/>
    <n v="6"/>
    <n v="1366.6580333247"/>
    <x v="6"/>
  </r>
  <r>
    <s v="R12/R44"/>
    <n v="15"/>
    <n v="1491"/>
    <n v="1492"/>
    <n v="1"/>
    <n v="6.7069081153588194E-4"/>
    <x v="5"/>
    <n v="82"/>
    <n v="-8"/>
    <n v="91"/>
    <n v="1"/>
    <n v="1298.2944657152802"/>
    <x v="6"/>
  </r>
  <r>
    <s v="R11/R43"/>
    <n v="16.5"/>
    <n v="1402"/>
    <n v="1401"/>
    <n v="-1"/>
    <n v="-7.1326676176890159E-4"/>
    <x v="6"/>
    <n v="82"/>
    <n v="-1"/>
    <n v="91"/>
    <n v="8"/>
    <n v="1228.8395754758355"/>
    <x v="6"/>
  </r>
  <r>
    <s v="R10/R42"/>
    <n v="18"/>
    <n v="1319"/>
    <n v="1319"/>
    <n v="0"/>
    <n v="0"/>
    <x v="7"/>
    <n v="75"/>
    <n v="0"/>
    <n v="75"/>
    <n v="0"/>
    <n v="1165.2972877462673"/>
    <x v="6"/>
  </r>
  <r>
    <s v="R9/R41"/>
    <n v="19.5"/>
    <n v="1242"/>
    <n v="1244"/>
    <n v="2"/>
    <n v="1.6103059581320451E-3"/>
    <x v="7"/>
    <n v="68"/>
    <n v="-5"/>
    <n v="75"/>
    <n v="2"/>
    <n v="1106.3678406261117"/>
    <x v="6"/>
  </r>
  <r>
    <s v="R8/R40"/>
    <n v="21"/>
    <n v="1170"/>
    <n v="1169"/>
    <n v="-1"/>
    <n v="-8.547008547008547E-4"/>
    <x v="8"/>
    <n v="68"/>
    <n v="-1"/>
    <n v="75"/>
    <n v="6"/>
    <n v="1046.6469692899991"/>
    <x v="6"/>
  </r>
  <r>
    <s v="R7/R39"/>
    <n v="22.5"/>
    <n v="1102"/>
    <n v="1101"/>
    <n v="-1"/>
    <n v="-9.0744101633393826E-4"/>
    <x v="9"/>
    <n v="62"/>
    <n v="-1"/>
    <n v="68"/>
    <n v="5"/>
    <n v="991.80254031168363"/>
    <x v="6"/>
  </r>
  <r>
    <s v="R6/R38"/>
    <n v="24"/>
    <n v="1040"/>
    <n v="1039"/>
    <n v="-1"/>
    <n v="-9.6153846153846159E-4"/>
    <x v="10"/>
    <n v="56"/>
    <n v="-1"/>
    <n v="62"/>
    <n v="5"/>
    <n v="941.20844279373136"/>
    <x v="6"/>
  </r>
  <r>
    <s v="R5/R37"/>
    <n v="25.5"/>
    <n v="981"/>
    <n v="983"/>
    <n v="2"/>
    <n v="2.0387359836901123E-3"/>
    <x v="10"/>
    <n v="51"/>
    <n v="-3"/>
    <n v="56"/>
    <n v="2"/>
    <n v="895.01957570791228"/>
    <x v="6"/>
  </r>
  <r>
    <s v="R4/R36"/>
    <n v="27"/>
    <n v="926"/>
    <n v="927"/>
    <n v="1"/>
    <n v="1.0799136069114472E-3"/>
    <x v="11"/>
    <n v="47"/>
    <n v="-3"/>
    <n v="51"/>
    <n v="1"/>
    <n v="848.35728013178368"/>
    <x v="6"/>
  </r>
  <r>
    <s v="R3/R35"/>
    <n v="28.5"/>
    <n v="875"/>
    <n v="876"/>
    <n v="1"/>
    <n v="1.1428571428571429E-3"/>
    <x v="11"/>
    <n v="47"/>
    <n v="-3"/>
    <n v="51"/>
    <n v="1"/>
    <n v="805.44317763883782"/>
    <x v="6"/>
  </r>
  <r>
    <s v="R2/R34"/>
    <n v="30"/>
    <n v="827"/>
    <n v="825"/>
    <n v="-2"/>
    <n v="-2.4183796856106408E-3"/>
    <x v="13"/>
    <n v="43"/>
    <n v="-2"/>
    <n v="47"/>
    <n v="2"/>
    <n v="762.12471131639722"/>
    <x v="6"/>
  </r>
  <r>
    <s v="R1/R33"/>
    <n v="31.5"/>
    <n v="782"/>
    <n v="782"/>
    <n v="0"/>
    <n v="0"/>
    <x v="43"/>
    <n v="680"/>
    <n v="-102"/>
    <n v="750"/>
    <n v="-32"/>
    <n v="725.28287887219437"/>
    <x v="6"/>
  </r>
  <r>
    <s v="R32/R64"/>
    <n v="-15"/>
    <n v="12881"/>
    <n v="12890"/>
    <n v="9"/>
    <n v="6.987035168077013E-4"/>
    <x v="41"/>
    <n v="819.99999999999989"/>
    <n v="-81"/>
    <n v="910"/>
    <n v="9"/>
    <n v="4812.600875060768"/>
    <x v="7"/>
  </r>
  <r>
    <s v="R31/R63"/>
    <n v="-13.5"/>
    <n v="11947"/>
    <n v="11980"/>
    <n v="33"/>
    <n v="2.7621997154097262E-3"/>
    <x v="41"/>
    <n v="819.99999999999989"/>
    <n v="-57"/>
    <n v="910"/>
    <n v="33"/>
    <n v="4679.8779247202438"/>
    <x v="7"/>
  </r>
  <r>
    <s v="R30/R62"/>
    <n v="-12"/>
    <n v="11089"/>
    <n v="11070"/>
    <n v="-19"/>
    <n v="-1.7134096852736947E-3"/>
    <x v="42"/>
    <n v="750"/>
    <n v="-19"/>
    <n v="819.99999999999989"/>
    <n v="51"/>
    <n v="4534.2719999999999"/>
    <x v="7"/>
  </r>
  <r>
    <s v="R29/R61"/>
    <n v="-10.5"/>
    <n v="10301"/>
    <n v="10320"/>
    <n v="19"/>
    <n v="1.8444811183380254E-3"/>
    <x v="42"/>
    <n v="680"/>
    <n v="-51"/>
    <n v="750"/>
    <n v="19"/>
    <n v="4403.2"/>
    <x v="7"/>
  </r>
  <r>
    <s v="R28/R60"/>
    <n v="-9"/>
    <n v="9576"/>
    <n v="9570"/>
    <n v="-6"/>
    <n v="-6.2656641604010022E-4"/>
    <x v="43"/>
    <n v="680"/>
    <n v="-6"/>
    <n v="750"/>
    <n v="64"/>
    <n v="4260.7304347826084"/>
    <x v="7"/>
  </r>
  <r>
    <s v="R27/R59"/>
    <n v="-7.5"/>
    <n v="8909"/>
    <n v="8890"/>
    <n v="-19"/>
    <n v="-2.1326748232124819E-3"/>
    <x v="44"/>
    <n v="620"/>
    <n v="-19"/>
    <n v="680"/>
    <n v="41"/>
    <n v="4120.4103802051904"/>
    <x v="7"/>
  </r>
  <r>
    <s v="R26/R58"/>
    <n v="-6"/>
    <n v="8295"/>
    <n v="8270"/>
    <n v="-25"/>
    <n v="-3.0138637733574444E-3"/>
    <x v="45"/>
    <n v="560"/>
    <n v="-25"/>
    <n v="620"/>
    <n v="35"/>
    <n v="3982.0438871473352"/>
    <x v="7"/>
  </r>
  <r>
    <s v="R25/R57"/>
    <n v="-4.5"/>
    <n v="7729"/>
    <n v="7710"/>
    <n v="-19"/>
    <n v="-2.4582740328632424E-3"/>
    <x v="46"/>
    <n v="509.99999999999994"/>
    <n v="-19"/>
    <n v="560"/>
    <n v="31"/>
    <n v="3847.4853801169593"/>
    <x v="7"/>
  </r>
  <r>
    <s v="R24/R56"/>
    <n v="-3"/>
    <n v="7206"/>
    <n v="7200"/>
    <n v="-6"/>
    <n v="-8.3263946711074107E-4"/>
    <x v="60"/>
    <n v="470"/>
    <n v="-6"/>
    <n v="509.99999999999994"/>
    <n v="34"/>
    <n v="3716.1290322580644"/>
    <x v="7"/>
  </r>
  <r>
    <s v="R23/R55"/>
    <n v="-1.5"/>
    <n v="6724"/>
    <n v="6730"/>
    <n v="6"/>
    <n v="8.92325996430696E-4"/>
    <x v="60"/>
    <n v="430"/>
    <n v="-34"/>
    <n v="470"/>
    <n v="6"/>
    <n v="3586.8424705065927"/>
    <x v="7"/>
  </r>
  <r>
    <s v="R22/R54"/>
    <n v="0"/>
    <n v="6278"/>
    <n v="6260"/>
    <n v="-18"/>
    <n v="-2.8671551449506211E-3"/>
    <x v="49"/>
    <n v="390"/>
    <n v="-18"/>
    <n v="430"/>
    <n v="22"/>
    <n v="3448.8378766140604"/>
    <x v="7"/>
  </r>
  <r>
    <s v="R21/R53"/>
    <n v="1.5"/>
    <n v="5866"/>
    <n v="5870"/>
    <n v="4"/>
    <n v="6.8189566996249571E-4"/>
    <x v="49"/>
    <n v="360"/>
    <n v="-26"/>
    <n v="390"/>
    <n v="4"/>
    <n v="3327.0553505535054"/>
    <x v="7"/>
  </r>
  <r>
    <s v="R20/R52"/>
    <n v="3"/>
    <n v="5485"/>
    <n v="5480"/>
    <n v="-5"/>
    <n v="-9.1157702825888785E-4"/>
    <x v="50"/>
    <n v="360"/>
    <n v="-5"/>
    <n v="390"/>
    <n v="25"/>
    <n v="3198.0547112462004"/>
    <x v="7"/>
  </r>
  <r>
    <s v="R19/R51"/>
    <n v="4.5"/>
    <n v="5132"/>
    <n v="5120"/>
    <n v="-12"/>
    <n v="-2.3382696804364772E-3"/>
    <x v="51"/>
    <n v="330"/>
    <n v="-12"/>
    <n v="360"/>
    <n v="18"/>
    <n v="3072"/>
    <x v="7"/>
  </r>
  <r>
    <s v="R18/R50"/>
    <n v="6"/>
    <n v="4804"/>
    <n v="4790"/>
    <n v="-14"/>
    <n v="-2.9142381348875937E-3"/>
    <x v="52"/>
    <n v="300"/>
    <n v="-14"/>
    <n v="330"/>
    <n v="16"/>
    <n v="2950.0561347233361"/>
    <x v="7"/>
  </r>
  <r>
    <s v="R17/R49"/>
    <n v="7.5"/>
    <n v="4501"/>
    <n v="4490"/>
    <n v="-11"/>
    <n v="-2.443901355254388E-3"/>
    <x v="53"/>
    <n v="270"/>
    <n v="-11"/>
    <n v="300"/>
    <n v="19"/>
    <n v="2833.4593262119965"/>
    <x v="7"/>
  </r>
  <r>
    <s v="R16/R48"/>
    <n v="9"/>
    <n v="4220"/>
    <n v="4220"/>
    <n v="0"/>
    <n v="0"/>
    <x v="53"/>
    <n v="270"/>
    <n v="0"/>
    <n v="270"/>
    <n v="0"/>
    <n v="2723.4957983193276"/>
    <x v="7"/>
  </r>
  <r>
    <s v="R15/R47"/>
    <n v="10.5"/>
    <n v="3958"/>
    <n v="3950"/>
    <n v="-8"/>
    <n v="-2.0212228398180901E-3"/>
    <x v="20"/>
    <n v="240"/>
    <n v="-8"/>
    <n v="270"/>
    <n v="22"/>
    <n v="2608.4264832330182"/>
    <x v="7"/>
  </r>
  <r>
    <s v="R14/R46"/>
    <n v="12"/>
    <n v="3715"/>
    <n v="3710"/>
    <n v="-5"/>
    <n v="-1.3458950201884253E-3"/>
    <x v="54"/>
    <n v="220.00000000000003"/>
    <n v="-5"/>
    <n v="240"/>
    <n v="15"/>
    <n v="2501.5627743634768"/>
    <x v="7"/>
  </r>
  <r>
    <s v="R13/R45"/>
    <n v="13.5"/>
    <n v="3489"/>
    <n v="3490"/>
    <n v="1"/>
    <n v="2.8661507595299513E-4"/>
    <x v="54"/>
    <n v="200"/>
    <n v="-19"/>
    <n v="220.00000000000003"/>
    <n v="1"/>
    <n v="2399.5702775290956"/>
    <x v="7"/>
  </r>
  <r>
    <s v="R12/R44"/>
    <n v="15"/>
    <n v="3279"/>
    <n v="3270"/>
    <n v="-9"/>
    <n v="-2.7447392497712718E-3"/>
    <x v="56"/>
    <n v="180"/>
    <n v="-9"/>
    <n v="200"/>
    <n v="11"/>
    <n v="2293.4794520547944"/>
    <x v="7"/>
  </r>
  <r>
    <s v="R11/R43"/>
    <n v="16.5"/>
    <n v="3084"/>
    <n v="3090"/>
    <n v="6"/>
    <n v="1.9455252918287938E-3"/>
    <x v="56"/>
    <n v="160"/>
    <n v="-14"/>
    <n v="180"/>
    <n v="6"/>
    <n v="2203.4540389972144"/>
    <x v="7"/>
  </r>
  <r>
    <s v="R10/R42"/>
    <n v="18"/>
    <n v="2901"/>
    <n v="2910"/>
    <n v="9"/>
    <n v="3.1023784901758012E-3"/>
    <x v="56"/>
    <n v="160"/>
    <n v="-11"/>
    <n v="180"/>
    <n v="9"/>
    <n v="2110.3682719546741"/>
    <x v="7"/>
  </r>
  <r>
    <s v="R9/R41"/>
    <n v="19.5"/>
    <n v="2732"/>
    <n v="2730"/>
    <n v="-2"/>
    <n v="-7.320644216691069E-4"/>
    <x v="57"/>
    <n v="160"/>
    <n v="-2"/>
    <n v="180"/>
    <n v="18"/>
    <n v="2014.0634005763688"/>
    <x v="7"/>
  </r>
  <r>
    <s v="R8/R40"/>
    <n v="21"/>
    <n v="2573"/>
    <n v="2570"/>
    <n v="-3"/>
    <n v="-1.165954139137194E-3"/>
    <x v="59"/>
    <n v="150"/>
    <n v="-3"/>
    <n v="160"/>
    <n v="7"/>
    <n v="1925.6195121951218"/>
    <x v="7"/>
  </r>
  <r>
    <s v="R7/R39"/>
    <n v="22.5"/>
    <n v="2425"/>
    <n v="2420"/>
    <n v="-5"/>
    <n v="-2.0618556701030928E-3"/>
    <x v="58"/>
    <n v="130"/>
    <n v="-5"/>
    <n v="150"/>
    <n v="15"/>
    <n v="1840.1584158415842"/>
    <x v="7"/>
  </r>
  <r>
    <s v="R6/R38"/>
    <n v="24"/>
    <n v="2287"/>
    <n v="2290"/>
    <n v="3"/>
    <n v="1.3117621337997377E-3"/>
    <x v="58"/>
    <n v="120"/>
    <n v="-7"/>
    <n v="130"/>
    <n v="3"/>
    <n v="1764.012036108325"/>
    <x v="7"/>
  </r>
  <r>
    <s v="R5/R37"/>
    <n v="25.5"/>
    <n v="2158"/>
    <n v="2160"/>
    <n v="2"/>
    <n v="9.2678405931417981E-4"/>
    <x v="61"/>
    <n v="110.00000000000001"/>
    <n v="-8"/>
    <n v="120"/>
    <n v="2"/>
    <n v="1685.8536585365853"/>
    <x v="7"/>
  </r>
  <r>
    <s v="R4/R36"/>
    <n v="27"/>
    <n v="2037"/>
    <n v="2040"/>
    <n v="3"/>
    <n v="1.4727540500736377E-3"/>
    <x v="61"/>
    <n v="110.00000000000001"/>
    <n v="-7"/>
    <n v="120"/>
    <n v="3"/>
    <n v="1611.851851851852"/>
    <x v="7"/>
  </r>
  <r>
    <s v="R3/R35"/>
    <n v="28.5"/>
    <n v="1924"/>
    <n v="1920"/>
    <n v="-4"/>
    <n v="-2.0790020790020791E-3"/>
    <x v="4"/>
    <n v="100"/>
    <n v="-4"/>
    <n v="110.00000000000001"/>
    <n v="6"/>
    <n v="1536"/>
    <x v="7"/>
  </r>
  <r>
    <s v="R2/R34"/>
    <n v="30"/>
    <n v="1819"/>
    <n v="1820"/>
    <n v="1"/>
    <n v="5.4975261132490382E-4"/>
    <x v="4"/>
    <n v="91"/>
    <n v="-8"/>
    <n v="100"/>
    <n v="1"/>
    <n v="1471.3263157894737"/>
    <x v="7"/>
  </r>
  <r>
    <s v="R1/R33"/>
    <n v="31.5"/>
    <n v="1720"/>
    <n v="1720"/>
    <n v="0"/>
    <n v="0"/>
    <x v="62"/>
    <n v="1600"/>
    <n v="-120"/>
    <n v="1800"/>
    <n v="80"/>
    <n v="1405.2765957446809"/>
    <x v="7"/>
  </r>
  <r>
    <s v="R32/R64"/>
    <n v="-15"/>
    <n v="11124"/>
    <n v="11127"/>
    <n v="3"/>
    <n v="2.6968716289104636E-4"/>
    <x v="21"/>
    <n v="750"/>
    <n v="-67"/>
    <n v="819.99999999999989"/>
    <n v="3"/>
    <n v="4653.9446855230826"/>
    <x v="8"/>
  </r>
  <r>
    <s v="R31/R63"/>
    <n v="-13.5"/>
    <n v="10340"/>
    <n v="10307"/>
    <n v="-33"/>
    <n v="-3.1914893617021275E-3"/>
    <x v="43"/>
    <n v="680"/>
    <n v="-33"/>
    <n v="750"/>
    <n v="37"/>
    <n v="4504.0694816190526"/>
    <x v="8"/>
  </r>
  <r>
    <s v="R30/R62"/>
    <n v="-12"/>
    <n v="9618"/>
    <n v="9627"/>
    <n v="9"/>
    <n v="9.3574547723019339E-4"/>
    <x v="43"/>
    <n v="620"/>
    <n v="-51"/>
    <n v="680"/>
    <n v="9"/>
    <n v="4369.2063311964603"/>
    <x v="8"/>
  </r>
  <r>
    <s v="R29/R61"/>
    <n v="-10.5"/>
    <n v="8954"/>
    <n v="8947"/>
    <n v="-7"/>
    <n v="-7.817735090462363E-4"/>
    <x v="44"/>
    <n v="620"/>
    <n v="-7"/>
    <n v="680"/>
    <n v="53"/>
    <n v="4223.5203870891601"/>
    <x v="8"/>
  </r>
  <r>
    <s v="R28/R60"/>
    <n v="-9"/>
    <n v="8341"/>
    <n v="8327"/>
    <n v="-14"/>
    <n v="-1.6784558206450065E-3"/>
    <x v="45"/>
    <n v="560"/>
    <n v="-14"/>
    <n v="620"/>
    <n v="46"/>
    <n v="4080.112696759968"/>
    <x v="8"/>
  </r>
  <r>
    <s v="R27/R59"/>
    <n v="-7.5"/>
    <n v="7777"/>
    <n v="7767"/>
    <n v="-10"/>
    <n v="-1.2858428700012858E-3"/>
    <x v="46"/>
    <n v="509.99999999999994"/>
    <n v="-10"/>
    <n v="560"/>
    <n v="40"/>
    <n v="3940.8891989598528"/>
    <x v="8"/>
  </r>
  <r>
    <s v="R26/R58"/>
    <n v="-6"/>
    <n v="7255"/>
    <n v="7257"/>
    <n v="2"/>
    <n v="2.7567195037904891E-4"/>
    <x v="60"/>
    <n v="430"/>
    <n v="-38"/>
    <n v="470"/>
    <n v="2"/>
    <n v="3805.2041685783574"/>
    <x v="8"/>
  </r>
  <r>
    <s v="R25/R57"/>
    <n v="-4.5"/>
    <n v="6774"/>
    <n v="6787"/>
    <n v="13"/>
    <n v="1.919102450546206E-3"/>
    <x v="60"/>
    <n v="430"/>
    <n v="-27"/>
    <n v="470"/>
    <n v="13"/>
    <n v="3671.8739433285996"/>
    <x v="8"/>
  </r>
  <r>
    <s v="R24/R56"/>
    <n v="-3"/>
    <n v="6329"/>
    <n v="6317"/>
    <n v="-12"/>
    <n v="-1.8960341286143152E-3"/>
    <x v="49"/>
    <n v="390"/>
    <n v="-12"/>
    <n v="430"/>
    <n v="28"/>
    <n v="3529.78976042467"/>
    <x v="8"/>
  </r>
  <r>
    <s v="R23/R55"/>
    <n v="-1.5"/>
    <n v="5917"/>
    <n v="5927"/>
    <n v="10"/>
    <n v="1.6900456312320432E-3"/>
    <x v="49"/>
    <n v="360"/>
    <n v="-20"/>
    <n v="390"/>
    <n v="10"/>
    <n v="3404.6097508436851"/>
    <x v="8"/>
  </r>
  <r>
    <s v="R22/R54"/>
    <n v="0"/>
    <n v="5536"/>
    <n v="5537"/>
    <n v="1"/>
    <n v="1.8063583815028901E-4"/>
    <x v="50"/>
    <n v="330"/>
    <n v="-29"/>
    <n v="360"/>
    <n v="1"/>
    <n v="3272.2168870503065"/>
    <x v="8"/>
  </r>
  <r>
    <s v="R21/R53"/>
    <n v="1.5"/>
    <n v="5183"/>
    <n v="5177"/>
    <n v="-6"/>
    <n v="-1.1576307158016593E-3"/>
    <x v="51"/>
    <n v="330"/>
    <n v="-6"/>
    <n v="360"/>
    <n v="24"/>
    <n v="3143.0522880777112"/>
    <x v="8"/>
  </r>
  <r>
    <s v="R20/R52"/>
    <n v="3"/>
    <n v="4855"/>
    <n v="4847"/>
    <n v="-8"/>
    <n v="-1.6477857878475798E-3"/>
    <x v="52"/>
    <n v="300"/>
    <n v="-8"/>
    <n v="330"/>
    <n v="22"/>
    <n v="3018.292208297657"/>
    <x v="8"/>
  </r>
  <r>
    <s v="R19/R51"/>
    <n v="4.5"/>
    <n v="4551"/>
    <n v="4547"/>
    <n v="-4"/>
    <n v="-8.7892770819600092E-4"/>
    <x v="53"/>
    <n v="270"/>
    <n v="-4"/>
    <n v="300"/>
    <n v="26"/>
    <n v="2899.1790866342553"/>
    <x v="8"/>
  </r>
  <r>
    <s v="R18/R50"/>
    <n v="6"/>
    <n v="4269"/>
    <n v="4277"/>
    <n v="8"/>
    <n v="1.8739751698289998E-3"/>
    <x v="53"/>
    <n v="240"/>
    <n v="-22"/>
    <n v="270"/>
    <n v="8"/>
    <n v="2787.0000814531236"/>
    <x v="8"/>
  </r>
  <r>
    <s v="R17/R49"/>
    <n v="7.5"/>
    <n v="4007"/>
    <n v="4007"/>
    <n v="0"/>
    <n v="0"/>
    <x v="20"/>
    <n v="240"/>
    <n v="0"/>
    <n v="240"/>
    <n v="0"/>
    <n v="2669.7759640209879"/>
    <x v="8"/>
  </r>
  <r>
    <s v="R16/R48"/>
    <n v="9"/>
    <n v="3764"/>
    <n v="3767"/>
    <n v="3"/>
    <n v="7.970244420828905E-4"/>
    <x v="20"/>
    <n v="220.00000000000003"/>
    <n v="-17"/>
    <n v="240"/>
    <n v="3"/>
    <n v="2561.0605931843293"/>
    <x v="8"/>
  </r>
  <r>
    <s v="R15/R47"/>
    <n v="10.5"/>
    <n v="3537"/>
    <n v="3527"/>
    <n v="-10"/>
    <n v="-2.8272547356516823E-3"/>
    <x v="55"/>
    <n v="200"/>
    <n v="-10"/>
    <n v="220.00000000000003"/>
    <n v="10"/>
    <n v="2447.8181660449382"/>
    <x v="8"/>
  </r>
  <r>
    <s v="R14/R46"/>
    <n v="12"/>
    <n v="3326"/>
    <n v="3327"/>
    <n v="1"/>
    <n v="3.0066145520144319E-4"/>
    <x v="55"/>
    <n v="180"/>
    <n v="-19"/>
    <n v="200"/>
    <n v="1"/>
    <n v="2349.7837026573675"/>
    <x v="8"/>
  </r>
  <r>
    <s v="R13/R45"/>
    <n v="13.5"/>
    <n v="3130"/>
    <n v="3127"/>
    <n v="-3"/>
    <n v="-9.5846645367412143E-4"/>
    <x v="56"/>
    <n v="180"/>
    <n v="-3"/>
    <n v="200"/>
    <n v="17"/>
    <n v="2248.2250381953804"/>
    <x v="8"/>
  </r>
  <r>
    <s v="R12/R44"/>
    <n v="15"/>
    <n v="2947"/>
    <n v="2947"/>
    <n v="0"/>
    <n v="0"/>
    <x v="56"/>
    <n v="180"/>
    <n v="0"/>
    <n v="180"/>
    <n v="0"/>
    <n v="2153.6494016625561"/>
    <x v="8"/>
  </r>
  <r>
    <s v="R11/R43"/>
    <n v="16.5"/>
    <n v="2776"/>
    <n v="2767"/>
    <n v="-9"/>
    <n v="-3.2420749279538905E-3"/>
    <x v="57"/>
    <n v="160"/>
    <n v="-9"/>
    <n v="180"/>
    <n v="11"/>
    <n v="2055.9115816847775"/>
    <x v="8"/>
  </r>
  <r>
    <s v="R10/R42"/>
    <n v="18"/>
    <n v="2616"/>
    <n v="2607"/>
    <n v="-9"/>
    <n v="-3.4403669724770644E-3"/>
    <x v="58"/>
    <n v="130"/>
    <n v="-9"/>
    <n v="150"/>
    <n v="11"/>
    <n v="1966.2487036862449"/>
    <x v="8"/>
  </r>
  <r>
    <s v="R9/R41"/>
    <n v="19.5"/>
    <n v="2468"/>
    <n v="2477"/>
    <n v="9"/>
    <n v="3.6466774716369531E-3"/>
    <x v="59"/>
    <n v="130"/>
    <n v="-11"/>
    <n v="150"/>
    <n v="9"/>
    <n v="1891.3811205497757"/>
    <x v="8"/>
  </r>
  <r>
    <s v="R8/R40"/>
    <n v="21"/>
    <n v="2328"/>
    <n v="2327"/>
    <n v="-1"/>
    <n v="-4.2955326460481099E-4"/>
    <x v="58"/>
    <n v="130"/>
    <n v="-1"/>
    <n v="150"/>
    <n v="19"/>
    <n v="1802.653239082018"/>
    <x v="8"/>
  </r>
  <r>
    <s v="R7/R39"/>
    <n v="22.5"/>
    <n v="2198"/>
    <n v="2197"/>
    <n v="-1"/>
    <n v="-4.5495905368516835E-4"/>
    <x v="61"/>
    <n v="120"/>
    <n v="-1"/>
    <n v="130"/>
    <n v="9"/>
    <n v="1723.6442090811022"/>
    <x v="8"/>
  </r>
  <r>
    <s v="R6/R38"/>
    <n v="24"/>
    <n v="2077"/>
    <n v="2077"/>
    <n v="0"/>
    <n v="0"/>
    <x v="3"/>
    <n v="110.00000000000001"/>
    <n v="0"/>
    <n v="110.00000000000001"/>
    <n v="0"/>
    <n v="1648.9034434851642"/>
    <x v="8"/>
  </r>
  <r>
    <s v="R5/R37"/>
    <n v="25.5"/>
    <n v="1963"/>
    <n v="1967"/>
    <n v="4"/>
    <n v="2.0376974019358125E-3"/>
    <x v="3"/>
    <n v="100"/>
    <n v="-6"/>
    <n v="110.00000000000001"/>
    <n v="4"/>
    <n v="1578.8100732416976"/>
    <x v="8"/>
  </r>
  <r>
    <s v="R4/R36"/>
    <n v="27"/>
    <n v="1856"/>
    <n v="1857"/>
    <n v="1"/>
    <n v="5.3879310344827585E-4"/>
    <x v="4"/>
    <n v="91"/>
    <n v="-8"/>
    <n v="100"/>
    <n v="1"/>
    <n v="1507.1522775692401"/>
    <x v="8"/>
  </r>
  <r>
    <s v="R3/R35"/>
    <n v="28.5"/>
    <n v="1756"/>
    <n v="1757"/>
    <n v="1"/>
    <n v="5.6947608200455578E-4"/>
    <x v="5"/>
    <n v="82"/>
    <n v="-8"/>
    <n v="91"/>
    <n v="1"/>
    <n v="1440.6067438761916"/>
    <x v="8"/>
  </r>
  <r>
    <s v="R2/R34"/>
    <n v="30"/>
    <n v="1663"/>
    <n v="1666"/>
    <n v="3"/>
    <n v="1.8039687312086591E-3"/>
    <x v="5"/>
    <n v="82"/>
    <n v="-6"/>
    <n v="91"/>
    <n v="3"/>
    <n v="1378.8537140492447"/>
    <x v="8"/>
  </r>
  <r>
    <s v="R1/R33"/>
    <n v="31.5"/>
    <n v="1575"/>
    <n v="1575"/>
    <n v="0"/>
    <n v="0"/>
    <x v="38"/>
    <n v="1300"/>
    <n v="-275"/>
    <n v="1500"/>
    <n v="-75"/>
    <n v="1315.9268929503917"/>
    <x v="8"/>
  </r>
  <r>
    <s v="R32/R64"/>
    <n v="-15"/>
    <n v="11444.062500000002"/>
    <n v="11419"/>
    <n v="-25.062500000001819"/>
    <n v="-2.1900002730675244E-3"/>
    <x v="42"/>
    <n v="750"/>
    <n v="-25.06"/>
    <n v="819.99999999999989"/>
    <n v="44.94"/>
    <n v="4704.2587156908185"/>
    <x v="9"/>
  </r>
  <r>
    <s v="R31/R63"/>
    <n v="-13.5"/>
    <n v="10664.841281249999"/>
    <n v="10669"/>
    <n v="4.158718750000844"/>
    <n v="3.8994661433099277E-4"/>
    <x v="42"/>
    <n v="680"/>
    <n v="-65.84"/>
    <n v="750"/>
    <n v="4.16"/>
    <n v="4571.8570892924099"/>
    <x v="9"/>
  </r>
  <r>
    <s v="R30/R62"/>
    <n v="-12"/>
    <n v="9935.0879999999997"/>
    <n v="9919"/>
    <n v="-16.087999999999738"/>
    <n v="-1.6193112733374621E-3"/>
    <x v="43"/>
    <n v="680"/>
    <n v="-16.09"/>
    <n v="750"/>
    <n v="53.91"/>
    <n v="4428.3721189798534"/>
    <x v="9"/>
  </r>
  <r>
    <s v="R29/R61"/>
    <n v="-10.5"/>
    <n v="9252.4637812500005"/>
    <n v="9239"/>
    <n v="-13.463781250000466"/>
    <n v="-1.4551563311476718E-3"/>
    <x v="44"/>
    <n v="620"/>
    <n v="-13.46"/>
    <n v="680"/>
    <n v="46.54"/>
    <n v="4287.4876732989151"/>
    <x v="9"/>
  </r>
  <r>
    <s v="R28/R60"/>
    <n v="-9"/>
    <n v="8614.6905000000024"/>
    <n v="8619"/>
    <n v="4.3094999999975698"/>
    <n v="5.0025012506224901E-4"/>
    <x v="44"/>
    <n v="560"/>
    <n v="-55.69"/>
    <n v="620"/>
    <n v="4.3099999999999996"/>
    <n v="4148.986100246706"/>
    <x v="9"/>
  </r>
  <r>
    <s v="R27/R59"/>
    <n v="-7.5"/>
    <n v="8019.55078125"/>
    <n v="7999"/>
    <n v="-20.55078125"/>
    <n v="-2.5625850886870707E-3"/>
    <x v="46"/>
    <n v="509.99999999999994"/>
    <n v="-20.55"/>
    <n v="560"/>
    <n v="29.45"/>
    <n v="3999.7499843740234"/>
    <x v="9"/>
  </r>
  <r>
    <s v="R26/R58"/>
    <n v="-6"/>
    <n v="7464.8879999999999"/>
    <n v="7489"/>
    <n v="24.11200000000008"/>
    <n v="3.2300551595683792E-3"/>
    <x v="45"/>
    <n v="509.99999999999994"/>
    <n v="-25.89"/>
    <n v="560"/>
    <n v="24.11"/>
    <n v="3868.035379947059"/>
    <x v="9"/>
  </r>
  <r>
    <s v="R25/R57"/>
    <n v="-4.5"/>
    <n v="6948.6062812500004"/>
    <n v="6929"/>
    <n v="-19.606281250000393"/>
    <n v="-2.8216134943356403E-3"/>
    <x v="60"/>
    <n v="470"/>
    <n v="-19.61"/>
    <n v="509.99999999999994"/>
    <n v="20.39"/>
    <n v="3713.041730859401"/>
    <x v="9"/>
  </r>
  <r>
    <s v="R24/R56"/>
    <n v="-3"/>
    <n v="6468.6705000000011"/>
    <n v="6459"/>
    <n v="-9.6705000000010841"/>
    <n v="-1.4949748947640914E-3"/>
    <x v="48"/>
    <n v="430"/>
    <n v="-9.67"/>
    <n v="470"/>
    <n v="30.33"/>
    <n v="3573.6911266339303"/>
    <x v="9"/>
  </r>
  <r>
    <s v="R23/R55"/>
    <n v="-1.5"/>
    <n v="6023.1062812499995"/>
    <n v="6029"/>
    <n v="5.8937187500005166"/>
    <n v="9.7851813911166278E-4"/>
    <x v="48"/>
    <n v="390"/>
    <n v="-34.11"/>
    <n v="430"/>
    <n v="5.89"/>
    <n v="3438.0212417135931"/>
    <x v="9"/>
  </r>
  <r>
    <s v="R22/R54"/>
    <n v="0"/>
    <n v="5610"/>
    <n v="5599"/>
    <n v="-11"/>
    <n v="-1.9607843137254902E-3"/>
    <x v="50"/>
    <n v="360"/>
    <n v="-11"/>
    <n v="390"/>
    <n v="19"/>
    <n v="3293.7716008530037"/>
    <x v="9"/>
  </r>
  <r>
    <s v="R21/R53"/>
    <n v="1.5"/>
    <n v="5227.4987812500003"/>
    <n v="5239"/>
    <n v="11.50121874999968"/>
    <n v="2.2001380069665948E-3"/>
    <x v="50"/>
    <n v="330"/>
    <n v="-18.5"/>
    <n v="360"/>
    <n v="11.5"/>
    <n v="3165.7980209985649"/>
    <x v="9"/>
  </r>
  <r>
    <s v="R20/R52"/>
    <n v="3"/>
    <n v="4873.8105000000005"/>
    <n v="4879"/>
    <n v="5.189499999999498"/>
    <n v="1.0647726250332256E-3"/>
    <x v="51"/>
    <n v="300"/>
    <n v="-24.81"/>
    <n v="330"/>
    <n v="5.19"/>
    <n v="3030.6700830809846"/>
    <x v="9"/>
  </r>
  <r>
    <s v="R19/R51"/>
    <n v="4.5"/>
    <n v="4547.2037812500002"/>
    <n v="4549"/>
    <n v="1.7962187499997526"/>
    <n v="3.9501611020959838E-4"/>
    <x v="52"/>
    <n v="270"/>
    <n v="-28.2"/>
    <n v="300"/>
    <n v="1.8"/>
    <n v="2899.9920312375489"/>
    <x v="9"/>
  </r>
  <r>
    <s v="R18/R50"/>
    <n v="6"/>
    <n v="4246.0079999999998"/>
    <n v="4249"/>
    <n v="2.9920000000001892"/>
    <n v="7.0466188476333278E-4"/>
    <x v="53"/>
    <n v="240"/>
    <n v="-27.01"/>
    <n v="270"/>
    <n v="2.99"/>
    <n v="2775.0836803004327"/>
    <x v="9"/>
  </r>
  <r>
    <s v="R17/R49"/>
    <n v="7.5"/>
    <n v="3968.6132812500005"/>
    <n v="3979"/>
    <n v="10.386718749999545"/>
    <n v="2.617216144256823E-3"/>
    <x v="53"/>
    <n v="240"/>
    <n v="-19.61"/>
    <n v="270"/>
    <n v="10.39"/>
    <n v="2657.3169713665579"/>
    <x v="9"/>
  </r>
  <r>
    <s v="R16/R48"/>
    <n v="9"/>
    <n v="3713.4704999999999"/>
    <n v="3709"/>
    <n v="-4.4704999999999018"/>
    <n v="-1.2038603780479479E-3"/>
    <x v="54"/>
    <n v="220.00000000000003"/>
    <n v="-4.47"/>
    <n v="240"/>
    <n v="15.53"/>
    <n v="2534.1190537193611"/>
    <x v="9"/>
  </r>
  <r>
    <s v="R15/R47"/>
    <n v="10.5"/>
    <n v="3479.0912812499996"/>
    <n v="3489"/>
    <n v="9.9087187500003893"/>
    <n v="2.8480766812304776E-3"/>
    <x v="54"/>
    <n v="200"/>
    <n v="-10.09"/>
    <n v="220.00000000000003"/>
    <n v="9.91"/>
    <n v="2429.4542605970928"/>
    <x v="9"/>
  </r>
  <r>
    <s v="R14/R46"/>
    <n v="12"/>
    <n v="3264.0480000000002"/>
    <n v="3269"/>
    <n v="4.9519999999997708"/>
    <n v="1.5171345519427932E-3"/>
    <x v="55"/>
    <n v="180"/>
    <n v="-15.05"/>
    <n v="200"/>
    <n v="4.95"/>
    <n v="2320.7028130268877"/>
    <x v="9"/>
  </r>
  <r>
    <s v="R13/R45"/>
    <n v="13.5"/>
    <n v="3066.9737812499998"/>
    <n v="3069"/>
    <n v="2.0262187500002256"/>
    <n v="6.6065734320506781E-4"/>
    <x v="56"/>
    <n v="160"/>
    <n v="-17.97"/>
    <n v="180"/>
    <n v="2.0299999999999998"/>
    <n v="2218.0865480169846"/>
    <x v="9"/>
  </r>
  <r>
    <s v="R12/R44"/>
    <n v="15"/>
    <n v="2886.5625"/>
    <n v="2889"/>
    <n v="2.4375"/>
    <n v="8.4443000974342315E-4"/>
    <x v="57"/>
    <n v="150"/>
    <n v="-7.56"/>
    <n v="160"/>
    <n v="2.44"/>
    <n v="2122.5089539902656"/>
    <x v="9"/>
  </r>
  <r>
    <s v="R11/R43"/>
    <n v="16.5"/>
    <n v="2721.5687812499996"/>
    <n v="2729"/>
    <n v="7.4312187500004256"/>
    <n v="2.7304908849620597E-3"/>
    <x v="59"/>
    <n v="130"/>
    <n v="-12.57"/>
    <n v="150"/>
    <n v="7.43"/>
    <n v="2034.8587939230124"/>
    <x v="9"/>
  </r>
  <r>
    <s v="R10/R42"/>
    <n v="18"/>
    <n v="2570.8079999999995"/>
    <n v="2579"/>
    <n v="8.192000000000462"/>
    <n v="3.1865467977384787E-3"/>
    <x v="59"/>
    <n v="130"/>
    <n v="-11.81"/>
    <n v="150"/>
    <n v="8.19"/>
    <n v="1950.278854334058"/>
    <x v="9"/>
  </r>
  <r>
    <s v="R9/R41"/>
    <n v="19.5"/>
    <n v="2433.1562812499992"/>
    <n v="2429"/>
    <n v="-4.1562812499992106"/>
    <n v="-1.7081850771476054E-3"/>
    <x v="61"/>
    <n v="120"/>
    <n v="-4.16"/>
    <n v="130"/>
    <n v="5.84"/>
    <n v="1863.2658931824719"/>
    <x v="9"/>
  </r>
  <r>
    <s v="R8/R40"/>
    <n v="21"/>
    <n v="2307.5504999999998"/>
    <n v="2309"/>
    <n v="1.449500000000171"/>
    <n v="6.2815526680788615E-4"/>
    <x v="61"/>
    <n v="110.00000000000001"/>
    <n v="-8.5500000000000007"/>
    <n v="120"/>
    <n v="1.45"/>
    <n v="1791.8323794742457"/>
    <x v="9"/>
  </r>
  <r>
    <s v="R7/R39"/>
    <n v="22.5"/>
    <n v="2192.9882812499995"/>
    <n v="2189"/>
    <n v="-3.9882812499995453"/>
    <n v="-1.8186514192069607E-3"/>
    <x v="4"/>
    <n v="100"/>
    <n v="-3.99"/>
    <n v="110.00000000000001"/>
    <n v="6.01"/>
    <n v="1718.7162626361762"/>
    <x v="9"/>
  </r>
  <r>
    <s v="R6/R38"/>
    <n v="24"/>
    <n v="2088.5279999999998"/>
    <n v="2089"/>
    <n v="0.47200000000020736"/>
    <n v="2.2599649130881051E-4"/>
    <x v="4"/>
    <n v="91"/>
    <n v="-8.5299999999999994"/>
    <n v="100"/>
    <n v="0.47"/>
    <n v="1656.457528000793"/>
    <x v="9"/>
  </r>
  <r>
    <s v="R5/R37"/>
    <n v="25.5"/>
    <n v="1993.2887812499994"/>
    <n v="1989"/>
    <n v="-4.2887812499993743"/>
    <n v="-2.1516105896657194E-3"/>
    <x v="6"/>
    <n v="82"/>
    <n v="-4.29"/>
    <n v="91"/>
    <n v="4.71"/>
    <n v="1592.9522474722194"/>
    <x v="9"/>
  </r>
  <r>
    <s v="R4/R36"/>
    <n v="27"/>
    <n v="1906.4504999999995"/>
    <n v="1907"/>
    <n v="0.54950000000053478"/>
    <n v="2.8823197874822083E-4"/>
    <x v="6"/>
    <n v="75"/>
    <n v="-6.45"/>
    <n v="82"/>
    <n v="0.55000000000000004"/>
    <n v="1539.9212677904511"/>
    <x v="9"/>
  </r>
  <r>
    <s v="R3/R35"/>
    <n v="28.5"/>
    <n v="1827.2537812499997"/>
    <n v="1825"/>
    <n v="-2.2537812499997472"/>
    <n v="-1.2334254131125485E-3"/>
    <x v="8"/>
    <n v="68"/>
    <n v="-2.25"/>
    <n v="75"/>
    <n v="4.75"/>
    <n v="1486.0050890585242"/>
    <x v="9"/>
  </r>
  <r>
    <s v="R2/R34"/>
    <n v="30"/>
    <n v="1754.9999999999993"/>
    <n v="1757"/>
    <n v="2.0000000000006821"/>
    <n v="1.1396011396015288E-3"/>
    <x v="8"/>
    <n v="62"/>
    <n v="-4"/>
    <n v="68"/>
    <n v="2"/>
    <n v="1440.6067438761916"/>
    <x v="9"/>
  </r>
  <r>
    <s v="R1/R33"/>
    <n v="31.5"/>
    <n v="1689.0512812499994"/>
    <n v="1689"/>
    <n v="-5.1281249999419742E-2"/>
    <n v="-3.03609787155003E-5"/>
    <x v="62"/>
    <n v="1500"/>
    <n v="-189.05"/>
    <n v="1600"/>
    <n v="-89.05"/>
    <n v="1394.5711631747342"/>
    <x v="9"/>
  </r>
  <r>
    <s v="R1/R33"/>
    <n v="-15"/>
    <n v="94.110999999999976"/>
    <n v="94"/>
    <n v="-0.11099999999997578"/>
    <n v="-1.1794582992421269E-3"/>
    <x v="63"/>
    <n v="0"/>
    <n v="-94.11"/>
    <n v="0.1"/>
    <n v="-94.01"/>
    <n v="94"/>
    <x v="10"/>
  </r>
  <r>
    <s v="R2/R34"/>
    <n v="-13.5"/>
    <n v="94.696299999999979"/>
    <n v="94.68"/>
    <n v="-1.629999999997267E-2"/>
    <n v="-1.7212921729753617E-4"/>
    <x v="64"/>
    <n v="0.68"/>
    <n v="-0.02"/>
    <n v="0.75"/>
    <n v="0.05"/>
    <n v="94.68"/>
    <x v="10"/>
  </r>
  <r>
    <s v="R3/R35"/>
    <n v="-12"/>
    <n v="95.281599999999983"/>
    <n v="95.3"/>
    <n v="1.8400000000013961E-2"/>
    <n v="1.9311178653605695E-4"/>
    <x v="65"/>
    <n v="0.55999999999999994"/>
    <n v="-0.04"/>
    <n v="0.62000000000000011"/>
    <n v="0.02"/>
    <n v="95.3"/>
    <x v="10"/>
  </r>
  <r>
    <s v="R4/R36"/>
    <n v="-10.5"/>
    <n v="95.866899999999987"/>
    <n v="95.86"/>
    <n v="-6.8999999999874717E-3"/>
    <n v="-7.1974790047320532E-5"/>
    <x v="66"/>
    <n v="0.55999999999999994"/>
    <n v="-0.01"/>
    <n v="0.62000000000000011"/>
    <n v="0.05"/>
    <n v="95.86"/>
    <x v="10"/>
  </r>
  <r>
    <s v="R5/R37"/>
    <n v="-9"/>
    <n v="96.452199999999976"/>
    <n v="96.48"/>
    <n v="2.780000000002758E-2"/>
    <n v="2.8822567033232613E-4"/>
    <x v="65"/>
    <n v="0.55999999999999994"/>
    <n v="-0.03"/>
    <n v="0.62000000000000011"/>
    <n v="0.03"/>
    <n v="96.48"/>
    <x v="10"/>
  </r>
  <r>
    <s v="R6/R38"/>
    <n v="-7.5"/>
    <n v="97.03749999999998"/>
    <n v="97.04"/>
    <n v="2.500000000026148E-3"/>
    <n v="2.5763235862693787E-5"/>
    <x v="66"/>
    <n v="0.55999999999999994"/>
    <n v="0"/>
    <n v="0.62000000000000011"/>
    <n v="0.06"/>
    <n v="97.04"/>
    <x v="10"/>
  </r>
  <r>
    <s v="R7/R39"/>
    <n v="-6"/>
    <n v="97.622799999999984"/>
    <n v="97.6"/>
    <n v="-2.2799999999989495E-2"/>
    <n v="-2.3355199809869722E-4"/>
    <x v="66"/>
    <n v="0.55999999999999994"/>
    <n v="-0.02"/>
    <n v="0.62000000000000011"/>
    <n v="0.04"/>
    <n v="97.6"/>
    <x v="10"/>
  </r>
  <r>
    <s v="R8/R40"/>
    <n v="-4.5"/>
    <n v="98.208099999999988"/>
    <n v="98.22"/>
    <n v="1.1900000000011346E-2"/>
    <n v="1.2117126795051882E-4"/>
    <x v="65"/>
    <n v="0.55999999999999994"/>
    <n v="-0.05"/>
    <n v="0.62000000000000011"/>
    <n v="0.01"/>
    <n v="98.22"/>
    <x v="10"/>
  </r>
  <r>
    <s v="R9/R41"/>
    <n v="-3"/>
    <n v="98.793399999999977"/>
    <n v="98.78"/>
    <n v="-1.3399999999975876E-2"/>
    <n v="-1.3563659110806876E-4"/>
    <x v="66"/>
    <n v="0.55999999999999994"/>
    <n v="-0.01"/>
    <n v="0.62000000000000011"/>
    <n v="0.05"/>
    <n v="98.78"/>
    <x v="10"/>
  </r>
  <r>
    <s v="R10/R42"/>
    <n v="-1.5"/>
    <n v="99.378699999999981"/>
    <n v="99.4"/>
    <n v="2.1300000000024966E-2"/>
    <n v="2.1433164249507158E-4"/>
    <x v="65"/>
    <n v="0.55999999999999994"/>
    <n v="-0.04"/>
    <n v="0.62000000000000011"/>
    <n v="0.02"/>
    <n v="99.4"/>
    <x v="10"/>
  </r>
  <r>
    <s v="R11/R43"/>
    <n v="0"/>
    <n v="99.963999999999984"/>
    <n v="99.96"/>
    <n v="-3.9999999999906777E-3"/>
    <n v="-4.0014405185773659E-5"/>
    <x v="66"/>
    <n v="0.51"/>
    <n v="-0.05"/>
    <n v="0.55999999999999994"/>
    <n v="0"/>
    <n v="99.96"/>
    <x v="10"/>
  </r>
  <r>
    <s v="R12/R44"/>
    <n v="1.5"/>
    <n v="100.54929999999999"/>
    <n v="100.58"/>
    <n v="3.0700000000010164E-2"/>
    <n v="3.0532286152176264E-4"/>
    <x v="65"/>
    <n v="0.55999999999999994"/>
    <n v="-0.03"/>
    <n v="0.62000000000000011"/>
    <n v="0.03"/>
    <n v="100.58"/>
    <x v="10"/>
  </r>
  <r>
    <s v="R13/R45"/>
    <n v="3"/>
    <n v="101.13459999999999"/>
    <n v="101.14"/>
    <n v="5.4000000000087311E-3"/>
    <n v="5.3394189525728401E-5"/>
    <x v="66"/>
    <n v="0.51"/>
    <n v="-0.04"/>
    <n v="0.55999999999999994"/>
    <n v="0.01"/>
    <n v="101.14"/>
    <x v="10"/>
  </r>
  <r>
    <s v="R14/R46"/>
    <n v="4.5"/>
    <n v="101.71989999999998"/>
    <n v="101.7"/>
    <n v="-1.989999999997849E-2"/>
    <n v="-1.9563526900811439E-4"/>
    <x v="66"/>
    <n v="0.55999999999999994"/>
    <n v="-0.02"/>
    <n v="0.62000000000000011"/>
    <n v="0.04"/>
    <n v="101.7"/>
    <x v="10"/>
  </r>
  <r>
    <s v="R15/R47"/>
    <n v="6"/>
    <n v="102.30519999999999"/>
    <n v="102.32"/>
    <n v="1.480000000000814E-2"/>
    <n v="1.4466517830968653E-4"/>
    <x v="65"/>
    <n v="0.55999999999999994"/>
    <n v="-0.05"/>
    <n v="0.62000000000000011"/>
    <n v="0.01"/>
    <n v="102.32"/>
    <x v="10"/>
  </r>
  <r>
    <s v="R16/R48"/>
    <n v="7.5"/>
    <n v="102.89049999999999"/>
    <n v="102.88"/>
    <n v="-1.0499999999993292E-2"/>
    <n v="-1.0205023787417977E-4"/>
    <x v="66"/>
    <n v="0.55999999999999994"/>
    <n v="-0.01"/>
    <n v="0.62000000000000011"/>
    <n v="0.05"/>
    <n v="102.88"/>
    <x v="10"/>
  </r>
  <r>
    <s v="R17/R49"/>
    <n v="9"/>
    <n v="103.47579999999999"/>
    <n v="103.5"/>
    <n v="2.4200000000007549E-2"/>
    <n v="2.3387110802726386E-4"/>
    <x v="65"/>
    <n v="0.55999999999999994"/>
    <n v="-0.04"/>
    <n v="0.62000000000000011"/>
    <n v="0.02"/>
    <n v="103.5"/>
    <x v="10"/>
  </r>
  <r>
    <s v="R18/R50"/>
    <n v="10.5"/>
    <n v="104.06109999999998"/>
    <n v="104.06"/>
    <n v="-1.0999999999796728E-3"/>
    <n v="-1.0570712782967632E-5"/>
    <x v="66"/>
    <n v="0.55999999999999994"/>
    <n v="0"/>
    <n v="0.62000000000000011"/>
    <n v="0.06"/>
    <n v="104.06"/>
    <x v="10"/>
  </r>
  <r>
    <s v="R19/R51"/>
    <n v="12"/>
    <n v="104.64639999999999"/>
    <n v="104.68"/>
    <n v="3.3600000000021168E-2"/>
    <n v="3.2108127943265293E-4"/>
    <x v="65"/>
    <n v="0.55999999999999994"/>
    <n v="-0.03"/>
    <n v="0.62000000000000011"/>
    <n v="0.03"/>
    <n v="104.68"/>
    <x v="10"/>
  </r>
  <r>
    <s v="R20/R52"/>
    <n v="13.5"/>
    <n v="105.23169999999999"/>
    <n v="105.24"/>
    <n v="8.3000000000055252E-3"/>
    <n v="7.8873571366855482E-5"/>
    <x v="66"/>
    <n v="0.51"/>
    <n v="-0.04"/>
    <n v="0.55999999999999994"/>
    <n v="0.01"/>
    <n v="105.24"/>
    <x v="10"/>
  </r>
  <r>
    <s v="R21/R53"/>
    <n v="15"/>
    <n v="105.81699999999999"/>
    <n v="105.8"/>
    <n v="-1.6999999999995907E-2"/>
    <n v="-1.6065471521585292E-4"/>
    <x v="66"/>
    <n v="0.55999999999999994"/>
    <n v="-0.02"/>
    <n v="0.62000000000000011"/>
    <n v="0.04"/>
    <n v="105.8"/>
    <x v="10"/>
  </r>
  <r>
    <s v="R22/R54"/>
    <n v="16.5"/>
    <n v="106.40229999999998"/>
    <n v="106.42"/>
    <n v="1.7700000000019145E-2"/>
    <n v="1.6634978755176484E-4"/>
    <x v="65"/>
    <n v="0.55999999999999994"/>
    <n v="-0.04"/>
    <n v="0.62000000000000011"/>
    <n v="0.02"/>
    <n v="106.42"/>
    <x v="10"/>
  </r>
  <r>
    <s v="R23/R55"/>
    <n v="18"/>
    <n v="106.98759999999999"/>
    <n v="106.98"/>
    <n v="-7.5999999999822876E-3"/>
    <n v="-7.1036269623603936E-5"/>
    <x v="66"/>
    <n v="0.55999999999999994"/>
    <n v="-0.01"/>
    <n v="0.62000000000000011"/>
    <n v="0.05"/>
    <n v="106.98"/>
    <x v="10"/>
  </r>
  <r>
    <s v="R24/R56"/>
    <n v="19.5"/>
    <n v="107.57289999999999"/>
    <n v="107.6"/>
    <n v="2.7100000000004343E-2"/>
    <n v="2.5192218486258479E-4"/>
    <x v="65"/>
    <n v="0.55999999999999994"/>
    <n v="-0.03"/>
    <n v="0.62000000000000011"/>
    <n v="0.03"/>
    <n v="107.6"/>
    <x v="10"/>
  </r>
  <r>
    <s v="R25/R57"/>
    <n v="21"/>
    <n v="108.15819999999999"/>
    <n v="108.16"/>
    <n v="1.8000000000029104E-3"/>
    <n v="1.6642288795513522E-5"/>
    <x v="66"/>
    <n v="0.55999999999999994"/>
    <n v="0"/>
    <n v="0.62000000000000011"/>
    <n v="0.06"/>
    <n v="108.16"/>
    <x v="10"/>
  </r>
  <r>
    <s v="R26/R58"/>
    <n v="22.5"/>
    <n v="108.74349999999998"/>
    <n v="108.72"/>
    <n v="-2.3499999999984311E-2"/>
    <n v="-2.1610487063580182E-4"/>
    <x v="66"/>
    <n v="0.55999999999999994"/>
    <n v="-0.02"/>
    <n v="0.62000000000000011"/>
    <n v="0.04"/>
    <n v="108.72"/>
    <x v="10"/>
  </r>
  <r>
    <s v="R27/R59"/>
    <n v="24"/>
    <n v="109.32879999999999"/>
    <n v="109.34"/>
    <n v="1.120000000001653E-2"/>
    <n v="1.024432720382601E-4"/>
    <x v="65"/>
    <n v="0.55999999999999994"/>
    <n v="-0.05"/>
    <n v="0.62000000000000011"/>
    <n v="0.01"/>
    <n v="109.34"/>
    <x v="10"/>
  </r>
  <r>
    <s v="R28/R60"/>
    <n v="25.5"/>
    <n v="109.91409999999999"/>
    <n v="109.9"/>
    <n v="-1.4099999999984902E-2"/>
    <n v="-1.2828199475758709E-4"/>
    <x v="66"/>
    <n v="0.55999999999999994"/>
    <n v="-0.01"/>
    <n v="0.62000000000000011"/>
    <n v="0.05"/>
    <n v="109.9"/>
    <x v="10"/>
  </r>
  <r>
    <s v="R29/R61"/>
    <n v="27"/>
    <n v="110.49939999999999"/>
    <n v="110.52000000000001"/>
    <n v="2.0600000000015939E-2"/>
    <n v="1.8642635163644274E-4"/>
    <x v="65"/>
    <n v="0.55999999999999994"/>
    <n v="-0.04"/>
    <n v="0.62000000000000011"/>
    <n v="0.02"/>
    <n v="110.52000000000001"/>
    <x v="10"/>
  </r>
  <r>
    <s v="R30/R62"/>
    <n v="28.5"/>
    <n v="111.0847"/>
    <n v="111.08"/>
    <n v="-4.6999999999997044E-3"/>
    <n v="-4.2310057100570149E-5"/>
    <x v="66"/>
    <n v="0.51"/>
    <n v="-0.05"/>
    <n v="0.55999999999999994"/>
    <n v="0"/>
    <n v="111.08"/>
    <x v="10"/>
  </r>
  <r>
    <s v="R31/R63"/>
    <n v="30"/>
    <n v="111.66999999999999"/>
    <n v="111.7"/>
    <n v="3.0000000000015348E-2"/>
    <n v="2.6864869705395673E-4"/>
    <x v="65"/>
    <n v="0.55999999999999994"/>
    <n v="-0.03"/>
    <n v="0.62000000000000011"/>
    <n v="0.03"/>
    <n v="111.7"/>
    <x v="10"/>
  </r>
  <r>
    <s v="R32/R64"/>
    <n v="31.5"/>
    <n v="112.25529999999999"/>
    <n v="112.26"/>
    <n v="4.7000000000139153E-3"/>
    <n v="4.1868847172595997E-5"/>
    <x v="66"/>
    <n v="0.55999999999999994"/>
    <n v="0"/>
    <n v="0.62000000000000011"/>
    <n v="0.06"/>
    <n v="112.26"/>
    <x v="10"/>
  </r>
  <r>
    <s v="R1/R33"/>
    <n v="-15"/>
    <n v="941.5"/>
    <n v="941.99999999999989"/>
    <n v="0.49999999999988631"/>
    <n v="5.3106744556546612E-4"/>
    <x v="21"/>
    <n v="819.99999999999989"/>
    <n v="-121.5"/>
    <n v="910"/>
    <n v="-31.5"/>
    <n v="941.99999999999989"/>
    <x v="11"/>
  </r>
  <r>
    <s v="R2/R34"/>
    <n v="-13.5"/>
    <n v="947.35"/>
    <n v="947.59999999999991"/>
    <n v="0.24999999999988631"/>
    <n v="2.6389402016138312E-4"/>
    <x v="67"/>
    <n v="5.0999999999999996"/>
    <n v="-0.25"/>
    <n v="5.6"/>
    <n v="0.25"/>
    <n v="947.59999999999991"/>
    <x v="11"/>
  </r>
  <r>
    <s v="R3/R35"/>
    <n v="-12"/>
    <n v="953.2"/>
    <n v="953.19999999999993"/>
    <n v="0"/>
    <n v="0"/>
    <x v="67"/>
    <n v="5.6"/>
    <n v="0"/>
    <n v="6.2"/>
    <n v="0.6"/>
    <n v="953.19999999999993"/>
    <x v="11"/>
  </r>
  <r>
    <s v="R4/R36"/>
    <n v="-10.5"/>
    <n v="959.05"/>
    <n v="958.8"/>
    <n v="-0.25"/>
    <n v="-2.6067462593191179E-4"/>
    <x v="67"/>
    <n v="5.6"/>
    <n v="-0.25"/>
    <n v="6.2"/>
    <n v="0.35"/>
    <n v="958.8"/>
    <x v="11"/>
  </r>
  <r>
    <s v="R5/R37"/>
    <n v="-9"/>
    <n v="964.9"/>
    <n v="965"/>
    <n v="0.10000000000002274"/>
    <n v="1.0363768266143926E-4"/>
    <x v="22"/>
    <n v="5.6"/>
    <n v="-0.5"/>
    <n v="6.2"/>
    <n v="0.1"/>
    <n v="965"/>
    <x v="11"/>
  </r>
  <r>
    <s v="R6/R38"/>
    <n v="-7.5"/>
    <n v="970.75"/>
    <n v="970.6"/>
    <n v="-0.14999999999997726"/>
    <n v="-1.5451970126188747E-4"/>
    <x v="67"/>
    <n v="5.6"/>
    <n v="-0.15"/>
    <n v="6.2"/>
    <n v="0.45"/>
    <n v="970.6"/>
    <x v="11"/>
  </r>
  <r>
    <s v="R7/R39"/>
    <n v="-6"/>
    <n v="976.6"/>
    <n v="976.80000000000007"/>
    <n v="0.20000000000004547"/>
    <n v="2.0479213598202485E-4"/>
    <x v="22"/>
    <n v="5.6"/>
    <n v="-0.4"/>
    <n v="6.2"/>
    <n v="0.2"/>
    <n v="976.80000000000007"/>
    <x v="11"/>
  </r>
  <r>
    <s v="R8/R40"/>
    <n v="-4.5"/>
    <n v="982.45"/>
    <n v="982.40000000000009"/>
    <n v="-4.9999999999954525E-2"/>
    <n v="-5.0893175225156008E-5"/>
    <x v="67"/>
    <n v="5.6"/>
    <n v="-0.05"/>
    <n v="6.2"/>
    <n v="0.55000000000000004"/>
    <n v="982.40000000000009"/>
    <x v="11"/>
  </r>
  <r>
    <s v="R9/R41"/>
    <n v="-3"/>
    <n v="988.3"/>
    <n v="988.60000000000014"/>
    <n v="0.3000000000001819"/>
    <n v="3.0355155317229778E-4"/>
    <x v="22"/>
    <n v="5.6"/>
    <n v="-0.3"/>
    <n v="6.2"/>
    <n v="0.3"/>
    <n v="988.60000000000014"/>
    <x v="11"/>
  </r>
  <r>
    <s v="R10/R42"/>
    <n v="-1.5"/>
    <n v="994.15"/>
    <n v="994.20000000000016"/>
    <n v="5.0000000000181899E-2"/>
    <n v="5.0294221194167783E-5"/>
    <x v="67"/>
    <n v="5.0999999999999996"/>
    <n v="-0.45"/>
    <n v="5.6"/>
    <n v="0.05"/>
    <n v="994.20000000000016"/>
    <x v="11"/>
  </r>
  <r>
    <s v="R11/R43"/>
    <n v="0"/>
    <n v="1000"/>
    <n v="999.80000000000018"/>
    <n v="-0.1999999999998181"/>
    <n v="-1.9999999999981811E-4"/>
    <x v="67"/>
    <n v="5.6"/>
    <n v="-0.2"/>
    <n v="6.2"/>
    <n v="0.4"/>
    <n v="999.80000000000018"/>
    <x v="11"/>
  </r>
  <r>
    <s v="R12/R44"/>
    <n v="1.5"/>
    <n v="1005.85"/>
    <n v="1006.0000000000002"/>
    <n v="0.15000000000020464"/>
    <n v="1.4912760351961488E-4"/>
    <x v="22"/>
    <n v="5.6"/>
    <n v="-0.45"/>
    <n v="6.2"/>
    <n v="0.15"/>
    <n v="1006.0000000000002"/>
    <x v="11"/>
  </r>
  <r>
    <s v="R13/R45"/>
    <n v="3"/>
    <n v="1011.7"/>
    <n v="1011.6000000000003"/>
    <n v="-9.9999999999795364E-2"/>
    <n v="-9.8843530690714005E-5"/>
    <x v="67"/>
    <n v="5.6"/>
    <n v="-0.1"/>
    <n v="6.2"/>
    <n v="0.5"/>
    <n v="1011.6000000000003"/>
    <x v="11"/>
  </r>
  <r>
    <s v="R14/R46"/>
    <n v="4.5"/>
    <n v="1017.55"/>
    <n v="1017.8000000000003"/>
    <n v="0.25000000000034106"/>
    <n v="2.4568817257170761E-4"/>
    <x v="22"/>
    <n v="5.6"/>
    <n v="-0.35"/>
    <n v="6.2"/>
    <n v="0.25"/>
    <n v="1017.8000000000003"/>
    <x v="11"/>
  </r>
  <r>
    <s v="R15/R47"/>
    <n v="6"/>
    <n v="1023.4"/>
    <n v="1023.4000000000003"/>
    <n v="0"/>
    <n v="0"/>
    <x v="67"/>
    <n v="5.0999999999999996"/>
    <n v="-0.5"/>
    <n v="5.6"/>
    <n v="0"/>
    <n v="1023.4000000000003"/>
    <x v="11"/>
  </r>
  <r>
    <s v="R16/R48"/>
    <n v="7.5"/>
    <n v="1029.25"/>
    <n v="1029.0000000000005"/>
    <n v="-0.24999999999954525"/>
    <n v="-2.4289531212003424E-4"/>
    <x v="67"/>
    <n v="5.6"/>
    <n v="-0.25"/>
    <n v="6.2"/>
    <n v="0.35"/>
    <n v="1029.0000000000005"/>
    <x v="11"/>
  </r>
  <r>
    <s v="R17/R49"/>
    <n v="9"/>
    <n v="1035.0999999999999"/>
    <n v="1035.2000000000003"/>
    <n v="0.1000000000003638"/>
    <n v="9.6609023283126088E-5"/>
    <x v="22"/>
    <n v="5.6"/>
    <n v="-0.5"/>
    <n v="6.2"/>
    <n v="0.1"/>
    <n v="1035.2000000000003"/>
    <x v="11"/>
  </r>
  <r>
    <s v="R18/R50"/>
    <n v="10.5"/>
    <n v="1040.95"/>
    <n v="1040.8000000000004"/>
    <n v="-0.1499999999996362"/>
    <n v="-1.4409914020811394E-4"/>
    <x v="67"/>
    <n v="5.6"/>
    <n v="-0.15"/>
    <n v="6.2"/>
    <n v="0.45"/>
    <n v="1040.8000000000004"/>
    <x v="11"/>
  </r>
  <r>
    <s v="R19/R51"/>
    <n v="12"/>
    <n v="1046.8"/>
    <n v="1047.0000000000005"/>
    <n v="0.20000000000050022"/>
    <n v="1.9105846389042819E-4"/>
    <x v="22"/>
    <n v="5.6"/>
    <n v="-0.4"/>
    <n v="6.2"/>
    <n v="0.2"/>
    <n v="1047.0000000000005"/>
    <x v="11"/>
  </r>
  <r>
    <s v="R20/R52"/>
    <n v="13.5"/>
    <n v="1052.6500000000001"/>
    <n v="1052.6000000000004"/>
    <n v="-4.9999999999727152E-2"/>
    <n v="-4.7499168764287417E-5"/>
    <x v="67"/>
    <n v="5.6"/>
    <n v="-0.05"/>
    <n v="6.2"/>
    <n v="0.55000000000000004"/>
    <n v="1052.6000000000004"/>
    <x v="11"/>
  </r>
  <r>
    <s v="R21/R53"/>
    <n v="15"/>
    <n v="1058.5"/>
    <n v="1058.8000000000006"/>
    <n v="0.30000000000063665"/>
    <n v="2.8341993386928358E-4"/>
    <x v="22"/>
    <n v="5.6"/>
    <n v="-0.3"/>
    <n v="6.2"/>
    <n v="0.3"/>
    <n v="1058.8000000000006"/>
    <x v="11"/>
  </r>
  <r>
    <s v="R22/R54"/>
    <n v="16.5"/>
    <n v="1064.3499999999999"/>
    <n v="1064.4000000000005"/>
    <n v="5.0000000000636646E-2"/>
    <n v="4.697702823379213E-5"/>
    <x v="67"/>
    <n v="5.0999999999999996"/>
    <n v="-0.45"/>
    <n v="5.6"/>
    <n v="0.05"/>
    <n v="1064.4000000000005"/>
    <x v="11"/>
  </r>
  <r>
    <s v="R23/R55"/>
    <n v="18"/>
    <n v="1070.2"/>
    <n v="1070.0000000000005"/>
    <n v="-0.19999999999959073"/>
    <n v="-1.8688095683011655E-4"/>
    <x v="67"/>
    <n v="5.6"/>
    <n v="-0.2"/>
    <n v="6.2"/>
    <n v="0.4"/>
    <n v="1070.0000000000005"/>
    <x v="11"/>
  </r>
  <r>
    <s v="R24/R56"/>
    <n v="19.5"/>
    <n v="1076.05"/>
    <n v="1076.2000000000007"/>
    <n v="0.15000000000077307"/>
    <n v="1.393987268256801E-4"/>
    <x v="22"/>
    <n v="5.6"/>
    <n v="-0.45"/>
    <n v="6.2"/>
    <n v="0.15"/>
    <n v="1076.2000000000007"/>
    <x v="11"/>
  </r>
  <r>
    <s v="R25/R57"/>
    <n v="21"/>
    <n v="1081.9000000000001"/>
    <n v="1081.8000000000006"/>
    <n v="-9.9999999999454303E-2"/>
    <n v="-9.2429984286398283E-5"/>
    <x v="67"/>
    <n v="5.6"/>
    <n v="-0.1"/>
    <n v="6.2"/>
    <n v="0.5"/>
    <n v="1081.8000000000006"/>
    <x v="11"/>
  </r>
  <r>
    <s v="R26/R58"/>
    <n v="22.5"/>
    <n v="1087.75"/>
    <n v="1088.0000000000007"/>
    <n v="0.25000000000068212"/>
    <n v="2.2983222247821846E-4"/>
    <x v="22"/>
    <n v="5.6"/>
    <n v="-0.35"/>
    <n v="6.2"/>
    <n v="0.25"/>
    <n v="1088.0000000000007"/>
    <x v="11"/>
  </r>
  <r>
    <s v="R27/R59"/>
    <n v="24"/>
    <n v="1093.5999999999999"/>
    <n v="1093.6000000000008"/>
    <n v="0"/>
    <n v="0"/>
    <x v="67"/>
    <n v="5.0999999999999996"/>
    <n v="-0.5"/>
    <n v="5.6"/>
    <n v="0"/>
    <n v="1093.6000000000008"/>
    <x v="11"/>
  </r>
  <r>
    <s v="R28/R60"/>
    <n v="25.5"/>
    <n v="1099.45"/>
    <n v="1099.2000000000007"/>
    <n v="-0.24999999999931788"/>
    <n v="-2.2738642048234832E-4"/>
    <x v="67"/>
    <n v="5.6"/>
    <n v="-0.25"/>
    <n v="6.2"/>
    <n v="0.35"/>
    <n v="1099.2000000000007"/>
    <x v="11"/>
  </r>
  <r>
    <s v="R29/R61"/>
    <n v="27"/>
    <n v="1105.3"/>
    <n v="1105.4000000000008"/>
    <n v="0.10000000000081855"/>
    <n v="9.0473174704440922E-5"/>
    <x v="22"/>
    <n v="5.6"/>
    <n v="-0.5"/>
    <n v="6.2"/>
    <n v="0.1"/>
    <n v="1105.4000000000008"/>
    <x v="11"/>
  </r>
  <r>
    <s v="R30/R62"/>
    <n v="28.5"/>
    <n v="1111.1500000000001"/>
    <n v="1111.0000000000009"/>
    <n v="-0.14999999999918145"/>
    <n v="-1.3499527516463254E-4"/>
    <x v="67"/>
    <n v="5.6"/>
    <n v="-0.15"/>
    <n v="6.2"/>
    <n v="0.45"/>
    <n v="1111.0000000000009"/>
    <x v="11"/>
  </r>
  <r>
    <s v="R31/R63"/>
    <n v="30"/>
    <n v="1117"/>
    <n v="1117.2000000000007"/>
    <n v="0.2000000000007276"/>
    <n v="1.7905102954407127E-4"/>
    <x v="22"/>
    <n v="5.6"/>
    <n v="-0.4"/>
    <n v="6.2"/>
    <n v="0.2"/>
    <n v="1117.2000000000007"/>
    <x v="11"/>
  </r>
  <r>
    <s v="R32/R64"/>
    <n v="31.5"/>
    <n v="1122.8499999999999"/>
    <n v="1122.8000000000009"/>
    <n v="-4.9999999999045031E-2"/>
    <n v="-4.4529545352491457E-5"/>
    <x v="67"/>
    <n v="5.6"/>
    <n v="-0.05"/>
    <n v="6.2"/>
    <n v="0.55000000000000004"/>
    <n v="1122.8000000000009"/>
    <x v="11"/>
  </r>
  <r>
    <s v="R1/R33"/>
    <n v="-15"/>
    <n v="470.21428571428572"/>
    <n v="470"/>
    <n v="-0.21428571428572241"/>
    <n v="-4.557192769254312E-4"/>
    <x v="50"/>
    <n v="360"/>
    <n v="-110.21"/>
    <n v="390"/>
    <n v="-80.209999999999994"/>
    <n v="470"/>
    <x v="12"/>
  </r>
  <r>
    <s v="R2/R34"/>
    <n v="-13.5"/>
    <n v="473.4071428571429"/>
    <n v="473.3"/>
    <n v="-0.10714285714288962"/>
    <n v="-2.2632285709981662E-4"/>
    <x v="68"/>
    <n v="3.3"/>
    <n v="-0.11"/>
    <n v="3.6"/>
    <n v="0.19"/>
    <n v="473.3"/>
    <x v="12"/>
  </r>
  <r>
    <s v="R3/R35"/>
    <n v="-12"/>
    <n v="476.6"/>
    <n v="476.6"/>
    <n v="0"/>
    <n v="0"/>
    <x v="68"/>
    <n v="3.3"/>
    <n v="0"/>
    <n v="3.6"/>
    <n v="0.3"/>
    <n v="476.6"/>
    <x v="12"/>
  </r>
  <r>
    <s v="R4/R36"/>
    <n v="-10.5"/>
    <n v="479.79285714285714"/>
    <n v="479.90000000000003"/>
    <n v="0.10714285714288962"/>
    <n v="2.2331065489578162E-4"/>
    <x v="68"/>
    <n v="3"/>
    <n v="-0.19"/>
    <n v="3.3"/>
    <n v="0.11"/>
    <n v="479.90000000000003"/>
    <x v="12"/>
  </r>
  <r>
    <s v="R5/R37"/>
    <n v="-9"/>
    <n v="482.98571428571432"/>
    <n v="482.90000000000003"/>
    <n v="-8.5714285714288962E-2"/>
    <n v="-1.7746753822947225E-4"/>
    <x v="69"/>
    <n v="3"/>
    <n v="-0.09"/>
    <n v="3.3"/>
    <n v="0.21"/>
    <n v="482.90000000000003"/>
    <x v="12"/>
  </r>
  <r>
    <s v="R6/R38"/>
    <n v="-7.5"/>
    <n v="486.17857142857144"/>
    <n v="486.20000000000005"/>
    <n v="2.1428571428600662E-2"/>
    <n v="4.4075516050893892E-5"/>
    <x v="68"/>
    <n v="3"/>
    <n v="-0.28000000000000003"/>
    <n v="3.3"/>
    <n v="0.02"/>
    <n v="486.20000000000005"/>
    <x v="12"/>
  </r>
  <r>
    <s v="R7/R39"/>
    <n v="-6"/>
    <n v="489.37142857142862"/>
    <n v="489.50000000000006"/>
    <n v="0.12857142857143344"/>
    <n v="2.6272769733770259E-4"/>
    <x v="68"/>
    <n v="3"/>
    <n v="-0.17"/>
    <n v="3.3"/>
    <n v="0.13"/>
    <n v="489.50000000000006"/>
    <x v="12"/>
  </r>
  <r>
    <s v="R8/R40"/>
    <n v="-4.5"/>
    <n v="492.56428571428575"/>
    <n v="492.50000000000006"/>
    <n v="-6.42857142856883E-2"/>
    <n v="-1.3051233341545499E-4"/>
    <x v="69"/>
    <n v="3"/>
    <n v="-0.06"/>
    <n v="3.3"/>
    <n v="0.24"/>
    <n v="492.50000000000006"/>
    <x v="12"/>
  </r>
  <r>
    <s v="R9/R41"/>
    <n v="-3"/>
    <n v="495.75714285714287"/>
    <n v="495.80000000000007"/>
    <n v="4.2857142857201325E-2"/>
    <n v="8.6447857534048715E-5"/>
    <x v="68"/>
    <n v="3"/>
    <n v="-0.26"/>
    <n v="3.3"/>
    <n v="0.04"/>
    <n v="495.80000000000007"/>
    <x v="12"/>
  </r>
  <r>
    <s v="R10/R42"/>
    <n v="-1.5"/>
    <n v="498.95000000000005"/>
    <n v="499.10000000000008"/>
    <n v="0.15000000000003411"/>
    <n v="3.0063132578421502E-4"/>
    <x v="68"/>
    <n v="3"/>
    <n v="-0.15"/>
    <n v="3.3"/>
    <n v="0.15"/>
    <n v="499.10000000000008"/>
    <x v="12"/>
  </r>
  <r>
    <s v="R11/R43"/>
    <n v="0"/>
    <n v="502.14285714285717"/>
    <n v="502.10000000000008"/>
    <n v="-4.2857142857087638E-2"/>
    <n v="-8.5348506401028014E-5"/>
    <x v="69"/>
    <n v="3"/>
    <n v="-0.04"/>
    <n v="3.3"/>
    <n v="0.26"/>
    <n v="502.10000000000008"/>
    <x v="12"/>
  </r>
  <r>
    <s v="R12/R44"/>
    <n v="1.5"/>
    <n v="505.33571428571429"/>
    <n v="505.40000000000009"/>
    <n v="6.4285714285801987E-2"/>
    <n v="1.2721387479345099E-4"/>
    <x v="68"/>
    <n v="3"/>
    <n v="-0.24"/>
    <n v="3.3"/>
    <n v="0.06"/>
    <n v="505.40000000000009"/>
    <x v="12"/>
  </r>
  <r>
    <s v="R13/R45"/>
    <n v="3"/>
    <n v="508.52857142857147"/>
    <n v="508.40000000000009"/>
    <n v="-0.1285714285713766"/>
    <n v="-2.5283029468765238E-4"/>
    <x v="69"/>
    <n v="3"/>
    <n v="-0.13"/>
    <n v="3.3"/>
    <n v="0.17"/>
    <n v="508.40000000000009"/>
    <x v="12"/>
  </r>
  <r>
    <s v="R14/R46"/>
    <n v="4.5"/>
    <n v="511.72142857142859"/>
    <n v="511.7000000000001"/>
    <n v="-2.1428571428486975E-2"/>
    <n v="-4.1875462374732016E-5"/>
    <x v="68"/>
    <n v="3.3"/>
    <n v="-0.02"/>
    <n v="3.6"/>
    <n v="0.28000000000000003"/>
    <n v="511.7000000000001"/>
    <x v="12"/>
  </r>
  <r>
    <s v="R15/R47"/>
    <n v="6"/>
    <n v="514.91428571428571"/>
    <n v="515.00000000000011"/>
    <n v="8.5714285714402649E-2"/>
    <n v="1.6646321163045681E-4"/>
    <x v="68"/>
    <n v="3"/>
    <n v="-0.21"/>
    <n v="3.3"/>
    <n v="0.09"/>
    <n v="515.00000000000011"/>
    <x v="12"/>
  </r>
  <r>
    <s v="R16/R48"/>
    <n v="7.5"/>
    <n v="518.10714285714289"/>
    <n v="518.00000000000011"/>
    <n v="-0.10714285714277594"/>
    <n v="-2.0679671882523789E-4"/>
    <x v="69"/>
    <n v="3"/>
    <n v="-0.11"/>
    <n v="3.3"/>
    <n v="0.19"/>
    <n v="518.00000000000011"/>
    <x v="12"/>
  </r>
  <r>
    <s v="R17/R49"/>
    <n v="9"/>
    <n v="521.30000000000007"/>
    <n v="521.30000000000018"/>
    <n v="0"/>
    <n v="0"/>
    <x v="68"/>
    <n v="3"/>
    <n v="-0.3"/>
    <n v="3.3"/>
    <n v="0"/>
    <n v="521.30000000000018"/>
    <x v="12"/>
  </r>
  <r>
    <s v="R18/R50"/>
    <n v="10.5"/>
    <n v="524.49285714285713"/>
    <n v="524.60000000000014"/>
    <n v="0.10714285714300331"/>
    <n v="2.0427896335263268E-4"/>
    <x v="68"/>
    <n v="3"/>
    <n v="-0.19"/>
    <n v="3.3"/>
    <n v="0.11"/>
    <n v="524.60000000000014"/>
    <x v="12"/>
  </r>
  <r>
    <s v="R19/R51"/>
    <n v="12"/>
    <n v="527.68571428571431"/>
    <n v="527.60000000000014"/>
    <n v="-8.5714285714175276E-2"/>
    <n v="-1.6243434945022116E-4"/>
    <x v="69"/>
    <n v="3"/>
    <n v="-0.09"/>
    <n v="3.3"/>
    <n v="0.21"/>
    <n v="527.60000000000014"/>
    <x v="12"/>
  </r>
  <r>
    <s v="R20/R52"/>
    <n v="13.5"/>
    <n v="530.87857142857149"/>
    <n v="530.90000000000009"/>
    <n v="2.1428571428600662E-2"/>
    <n v="4.0364355583118175E-5"/>
    <x v="68"/>
    <n v="3"/>
    <n v="-0.28000000000000003"/>
    <n v="3.3"/>
    <n v="0.02"/>
    <n v="530.90000000000009"/>
    <x v="12"/>
  </r>
  <r>
    <s v="R21/R53"/>
    <n v="15"/>
    <n v="534.07142857142856"/>
    <n v="534.20000000000016"/>
    <n v="0.12857142857160397"/>
    <n v="2.4073826400995796E-4"/>
    <x v="68"/>
    <n v="3"/>
    <n v="-0.17"/>
    <n v="3.3"/>
    <n v="0.13"/>
    <n v="534.20000000000016"/>
    <x v="12"/>
  </r>
  <r>
    <s v="R22/R54"/>
    <n v="16.5"/>
    <n v="537.26428571428573"/>
    <n v="537.20000000000016"/>
    <n v="-6.4285714285574613E-2"/>
    <n v="-1.1965380166691632E-4"/>
    <x v="69"/>
    <n v="3"/>
    <n v="-0.06"/>
    <n v="3.3"/>
    <n v="0.24"/>
    <n v="537.20000000000016"/>
    <x v="12"/>
  </r>
  <r>
    <s v="R23/R55"/>
    <n v="18"/>
    <n v="540.45714285714291"/>
    <n v="540.50000000000023"/>
    <n v="4.2857142857315011E-2"/>
    <n v="7.929794882670889E-5"/>
    <x v="68"/>
    <n v="3"/>
    <n v="-0.26"/>
    <n v="3.3"/>
    <n v="0.04"/>
    <n v="540.50000000000023"/>
    <x v="12"/>
  </r>
  <r>
    <s v="R24/R56"/>
    <n v="19.5"/>
    <n v="543.65"/>
    <n v="543.80000000000018"/>
    <n v="0.15000000000020464"/>
    <n v="2.7591281155192615E-4"/>
    <x v="68"/>
    <n v="3"/>
    <n v="-0.15"/>
    <n v="3.3"/>
    <n v="0.15"/>
    <n v="543.80000000000018"/>
    <x v="12"/>
  </r>
  <r>
    <s v="R25/R57"/>
    <n v="21"/>
    <n v="546.84285714285716"/>
    <n v="546.80000000000018"/>
    <n v="-4.2857142856973951E-2"/>
    <n v="-7.8371953290006963E-5"/>
    <x v="69"/>
    <n v="3"/>
    <n v="-0.04"/>
    <n v="3.3"/>
    <n v="0.26"/>
    <n v="546.80000000000018"/>
    <x v="12"/>
  </r>
  <r>
    <s v="R26/R58"/>
    <n v="22.5"/>
    <n v="550.03571428571433"/>
    <n v="550.10000000000014"/>
    <n v="6.4285714285801987E-2"/>
    <n v="1.1687552756330468E-4"/>
    <x v="68"/>
    <n v="3"/>
    <n v="-0.24"/>
    <n v="3.3"/>
    <n v="0.06"/>
    <n v="550.10000000000014"/>
    <x v="12"/>
  </r>
  <r>
    <s v="R27/R59"/>
    <n v="24"/>
    <n v="553.22857142857151"/>
    <n v="553.10000000000014"/>
    <n v="-0.1285714285713766"/>
    <n v="-2.3240200382162787E-4"/>
    <x v="69"/>
    <n v="3"/>
    <n v="-0.13"/>
    <n v="3.3"/>
    <n v="0.17"/>
    <n v="553.10000000000014"/>
    <x v="12"/>
  </r>
  <r>
    <s v="R28/R60"/>
    <n v="25.5"/>
    <n v="556.42142857142858"/>
    <n v="556.4000000000002"/>
    <n v="-2.1428571428373289E-2"/>
    <n v="-3.8511405794326762E-5"/>
    <x v="68"/>
    <n v="3.3"/>
    <n v="-0.02"/>
    <n v="3.6"/>
    <n v="0.28000000000000003"/>
    <n v="556.4000000000002"/>
    <x v="12"/>
  </r>
  <r>
    <s v="R29/R61"/>
    <n v="27"/>
    <n v="559.61428571428576"/>
    <n v="559.70000000000027"/>
    <n v="8.5714285714516336E-2"/>
    <n v="1.5316672197728391E-4"/>
    <x v="68"/>
    <n v="3"/>
    <n v="-0.21"/>
    <n v="3.3"/>
    <n v="0.09"/>
    <n v="559.70000000000027"/>
    <x v="12"/>
  </r>
  <r>
    <s v="R30/R62"/>
    <n v="28.5"/>
    <n v="562.80714285714294"/>
    <n v="562.70000000000027"/>
    <n v="-0.10714285714266225"/>
    <n v="-1.9037224118859179E-4"/>
    <x v="69"/>
    <n v="3"/>
    <n v="-0.11"/>
    <n v="3.3"/>
    <n v="0.19"/>
    <n v="562.70000000000027"/>
    <x v="12"/>
  </r>
  <r>
    <s v="R31/R63"/>
    <n v="30"/>
    <n v="566"/>
    <n v="566.00000000000023"/>
    <n v="0"/>
    <n v="0"/>
    <x v="68"/>
    <n v="3"/>
    <n v="-0.3"/>
    <n v="3.3"/>
    <n v="0"/>
    <n v="566.00000000000023"/>
    <x v="12"/>
  </r>
  <r>
    <s v="R32/R64"/>
    <n v="31.5"/>
    <n v="569.19285714285718"/>
    <n v="569.30000000000018"/>
    <n v="0.10714285714300331"/>
    <n v="1.8823647520951301E-4"/>
    <x v="68"/>
    <n v="3"/>
    <n v="-0.19"/>
    <n v="3.3"/>
    <n v="0.11"/>
    <n v="569.30000000000018"/>
    <x v="12"/>
  </r>
  <r>
    <s v="R32/R64"/>
    <n v="-15"/>
    <n v="1975.6517027863781"/>
    <n v="1976"/>
    <n v="0.34829721362189048"/>
    <n v="1.7629484647049192E-4"/>
    <x v="16"/>
    <n v="30"/>
    <n v="-2.65"/>
    <n v="33"/>
    <n v="0.35"/>
    <n v="1976"/>
    <x v="13"/>
  </r>
  <r>
    <s v="R31/R63"/>
    <n v="-13.5"/>
    <n v="1942.8819913710647"/>
    <n v="1943"/>
    <n v="0.11800862893528574"/>
    <n v="6.0738958649778158E-5"/>
    <x v="16"/>
    <n v="30"/>
    <n v="-2.88"/>
    <n v="33"/>
    <n v="0.12"/>
    <n v="1943"/>
    <x v="13"/>
  </r>
  <r>
    <s v="R30/R62"/>
    <n v="-12"/>
    <n v="1909.2080376707531"/>
    <n v="1910"/>
    <n v="0.79196232924687138"/>
    <n v="4.1481196057244283E-4"/>
    <x v="15"/>
    <n v="33"/>
    <n v="-2.21"/>
    <n v="36"/>
    <n v="0.79"/>
    <n v="1910"/>
    <x v="13"/>
  </r>
  <r>
    <s v="R29/R61"/>
    <n v="-10.5"/>
    <n v="1874.7640487205376"/>
    <n v="1874"/>
    <n v="-0.76404872053763029"/>
    <n v="-4.0754393656047941E-4"/>
    <x v="16"/>
    <n v="33"/>
    <n v="-0.76"/>
    <n v="36"/>
    <n v="2.2400000000000002"/>
    <n v="1874"/>
    <x v="13"/>
  </r>
  <r>
    <s v="R28/R60"/>
    <n v="-9"/>
    <n v="1839.6618758127177"/>
    <n v="1841"/>
    <n v="1.3381241872823466"/>
    <n v="7.2737507086251707E-4"/>
    <x v="15"/>
    <n v="33"/>
    <n v="-1.66"/>
    <n v="36"/>
    <n v="1.34"/>
    <n v="1841"/>
    <x v="13"/>
  </r>
  <r>
    <s v="R27/R59"/>
    <n v="-7.5"/>
    <n v="1803.9952905791965"/>
    <n v="1805"/>
    <n v="1.004709420803465"/>
    <n v="5.5693572264309504E-4"/>
    <x v="15"/>
    <n v="33"/>
    <n v="-2"/>
    <n v="36"/>
    <n v="1"/>
    <n v="1805"/>
    <x v="13"/>
  </r>
  <r>
    <s v="R26/R58"/>
    <n v="-6"/>
    <n v="1767.8438909314689"/>
    <n v="1769"/>
    <n v="1.1561090685311228"/>
    <n v="6.5396558738112004E-4"/>
    <x v="14"/>
    <n v="36"/>
    <n v="-1.84"/>
    <n v="39"/>
    <n v="1.1599999999999999"/>
    <n v="1769"/>
    <x v="13"/>
  </r>
  <r>
    <s v="R25/R57"/>
    <n v="-4.5"/>
    <n v="1731.2766368581892"/>
    <n v="1730"/>
    <n v="-1.2766368581892493"/>
    <n v="-7.3739622600464867E-4"/>
    <x v="15"/>
    <n v="36"/>
    <n v="-1.28"/>
    <n v="39"/>
    <n v="1.72"/>
    <n v="1730"/>
    <x v="13"/>
  </r>
  <r>
    <s v="R24/R56"/>
    <n v="-3"/>
    <n v="1694.3550160803311"/>
    <n v="1694"/>
    <n v="-0.35501608033109733"/>
    <n v="-2.0952874513416949E-4"/>
    <x v="15"/>
    <n v="36"/>
    <n v="-0.36"/>
    <n v="39"/>
    <n v="2.64"/>
    <n v="1694"/>
    <x v="13"/>
  </r>
  <r>
    <s v="R23/R55"/>
    <n v="-1.5"/>
    <n v="1657.1358395639247"/>
    <n v="1658"/>
    <n v="0.86416043607528081"/>
    <n v="5.2147833354608075E-4"/>
    <x v="14"/>
    <n v="36"/>
    <n v="-2.14"/>
    <n v="39"/>
    <n v="0.86"/>
    <n v="1658"/>
    <x v="13"/>
  </r>
  <r>
    <s v="R22/R54"/>
    <n v="0"/>
    <n v="1619.6736668903854"/>
    <n v="1619"/>
    <n v="-0.67366689038544791"/>
    <n v="-4.1592754402114982E-4"/>
    <x v="15"/>
    <n v="36"/>
    <n v="-0.67"/>
    <n v="39"/>
    <n v="2.33"/>
    <n v="1619"/>
    <x v="13"/>
  </r>
  <r>
    <s v="R21/R53"/>
    <n v="1.5"/>
    <n v="1582.0228614844252"/>
    <n v="1583"/>
    <n v="0.97713851557477938"/>
    <n v="6.1765132436703354E-4"/>
    <x v="14"/>
    <n v="36"/>
    <n v="-2.02"/>
    <n v="39"/>
    <n v="0.98"/>
    <n v="1583"/>
    <x v="13"/>
  </r>
  <r>
    <s v="R20/R52"/>
    <n v="3"/>
    <n v="1544.2392756995482"/>
    <n v="1544"/>
    <n v="-0.23927569954821593"/>
    <n v="-1.5494729561247743E-4"/>
    <x v="14"/>
    <n v="39"/>
    <n v="-0.24"/>
    <n v="43"/>
    <n v="3.76"/>
    <n v="1544"/>
    <x v="13"/>
  </r>
  <r>
    <s v="R19/R51"/>
    <n v="4.5"/>
    <n v="1506.3815657611317"/>
    <n v="1505"/>
    <n v="-1.3815657611316965"/>
    <n v="-9.1714197287964729E-4"/>
    <x v="15"/>
    <n v="36"/>
    <n v="-1.38"/>
    <n v="39"/>
    <n v="1.62"/>
    <n v="1505"/>
    <x v="13"/>
  </r>
  <r>
    <s v="R18/R50"/>
    <n v="6"/>
    <n v="1468.5121365670964"/>
    <n v="1469"/>
    <n v="0.48786343290362311"/>
    <n v="3.3221613955747694E-4"/>
    <x v="14"/>
    <n v="36"/>
    <n v="-2.5099999999999998"/>
    <n v="39"/>
    <n v="0.49"/>
    <n v="1469"/>
    <x v="13"/>
  </r>
  <r>
    <s v="R17/R49"/>
    <n v="7.5"/>
    <n v="1430.6977163461538"/>
    <n v="1430"/>
    <n v="-0.69771634615381117"/>
    <n v="-4.8767558526318386E-4"/>
    <x v="15"/>
    <n v="36"/>
    <n v="-0.7"/>
    <n v="39"/>
    <n v="2.2999999999999998"/>
    <n v="1430"/>
    <x v="13"/>
  </r>
  <r>
    <s v="R16/R48"/>
    <n v="9"/>
    <n v="1393.0095611736476"/>
    <n v="1394"/>
    <n v="0.99043882635237424"/>
    <n v="7.110064811887602E-4"/>
    <x v="14"/>
    <n v="36"/>
    <n v="-2.0099999999999998"/>
    <n v="39"/>
    <n v="0.99"/>
    <n v="1394"/>
    <x v="13"/>
  </r>
  <r>
    <s v="R15/R47"/>
    <n v="10.5"/>
    <n v="1355.523289344972"/>
    <n v="1355"/>
    <n v="-0.52328934497199953"/>
    <n v="-3.8604231228285871E-4"/>
    <x v="15"/>
    <n v="36"/>
    <n v="-0.52"/>
    <n v="39"/>
    <n v="2.48"/>
    <n v="1355"/>
    <x v="13"/>
  </r>
  <r>
    <s v="R14/R46"/>
    <n v="12"/>
    <n v="1318.3183456065817"/>
    <n v="1319"/>
    <n v="0.6816543934182846"/>
    <n v="5.1706357245953616E-4"/>
    <x v="14"/>
    <n v="36"/>
    <n v="-2.3199999999999998"/>
    <n v="39"/>
    <n v="0.68"/>
    <n v="1319"/>
    <x v="13"/>
  </r>
  <r>
    <s v="R13/R45"/>
    <n v="13.5"/>
    <n v="1281.4770952445845"/>
    <n v="1280"/>
    <n v="-1.4770952445844614"/>
    <n v="-1.1526505234200389E-3"/>
    <x v="15"/>
    <n v="36"/>
    <n v="-1.48"/>
    <n v="39"/>
    <n v="1.52"/>
    <n v="1280"/>
    <x v="13"/>
  </r>
  <r>
    <s v="R12/R44"/>
    <n v="15"/>
    <n v="1245.0835480309167"/>
    <n v="1244"/>
    <n v="-1.0835480309167451"/>
    <n v="-8.702613030509977E-4"/>
    <x v="15"/>
    <n v="36"/>
    <n v="-1.08"/>
    <n v="39"/>
    <n v="1.92"/>
    <n v="1244"/>
    <x v="13"/>
  </r>
  <r>
    <s v="R11/R43"/>
    <n v="16.5"/>
    <n v="1209.2217120271084"/>
    <n v="1208"/>
    <n v="-1.2217120271084241"/>
    <n v="-1.0103292183369559E-3"/>
    <x v="16"/>
    <n v="33"/>
    <n v="-1.22"/>
    <n v="36"/>
    <n v="1.78"/>
    <n v="1208"/>
    <x v="13"/>
  </r>
  <r>
    <s v="R10/R42"/>
    <n v="18"/>
    <n v="1173.9735772456302"/>
    <n v="1175"/>
    <n v="1.0264227543698325"/>
    <n v="8.7431503933676222E-4"/>
    <x v="15"/>
    <n v="33"/>
    <n v="-1.97"/>
    <n v="36"/>
    <n v="1.03"/>
    <n v="1175"/>
    <x v="13"/>
  </r>
  <r>
    <s v="R9/R41"/>
    <n v="19.5"/>
    <n v="1139.4167291688261"/>
    <n v="1139"/>
    <n v="-0.41672916882612299"/>
    <n v="-3.6573902959114503E-4"/>
    <x v="16"/>
    <n v="33"/>
    <n v="-0.42"/>
    <n v="36"/>
    <n v="2.58"/>
    <n v="1139"/>
    <x v="13"/>
  </r>
  <r>
    <s v="R8/R40"/>
    <n v="21"/>
    <n v="1105.6215921254327"/>
    <n v="1106"/>
    <n v="0.37840787456730141"/>
    <n v="3.4225803589802816E-4"/>
    <x v="16"/>
    <n v="30"/>
    <n v="-2.62"/>
    <n v="33"/>
    <n v="0.38"/>
    <n v="1106"/>
    <x v="13"/>
  </r>
  <r>
    <s v="R7/R39"/>
    <n v="22.5"/>
    <n v="1072.6483025246814"/>
    <n v="1073"/>
    <n v="0.35169747531858775"/>
    <n v="3.2787771582801277E-4"/>
    <x v="16"/>
    <n v="30"/>
    <n v="-2.65"/>
    <n v="33"/>
    <n v="0.35"/>
    <n v="1073"/>
    <x v="13"/>
  </r>
  <r>
    <s v="R6/R38"/>
    <n v="24"/>
    <n v="1040.5432119479881"/>
    <n v="1040"/>
    <n v="-0.54321194798808392"/>
    <n v="-5.2204650585451764E-4"/>
    <x v="17"/>
    <n v="30"/>
    <n v="-0.54"/>
    <n v="33"/>
    <n v="2.46"/>
    <n v="1040"/>
    <x v="13"/>
  </r>
  <r>
    <s v="R5/R37"/>
    <n v="25.5"/>
    <n v="1009.335020098225"/>
    <n v="1009.9999999999999"/>
    <n v="0.66497990177492738"/>
    <n v="6.588297131612592E-4"/>
    <x v="17"/>
    <n v="27"/>
    <n v="-2.34"/>
    <n v="30"/>
    <n v="0.66"/>
    <n v="1009.9999999999999"/>
    <x v="13"/>
  </r>
  <r>
    <s v="R4/R36"/>
    <n v="27"/>
    <n v="979.03053760658179"/>
    <n v="979.99999999999989"/>
    <n v="0.96946239341809815"/>
    <n v="9.902269195689495E-4"/>
    <x v="17"/>
    <n v="27"/>
    <n v="-2.0299999999999998"/>
    <n v="30"/>
    <n v="0.97"/>
    <n v="979.99999999999989"/>
    <x v="13"/>
  </r>
  <r>
    <s v="R3/R35"/>
    <n v="28.5"/>
    <n v="949.61007869700825"/>
    <n v="949.99999999999989"/>
    <n v="0.38992130299163819"/>
    <n v="4.1061200985425747E-4"/>
    <x v="17"/>
    <n v="27"/>
    <n v="-2.61"/>
    <n v="30"/>
    <n v="0.39"/>
    <n v="949.99999999999989"/>
    <x v="13"/>
  </r>
  <r>
    <s v="R2/R34"/>
    <n v="30"/>
    <n v="921.02248370824236"/>
    <n v="919.99999999999989"/>
    <n v="-1.0224837082424756"/>
    <n v="-1.1101615067264457E-3"/>
    <x v="18"/>
    <n v="27"/>
    <n v="-1.02"/>
    <n v="30"/>
    <n v="1.98"/>
    <n v="919.99999999999989"/>
    <x v="13"/>
  </r>
  <r>
    <s v="R1/R33"/>
    <n v="31.5"/>
    <n v="893.17977147342685"/>
    <n v="892.99999999999989"/>
    <n v="-0.17977147342696753"/>
    <n v="-2.0127132204349966E-4"/>
    <x v="21"/>
    <n v="750"/>
    <n v="-143.18"/>
    <n v="819.99999999999989"/>
    <n v="-73.180000000000007"/>
    <n v="892.99999999999989"/>
    <x v="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5DA8AE-16A3-4274-AB30-617DB10EA19F}" name="Tableau croisé dynamique5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rowHeaderCaption="Valeur résistance" colHeaderCaption="Type de sonde" fieldListSortAscending="1">
  <location ref="A1:P73" firstHeaderRow="1" firstDataRow="2" firstDataCol="1"/>
  <pivotFields count="13">
    <pivotField showAll="0"/>
    <pivotField showAll="0"/>
    <pivotField showAll="0"/>
    <pivotField showAll="0"/>
    <pivotField showAll="0"/>
    <pivotField showAll="0"/>
    <pivotField name="Radd" axis="axisRow" dataField="1" showAll="0" sortType="ascending">
      <items count="72">
        <item x="63"/>
        <item x="66"/>
        <item x="65"/>
        <item x="64"/>
        <item x="69"/>
        <item x="68"/>
        <item x="67"/>
        <item x="22"/>
        <item x="23"/>
        <item x="24"/>
        <item x="25"/>
        <item x="26"/>
        <item x="1"/>
        <item x="2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m="1" x="70"/>
        <item x="3"/>
        <item x="61"/>
        <item x="58"/>
        <item x="59"/>
        <item x="57"/>
        <item x="56"/>
        <item x="55"/>
        <item x="54"/>
        <item x="20"/>
        <item x="53"/>
        <item x="52"/>
        <item x="51"/>
        <item x="50"/>
        <item x="49"/>
        <item x="48"/>
        <item x="60"/>
        <item x="46"/>
        <item x="45"/>
        <item x="44"/>
        <item x="43"/>
        <item x="42"/>
        <item x="21"/>
        <item x="41"/>
        <item x="40"/>
        <item x="39"/>
        <item x="0"/>
        <item x="38"/>
        <item x="62"/>
        <item x="37"/>
        <item x="36"/>
        <item x="35"/>
        <item x="34"/>
        <item x="33"/>
        <item x="32"/>
        <item x="31"/>
        <item x="30"/>
        <item x="29"/>
        <item x="28"/>
        <item x="27"/>
        <item x="47"/>
        <item t="default"/>
      </items>
    </pivotField>
    <pivotField showAll="0"/>
    <pivotField showAll="0"/>
    <pivotField showAll="0"/>
    <pivotField showAll="0"/>
    <pivotField showAll="0"/>
    <pivotField name="Type de sonde" axis="axisCol" showAll="0" sortType="ascending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12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colItems>
  <dataFields count="1">
    <dataField name="Nombre de résistances" fld="6" subtotal="count" baseField="7" baseItem="0"/>
  </dataFields>
  <pivotTableStyleInfo name="PivotStyleLight4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B054C0C-F7DC-4825-9BCE-A77C5736998C}" name="SensorTypesIDs" displayName="SensorTypesIDs" ref="A2:F48" totalsRowShown="0">
  <autoFilter ref="A2:F48" xr:uid="{7B054C0C-F7DC-4825-9BCE-A77C5736998C}"/>
  <sortState xmlns:xlrd2="http://schemas.microsoft.com/office/spreadsheetml/2017/richdata2" ref="A3:F48">
    <sortCondition descending="1" ref="F2:F48"/>
  </sortState>
  <tableColumns count="6">
    <tableColumn id="1" xr3:uid="{590ECB1B-D5D1-4271-8B73-004F16653A27}" name="ID" dataDxfId="242"/>
    <tableColumn id="4" xr3:uid="{0F089883-BFD4-4BDA-96B2-67ECB98C0558}" name="Type" dataDxfId="241"/>
    <tableColumn id="5" xr3:uid="{93F94DCF-52F1-47C8-91C4-6255296DA9E1}" name="R0_R25" dataDxfId="240"/>
    <tableColumn id="2" xr3:uid="{9AFA91C0-708F-449F-B893-40B8F6C24CE3}" name="Nom"/>
    <tableColumn id="3" xr3:uid="{1588C382-1C58-482D-880B-94231683DD9D}" name="Description"/>
    <tableColumn id="6" xr3:uid="{30D9F244-5AEE-4385-976F-1CDE40606E9D}" name="Qtt en service" dataDxfId="239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B146382-76F7-4F4A-8137-7BEDFE7E5BA6}" name="TableMouserOrder" displayName="TableMouserOrder" ref="A1:E57" totalsRowShown="0">
  <autoFilter ref="A1:E57" xr:uid="{FB146382-76F7-4F4A-8137-7BEDFE7E5BA6}"/>
  <tableColumns count="5">
    <tableColumn id="1" xr3:uid="{FA48BB7A-B9F2-4DE1-94F1-C733F3A66B10}" name="R"/>
    <tableColumn id="5" xr3:uid="{FB900583-5606-4EEE-9D51-68A22A1DA7F5}" name="Qté requise"/>
    <tableColumn id="4" xr3:uid="{925A2779-BCBF-4952-8880-6FFC65598195}" name="Stock"/>
    <tableColumn id="2" xr3:uid="{86A80469-8CC7-4248-B265-3527C10643FF}" name="Qté commande">
      <calculatedColumnFormula>TableMouserOrder[[#This Row],[Qté requise]]-TableMouserOrder[[#This Row],[Stock]]</calculatedColumnFormula>
    </tableColumn>
    <tableColumn id="3" xr3:uid="{017BA874-6042-47AB-99D1-5D2199FE6B5F}" name="Texte Assistant Mouser" dataDxfId="232">
      <calculatedColumnFormula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07474AE-82C7-4A60-9900-83A16F0AD7DF}" name="TableR77" displayName="TableR77" ref="A2:D13" totalsRowShown="0">
  <autoFilter ref="A2:D13" xr:uid="{F07474AE-82C7-4A60-9900-83A16F0AD7DF}"/>
  <sortState xmlns:xlrd2="http://schemas.microsoft.com/office/spreadsheetml/2017/richdata2" ref="A3:D13">
    <sortCondition ref="A2:A13"/>
  </sortState>
  <tableColumns count="4">
    <tableColumn id="1" xr3:uid="{8ABD0EE7-88AF-47F6-A45A-0C1FFEBE0941}" name="R"/>
    <tableColumn id="2" xr3:uid="{E4457728-FEEF-46DE-9C9A-C9031A4873EA}" name="Ref Fabricant (Vishay)"/>
    <tableColumn id="3" xr3:uid="{D7EE0843-4E50-4B02-BAD7-D210286ECF11}" name="PPM/°C">
      <calculatedColumnFormula array="1">_xlfn.SWITCH(LEFT(RIGHT(B3,3)),"X",15,"Y",10,"Z",5,"?")</calculatedColumnFormula>
    </tableColumn>
    <tableColumn id="4" xr3:uid="{2EFF265D-0A9C-4448-9ADF-8E9D1F9E030A}" name="In stock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CD08DF6-9B86-461B-B4CF-560671D875BB}" name="data_DeDietrich_AF40" displayName="data_DeDietrich_AF40" ref="A2:L34" totalsRowShown="0">
  <autoFilter ref="A2:L34" xr:uid="{A992A113-BFD5-4A1D-A993-26054A826A80}"/>
  <tableColumns count="12">
    <tableColumn id="1" xr3:uid="{461D4442-17CE-4676-968F-C92E01FCC0E9}" name="#R"/>
    <tableColumn id="2" xr3:uid="{9F2DDB38-0360-47D9-9528-80341FD0EE56}" name="θ" dataDxfId="230"/>
    <tableColumn id="3" xr3:uid="{068B93ED-18D3-4E4D-A5B3-6E250740137C}" name="Rsonde" dataDxfId="229">
      <calculatedColumnFormula>data_DeDietrich_AF40[[#This Row],[θ]]*13.5+1650.9</calculatedColumnFormula>
    </tableColumn>
    <tableColumn id="4" xr3:uid="{5B47C51F-CE6C-490F-968F-96B14C5A8332}" name="Rpcb" dataDxfId="228">
      <calculatedColumnFormula array="1">INDIRECT(RefCell_Rpot)+SUM($G$3:G3)</calculatedColumnFormula>
    </tableColumn>
    <tableColumn id="6" xr3:uid="{3A29756E-8529-46A0-8B21-D6073750FBD7}" name="Diff R" dataDxfId="227">
      <calculatedColumnFormula>data_DeDietrich_AF40[[#This Row],[Rpcb]]-data_DeDietrich_AF40[[#This Row],[Rsonde]]</calculatedColumnFormula>
    </tableColumn>
    <tableColumn id="12" xr3:uid="{F03DBBC3-3E03-479D-9FFA-E34FF0183B24}" name="Diff %" dataDxfId="226" dataCellStyle="Pourcentage">
      <calculatedColumnFormula>data_DeDietrich_AF40[[#This Row],[Diff R]]/data_DeDietrich_AF40[[#This Row],[Rsonde]]</calculatedColumnFormula>
    </tableColumn>
    <tableColumn id="5" xr3:uid="{205F0DB4-73EC-4F15-8766-9129A8AB31B3}" name="Radd" dataDxfId="225">
      <calculatedColumnFormula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calculatedColumnFormula>
    </tableColumn>
    <tableColumn id="10" xr3:uid="{7CC52119-7343-4D28-8AE7-64DEC539CF99}" name="RaddLow" dataDxfId="224">
      <calculatedColumnFormula array="1">MAX(IF(ResValuesR24&lt;=ROUND(data_DeDietrich_AF40[[#This Row],[Rsonde]],2)-IF(data_DeDietrich_AF40[[#This Row],[Rsonde]]=MIN(data_DeDietrich_AF40[Rsonde]),100,$D2),ResValuesR24))</calculatedColumnFormula>
    </tableColumn>
    <tableColumn id="9" xr3:uid="{4B3E32E1-B8F9-4AFF-9B62-2ED8E90407FB}" name="RaddLowDiff" dataDxfId="223">
      <calculatedColumnFormula>ROUND(data_DeDietrich_AF40[[#This Row],[RaddLow]]+(IF(data_DeDietrich_AF40[[#This Row],[Rsonde]]=MIN(data_DeDietrich_AF40[Rsonde]),0,$D2)-data_DeDietrich_AF40[[#This Row],[Rsonde]]),2)</calculatedColumnFormula>
    </tableColumn>
    <tableColumn id="8" xr3:uid="{C4DDBDDB-26BB-4A47-BC70-C2F07729E79B}" name="RaddHigh" dataDxfId="222">
      <calculatedColumnFormula array="1">MIN(IF(ResValuesR24&gt;=ROUND(data_DeDietrich_AF40[[#This Row],[Rsonde]],2)-IF(data_DeDietrich_AF40[[#This Row],[Rsonde]]=MIN(data_DeDietrich_AF40[Rsonde]),100,$D2),ResValuesR24))</calculatedColumnFormula>
    </tableColumn>
    <tableColumn id="7" xr3:uid="{FEFD78C6-086B-4491-8243-870BCB3365D0}" name="RaddHighDiff" dataDxfId="221">
      <calculatedColumnFormula>ROUND(data_DeDietrich_AF40[[#This Row],[RaddHigh]]+(IF(data_DeDietrich_AF40[[#This Row],[Rsonde]]=MIN(data_DeDietrich_AF40[Rsonde]),0,$D2)-data_DeDietrich_AF40[[#This Row],[Rsonde]]),2)</calculatedColumnFormula>
    </tableColumn>
    <tableColumn id="13" xr3:uid="{8DFEB2FE-2E09-41A0-84BE-2E83F704CE61}" name="Rmes" dataDxfId="220">
      <calculatedColumnFormula array="1">IF(INDIRECT(RefCell_R77),(data_DeDietrich_AF40[[#This Row],[Rpcb]]*INDIRECT(RefCell_R77))/(data_DeDietrich_AF40[[#This Row],[Rpcb]]+INDIRECT(RefCell_R77)),data_DeDietrich_AF40[[#This Row],[Rpcb]])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1BA6012-137A-4AF1-AD78-9471EF9C9B86}" name="data_DeDietrich_AF60" displayName="data_DeDietrich_AF60" ref="A2:L34" totalsRowShown="0">
  <autoFilter ref="A2:L34" xr:uid="{A992A113-BFD5-4A1D-A993-26054A826A80}"/>
  <tableColumns count="12">
    <tableColumn id="1" xr3:uid="{3C9350CE-716A-4A74-AF73-E9A58208EFBC}" name="#R"/>
    <tableColumn id="2" xr3:uid="{42297461-74DB-4DF2-8B5E-573A46ED98D8}" name="θ" dataDxfId="218"/>
    <tableColumn id="3" xr3:uid="{5B16514B-69E1-498E-A74F-415605F0B838}" name="Rsonde" dataDxfId="217">
      <calculatedColumnFormula>EXP((S3-R3/2)^(1/3)-(S3+R3/2)^(1/3))</calculatedColumnFormula>
    </tableColumn>
    <tableColumn id="4" xr3:uid="{C7573875-6C99-4C2B-82D4-71ED9EDC9943}" name="Rpcb" dataDxfId="216">
      <calculatedColumnFormula array="1">INDIRECT(RefCell_Rpot)+SUM(G3:G$34)</calculatedColumnFormula>
    </tableColumn>
    <tableColumn id="6" xr3:uid="{E7278450-C950-434C-9C78-3C6B88CC860A}" name="Diff R" dataDxfId="215">
      <calculatedColumnFormula>data_DeDietrich_AF60[[#This Row],[Rpcb]]-data_DeDietrich_AF60[[#This Row],[Rsonde]]</calculatedColumnFormula>
    </tableColumn>
    <tableColumn id="12" xr3:uid="{9D80839C-F141-4B04-A334-56DC5EDA110D}" name="Diff %" dataDxfId="214" dataCellStyle="Pourcentage">
      <calculatedColumnFormula>data_DeDietrich_AF60[[#This Row],[Diff R]]/data_DeDietrich_AF60[[#This Row],[Rsonde]]</calculatedColumnFormula>
    </tableColumn>
    <tableColumn id="5" xr3:uid="{AEF9DC1A-9C4B-465C-B425-1F2911926509}" name="Radd" dataDxfId="213">
      <calculatedColumnFormula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calculatedColumnFormula>
    </tableColumn>
    <tableColumn id="10" xr3:uid="{4E8B6A79-734D-4FFF-A550-1FCD7032D43D}" name="RaddLow" dataDxfId="212">
      <calculatedColumnFormula array="1">MAX(IF(ResValuesR24&lt;=ROUND(data_DeDietrich_AF60[[#This Row],[Rsonde]],2)-IF(data_DeDietrich_AF60[[#This Row],[Rsonde]]=MIN(data_DeDietrich_AF60[Rsonde]),100,$D4),ResValuesR24))</calculatedColumnFormula>
    </tableColumn>
    <tableColumn id="9" xr3:uid="{76615E11-2C9A-497A-A303-0B0BB27917C4}" name="RaddLowDiff" dataDxfId="211">
      <calculatedColumnFormula>ROUND(data_DeDietrich_AF60[[#This Row],[RaddLow]]+(IF(data_DeDietrich_AF60[[#This Row],[Rsonde]]=MIN(data_DeDietrich_AF60[Rsonde]),0,$D4)-data_DeDietrich_AF60[[#This Row],[Rsonde]]),2)</calculatedColumnFormula>
    </tableColumn>
    <tableColumn id="8" xr3:uid="{3C471A41-9B66-41D4-9EC5-A313FE8AA29D}" name="RaddHigh" dataDxfId="210">
      <calculatedColumnFormula array="1">MIN(IF(ResValuesR24&gt;=ROUND(data_DeDietrich_AF60[[#This Row],[Rsonde]],2)-IF(data_DeDietrich_AF60[[#This Row],[Rsonde]]=MIN(data_DeDietrich_AF60[Rsonde]),100,$D4),ResValuesR24))</calculatedColumnFormula>
    </tableColumn>
    <tableColumn id="7" xr3:uid="{409E39FC-B2EE-48C7-842C-C465074057DA}" name="RaddHighDiff" dataDxfId="209">
      <calculatedColumnFormula>ROUND(data_DeDietrich_AF60[[#This Row],[RaddHigh]]+(IF(data_DeDietrich_AF60[[#This Row],[Rsonde]]=MIN(data_DeDietrich_AF60[Rsonde]),0,$D4)-data_DeDietrich_AF60[[#This Row],[Rsonde]]),2)</calculatedColumnFormula>
    </tableColumn>
    <tableColumn id="13" xr3:uid="{93178154-A9FF-4956-A2F5-A1ABE7325AE5}" name="Rmes" dataDxfId="208">
      <calculatedColumnFormula array="1">IF(INDIRECT(RefCell_R77),(data_DeDietrich_AF60[[#This Row],[Rpcb]]*INDIRECT(RefCell_R77))/(data_DeDietrich_AF60[[#This Row],[Rpcb]]+INDIRECT(RefCell_R77)),data_DeDietrich_AF60[[#This Row],[Rpcb]])</calculatedColumnFormula>
    </tableColumn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E4068E7-A1A3-472A-B510-0D071E14B7DC}" name="data_KTY81-210" displayName="data_KTY81_210" ref="A2:L34" totalsRowShown="0">
  <autoFilter ref="A2:L34" xr:uid="{A992A113-BFD5-4A1D-A993-26054A826A80}"/>
  <tableColumns count="12">
    <tableColumn id="1" xr3:uid="{3D635464-D3A2-41C9-BAB2-2F1E02210A08}" name="#R"/>
    <tableColumn id="2" xr3:uid="{B0C4A60E-5289-47B4-8BC8-FDBC48A7D0C9}" name="θ" dataDxfId="206"/>
    <tableColumn id="3" xr3:uid="{A4A592DC-8519-4F69-9752-FCACE6058602}" name="Rsonde" dataDxfId="205">
      <calculatedColumnFormula>data_KTY81_210[[#This Row],[θ]]*$N$46+$O$46</calculatedColumnFormula>
    </tableColumn>
    <tableColumn id="4" xr3:uid="{F674A0A8-9BFD-479E-86B4-C5DCDC7AF6ED}" name="Rpcb" dataDxfId="204">
      <calculatedColumnFormula array="1">INDIRECT(RefCell_Rpot)+SUM($G$3:G3)</calculatedColumnFormula>
    </tableColumn>
    <tableColumn id="6" xr3:uid="{9428B61F-70D5-4B19-BD1B-5FF0F60FBC56}" name="Diff R" dataDxfId="203">
      <calculatedColumnFormula>data_KTY81_210[[#This Row],[Rpcb]]-data_KTY81_210[[#This Row],[Rsonde]]</calculatedColumnFormula>
    </tableColumn>
    <tableColumn id="12" xr3:uid="{1D992BF3-4BA3-4CDE-A8BF-365BD88514E5}" name="Diff %" dataDxfId="202" dataCellStyle="Pourcentage">
      <calculatedColumnFormula>data_KTY81_210[[#This Row],[Diff R]]/data_KTY81_210[[#This Row],[Rsonde]]</calculatedColumnFormula>
    </tableColumn>
    <tableColumn id="5" xr3:uid="{00FA40C5-DDBD-42C7-AEF8-A429DCB7931B}" name="Radd" dataDxfId="201">
      <calculatedColumnFormula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calculatedColumnFormula>
    </tableColumn>
    <tableColumn id="10" xr3:uid="{FB00C816-6AC3-49C3-9BBB-87905A720C0E}" name="RaddLow" dataDxfId="200">
      <calculatedColumnFormula array="1">MAX(IF(ResValuesR24&lt;=ROUND(data_KTY81_210[[#This Row],[Rsonde]],2)-IF(data_KTY81_210[[#This Row],[Rsonde]]=MIN(data_KTY81_210[Rsonde]),100,$D2),ResValuesR24))</calculatedColumnFormula>
    </tableColumn>
    <tableColumn id="9" xr3:uid="{FEBFE638-AF35-4889-BD46-41248474248E}" name="RaddLowDiff" dataDxfId="199">
      <calculatedColumnFormula>ROUND(data_KTY81_210[[#This Row],[RaddLow]]+(IF(data_KTY81_210[[#This Row],[Rsonde]]=MIN(data_KTY81_210[Rsonde]),0,$D2)-data_KTY81_210[[#This Row],[Rsonde]]),2)</calculatedColumnFormula>
    </tableColumn>
    <tableColumn id="8" xr3:uid="{094A0925-9509-44D4-997C-809E018C653F}" name="RaddHigh" dataDxfId="198">
      <calculatedColumnFormula array="1">MIN(IF(ResValuesR24&gt;=ROUND(data_KTY81_210[[#This Row],[Rsonde]],2)-IF(data_KTY81_210[[#This Row],[Rsonde]]=MIN(data_KTY81_210[Rsonde]),100,$D2),ResValuesR24))</calculatedColumnFormula>
    </tableColumn>
    <tableColumn id="7" xr3:uid="{E0888ACA-B1D6-46D3-B222-4D8B5F0A0D12}" name="RaddHighDiff" dataDxfId="197">
      <calculatedColumnFormula>ROUND(data_KTY81_210[[#This Row],[RaddHigh]]+(IF(data_KTY81_210[[#This Row],[Rsonde]]=MIN(data_KTY81_210[Rsonde]),0,$D2)-data_KTY81_210[[#This Row],[Rsonde]]),2)</calculatedColumnFormula>
    </tableColumn>
    <tableColumn id="13" xr3:uid="{3AEEFAD3-8E79-4181-AFF0-6EE410971326}" name="Rmes" dataDxfId="196">
      <calculatedColumnFormula array="1">IF(INDIRECT(RefCell_R77),(data_KTY81_210[[#This Row],[Rpcb]]*INDIRECT(RefCell_R77))/(data_KTY81_210[[#This Row],[Rpcb]]+INDIRECT(RefCell_R77)),data_KTY81_210[[#This Row],[Rpcb]])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CA5BC-D702-4347-9526-EAB915981997}" name="data_Ni1000_TK5000" displayName="data_Ni1000_TK5000" ref="A2:L34" totalsRowShown="0">
  <autoFilter ref="A2:L34" xr:uid="{A992A113-BFD5-4A1D-A993-26054A826A80}"/>
  <tableColumns count="12">
    <tableColumn id="1" xr3:uid="{2B8115A8-8918-451D-A3D2-06DFFF6B5F62}" name="#R"/>
    <tableColumn id="2" xr3:uid="{78B3E890-FDBC-40A3-83BA-02DF97F45D9C}" name="θ" dataDxfId="194"/>
    <tableColumn id="3" xr3:uid="{14221D37-C562-4006-958A-C16ABDA8FC04}" name="Rsonde" dataDxfId="193"/>
    <tableColumn id="4" xr3:uid="{16FCAC6F-37C2-404C-9378-27E244D496C7}" name="Rpcb" dataDxfId="192">
      <calculatedColumnFormula array="1">INDIRECT(RefCell_Rpot)+SUM($G$3:G3)</calculatedColumnFormula>
    </tableColumn>
    <tableColumn id="6" xr3:uid="{1C730052-DDF7-42FE-8764-A368043920C8}" name="Diff R" dataDxfId="191">
      <calculatedColumnFormula>data_Ni1000_TK5000[[#This Row],[Rpcb]]-data_Ni1000_TK5000[[#This Row],[Rsonde]]</calculatedColumnFormula>
    </tableColumn>
    <tableColumn id="12" xr3:uid="{D43BAC53-0AA7-4002-B963-C2835DF9D297}" name="Diff %" dataDxfId="190" dataCellStyle="Pourcentage">
      <calculatedColumnFormula>data_Ni1000_TK5000[[#This Row],[Diff R]]/data_Ni1000_TK5000[[#This Row],[Rsonde]]</calculatedColumnFormula>
    </tableColumn>
    <tableColumn id="5" xr3:uid="{7E98E28A-663E-4BAB-AD0B-BE023765D600}" name="Radd" dataDxfId="189">
      <calculatedColumnFormula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calculatedColumnFormula>
    </tableColumn>
    <tableColumn id="10" xr3:uid="{D3D0D17D-0E5C-4126-A62F-C6A20C4081AF}" name="RaddLow" dataDxfId="188">
      <calculatedColumnFormula array="1">MAX(IF(ResValuesR24&lt;=ROUND(data_Ni1000_TK5000[[#This Row],[Rsonde]],2)-IF(data_Ni1000_TK5000[[#This Row],[Rsonde]]=MIN(data_Ni1000_TK5000[Rsonde]),100,$D2),ResValuesR24))</calculatedColumnFormula>
    </tableColumn>
    <tableColumn id="9" xr3:uid="{BDF6606B-AE11-4F18-B88A-3A09B9D93813}" name="RaddLowDiff" dataDxfId="187">
      <calculatedColumnFormula>ROUND(data_Ni1000_TK5000[[#This Row],[RaddLow]]+(IF(data_Ni1000_TK5000[[#This Row],[Rsonde]]=MIN(data_Ni1000_TK5000[Rsonde]),0,$D2)-data_Ni1000_TK5000[[#This Row],[Rsonde]]),2)</calculatedColumnFormula>
    </tableColumn>
    <tableColumn id="8" xr3:uid="{35A5C46A-12D6-42FD-A015-355E1E52E6A0}" name="RaddHigh" dataDxfId="186">
      <calculatedColumnFormula array="1">MIN(IF(ResValuesR24&gt;=ROUND(data_Ni1000_TK5000[[#This Row],[Rsonde]],2)-IF(data_Ni1000_TK5000[[#This Row],[Rsonde]]=MIN(data_Ni1000_TK5000[Rsonde]),100,$D2),ResValuesR24))</calculatedColumnFormula>
    </tableColumn>
    <tableColumn id="7" xr3:uid="{1071E39A-0DDF-4D6C-BF15-A9508510DB93}" name="RaddHighDiff" dataDxfId="185">
      <calculatedColumnFormula>ROUND(data_Ni1000_TK5000[[#This Row],[RaddHigh]]+(IF(data_Ni1000_TK5000[[#This Row],[Rsonde]]=MIN(data_Ni1000_TK5000[Rsonde]),0,$D2)-data_Ni1000_TK5000[[#This Row],[Rsonde]]),2)</calculatedColumnFormula>
    </tableColumn>
    <tableColumn id="13" xr3:uid="{57795224-25BE-40F0-A634-5EFC2A39E963}" name="Rmes" dataDxfId="184">
      <calculatedColumnFormula array="1">IF(INDIRECT(RefCell_R77),(data_Ni1000_TK5000[[#This Row],[Rpcb]]*INDIRECT(RefCell_R77))/(data_Ni1000_TK5000[[#This Row],[Rpcb]]+INDIRECT(RefCell_R77)),data_Ni1000_TK5000[[#This Row],[Rpcb]])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9705123-A619-43B7-B455-ADA2798BFC40}" name="data_Ni1000_TK6180" displayName="data_Ni1000_TK6180" ref="A2:L34" totalsRowShown="0">
  <autoFilter ref="A2:L34" xr:uid="{A992A113-BFD5-4A1D-A993-26054A826A80}"/>
  <tableColumns count="12">
    <tableColumn id="1" xr3:uid="{9395C1E4-7579-4707-A838-10E83A09D0FC}" name="#R"/>
    <tableColumn id="2" xr3:uid="{F4038A47-7D69-418F-B725-6DEE18498E7D}" name="θ" dataDxfId="182"/>
    <tableColumn id="3" xr3:uid="{8864B1D1-C12A-4DB0-8B86-9797A3C8FECF}" name="Rsonde" dataDxfId="181"/>
    <tableColumn id="4" xr3:uid="{ABAC35BC-0D8E-4D05-9C25-929ACBD28B24}" name="Rpcb" dataDxfId="180">
      <calculatedColumnFormula array="1">INDIRECT(RefCell_Rpot)+SUM($G$3:G3)</calculatedColumnFormula>
    </tableColumn>
    <tableColumn id="6" xr3:uid="{83808FC0-FC06-4166-A858-DAC67BD9B582}" name="Diff R" dataDxfId="179">
      <calculatedColumnFormula>data_Ni1000_TK6180[[#This Row],[Rpcb]]-data_Ni1000_TK6180[[#This Row],[Rsonde]]</calculatedColumnFormula>
    </tableColumn>
    <tableColumn id="12" xr3:uid="{FB126068-4192-462C-9073-A37F1F27A7D5}" name="Diff %" dataDxfId="178" dataCellStyle="Pourcentage">
      <calculatedColumnFormula>data_Ni1000_TK6180[[#This Row],[Diff R]]/data_Ni1000_TK6180[[#This Row],[Rsonde]]</calculatedColumnFormula>
    </tableColumn>
    <tableColumn id="5" xr3:uid="{6ABC3D03-064A-43D3-9489-2A5D7E31CC19}" name="Radd" dataDxfId="177">
      <calculatedColumnFormula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calculatedColumnFormula>
    </tableColumn>
    <tableColumn id="10" xr3:uid="{D9900C18-0399-4453-A551-1A180DD9F3C3}" name="RaddLow" dataDxfId="176">
      <calculatedColumnFormula array="1">MAX(IF(ResValuesR24&lt;=ROUND(data_Ni1000_TK6180[[#This Row],[Rsonde]],2)-IF(data_Ni1000_TK6180[[#This Row],[Rsonde]]=MIN(data_Ni1000_TK6180[Rsonde]),100,$D2),ResValuesR24))</calculatedColumnFormula>
    </tableColumn>
    <tableColumn id="9" xr3:uid="{1CBEF101-2E76-4E73-BD2A-D76FA4D7EA92}" name="RaddLowDiff" dataDxfId="175">
      <calculatedColumnFormula>ROUND(data_Ni1000_TK6180[[#This Row],[RaddLow]]+(IF(data_Ni1000_TK6180[[#This Row],[Rsonde]]=MIN(data_Ni1000_TK6180[Rsonde]),0,$D2)-data_Ni1000_TK6180[[#This Row],[Rsonde]]),2)</calculatedColumnFormula>
    </tableColumn>
    <tableColumn id="8" xr3:uid="{F8D349FE-F75A-476F-A141-604F47FC449F}" name="RaddHigh" dataDxfId="174">
      <calculatedColumnFormula array="1">MIN(IF(ResValuesR24&gt;=ROUND(data_Ni1000_TK6180[[#This Row],[Rsonde]],2)-IF(data_Ni1000_TK6180[[#This Row],[Rsonde]]=MIN(data_Ni1000_TK6180[Rsonde]),100,$D2),ResValuesR24))</calculatedColumnFormula>
    </tableColumn>
    <tableColumn id="7" xr3:uid="{6E48CE0A-133E-4284-BAE0-C2743F4FE417}" name="RaddHighDiff" dataDxfId="173">
      <calculatedColumnFormula>ROUND(data_Ni1000_TK6180[[#This Row],[RaddHigh]]+(IF(data_Ni1000_TK6180[[#This Row],[Rsonde]]=MIN(data_Ni1000_TK6180[Rsonde]),0,$D2)-data_Ni1000_TK6180[[#This Row],[Rsonde]]),2)</calculatedColumnFormula>
    </tableColumn>
    <tableColumn id="13" xr3:uid="{F4A2ACD8-CA9B-4DB8-B9DB-3E7522064B96}" name="Rmes" dataDxfId="172">
      <calculatedColumnFormula array="1">IF(INDIRECT(RefCell_R77),(data_Ni1000_TK6180[[#This Row],[Rpcb]]*INDIRECT(RefCell_R77))/(data_Ni1000_TK6180[[#This Row],[Rpcb]]+INDIRECT(RefCell_R77)),data_Ni1000_TK6180[[#This Row],[Rpcb]])</calculatedColumnFormula>
    </tableColumn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B2100ED-310F-447E-9D56-01E767998A48}" name="data_NTC_10k_3977" displayName="data_NTC_10k_3977" ref="A2:L34" totalsRowShown="0">
  <autoFilter ref="A2:L34" xr:uid="{A992A113-BFD5-4A1D-A993-26054A826A80}"/>
  <tableColumns count="12">
    <tableColumn id="1" xr3:uid="{CAA32FEF-A2EF-49C5-B8E1-C169878702C0}" name="#R"/>
    <tableColumn id="2" xr3:uid="{C3331DAE-79B6-424A-9694-4C33637FD1A9}" name="θ" dataDxfId="170"/>
    <tableColumn id="3" xr3:uid="{822A0C65-378E-4645-977A-8FAB63E018C1}" name="Rsonde" dataDxfId="169"/>
    <tableColumn id="4" xr3:uid="{52D1B13B-77E4-451C-BE91-50C152E383C5}" name="Rpcb" dataDxfId="168">
      <calculatedColumnFormula array="1">INDIRECT(RefCell_Rpot)+SUM(G3:G$34)</calculatedColumnFormula>
    </tableColumn>
    <tableColumn id="6" xr3:uid="{F253456C-4A3B-4B41-A122-AD2F79B75865}" name="Diff R" dataDxfId="167">
      <calculatedColumnFormula>data_NTC_10k_3977[[#This Row],[Rpcb]]-data_NTC_10k_3977[[#This Row],[Rsonde]]</calculatedColumnFormula>
    </tableColumn>
    <tableColumn id="12" xr3:uid="{0E790B45-F732-451A-891D-3FCDFC8B3C26}" name="Diff %" dataDxfId="166" dataCellStyle="Pourcentage">
      <calculatedColumnFormula>data_NTC_10k_3977[[#This Row],[Diff R]]/data_NTC_10k_3977[[#This Row],[Rsonde]]</calculatedColumnFormula>
    </tableColumn>
    <tableColumn id="5" xr3:uid="{AE5EA291-85DF-4926-B275-A685553AFBC8}" name="Radd" dataDxfId="165">
      <calculatedColumnFormula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calculatedColumnFormula>
    </tableColumn>
    <tableColumn id="10" xr3:uid="{32AA4ADD-3B07-4D63-9A24-BD5B46981E5E}" name="RaddLow" dataDxfId="164">
      <calculatedColumnFormula array="1">MAX(IF(ResValuesR24&lt;=ROUND(data_NTC_10k_3977[[#This Row],[Rsonde]],2)-IF(data_NTC_10k_3977[[#This Row],[Rsonde]]=MIN(data_NTC_10k_3977[Rsonde]),100,$D4),ResValuesR24))</calculatedColumnFormula>
    </tableColumn>
    <tableColumn id="9" xr3:uid="{25E3F8F9-92AC-4810-B70C-D3A85105F66D}" name="RaddLowDiff" dataDxfId="163">
      <calculatedColumnFormula>ROUND(data_NTC_10k_3977[[#This Row],[RaddLow]]+(IF(data_NTC_10k_3977[[#This Row],[Rsonde]]=MIN(data_NTC_10k_3977[Rsonde]),0,$D4)-data_NTC_10k_3977[[#This Row],[Rsonde]]),2)</calculatedColumnFormula>
    </tableColumn>
    <tableColumn id="8" xr3:uid="{31EE2789-13EC-4514-8DD9-9104F4A44F11}" name="RaddHigh" dataDxfId="162">
      <calculatedColumnFormula array="1">MIN(IF(ResValuesR24&gt;=ROUND(data_NTC_10k_3977[[#This Row],[Rsonde]],2)-IF(data_NTC_10k_3977[[#This Row],[Rsonde]]=MIN(data_NTC_10k_3977[Rsonde]),100,$D4),ResValuesR24))</calculatedColumnFormula>
    </tableColumn>
    <tableColumn id="7" xr3:uid="{71BFBFB0-AE7C-4260-BD7F-111837623683}" name="RaddHighDiff" dataDxfId="161">
      <calculatedColumnFormula>ROUND(data_NTC_10k_3977[[#This Row],[RaddHigh]]+(IF(data_NTC_10k_3977[[#This Row],[Rsonde]]=MIN(data_NTC_10k_3977[Rsonde]),0,$D4)-data_NTC_10k_3977[[#This Row],[Rsonde]]),2)</calculatedColumnFormula>
    </tableColumn>
    <tableColumn id="13" xr3:uid="{7DB4F58F-0E17-4AEE-B35E-EDFDFBED196E}" name="Rmes" dataDxfId="160">
      <calculatedColumnFormula array="1">IF(INDIRECT(RefCell_R77),(data_NTC_10k_3977[[#This Row],[Rpcb]]*INDIRECT(RefCell_R77))/(data_NTC_10k_3977[[#This Row],[Rpcb]]+INDIRECT(RefCell_R77)),data_NTC_10k_3977[[#This Row],[Rpcb]])</calculatedColumnFormula>
    </tableColumn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3B234FAD-4FEC-4F6B-AEF4-9D4E1284A04E}" name="data_NTC_10k2_3977" displayName="data_NTC_10k2_3977" ref="A2:L34" totalsRowShown="0">
  <autoFilter ref="A2:L34" xr:uid="{A992A113-BFD5-4A1D-A993-26054A826A80}"/>
  <tableColumns count="12">
    <tableColumn id="1" xr3:uid="{7EC3FDD1-B1B9-45C2-9578-875EF6C58FE8}" name="#R"/>
    <tableColumn id="2" xr3:uid="{D6A31736-2876-4237-AE5E-3ABF219A5384}" name="θ" dataDxfId="158"/>
    <tableColumn id="3" xr3:uid="{A81C1353-F496-4FCF-BC4A-FE26BF459620}" name="Rsonde" dataDxfId="157"/>
    <tableColumn id="4" xr3:uid="{D7FD9A97-B788-49ED-9DC5-0C8F9FA90789}" name="Rpcb" dataDxfId="156">
      <calculatedColumnFormula array="1">INDIRECT(RefCell_Rpot)+SUM(G3:G$34)</calculatedColumnFormula>
    </tableColumn>
    <tableColumn id="6" xr3:uid="{42676C37-8C2C-41EE-85A9-DBC08D4F21EA}" name="Diff R" dataDxfId="155">
      <calculatedColumnFormula>data_NTC_10k2_3977[[#This Row],[Rpcb]]-data_NTC_10k2_3977[[#This Row],[Rsonde]]</calculatedColumnFormula>
    </tableColumn>
    <tableColumn id="12" xr3:uid="{35FCB42E-8BA4-462B-B4E8-9C85B8206334}" name="Diff %" dataDxfId="154" dataCellStyle="Pourcentage">
      <calculatedColumnFormula>data_NTC_10k2_3977[[#This Row],[Diff R]]/data_NTC_10k2_3977[[#This Row],[Rsonde]]</calculatedColumnFormula>
    </tableColumn>
    <tableColumn id="5" xr3:uid="{56F8EB4E-8D39-4A95-8C28-349819067C5D}" name="Radd" dataDxfId="153">
      <calculatedColumnFormula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calculatedColumnFormula>
    </tableColumn>
    <tableColumn id="10" xr3:uid="{8D770542-C101-45A1-ABC1-511140615D00}" name="RaddLow" dataDxfId="152">
      <calculatedColumnFormula array="1">MAX(IF(ResValuesR24&lt;=ROUND(data_NTC_10k2_3977[[#This Row],[Rsonde]],2)-IF(data_NTC_10k2_3977[[#This Row],[Rsonde]]=MIN(data_NTC_10k2_3977[Rsonde]),100,$D4),ResValuesR24))</calculatedColumnFormula>
    </tableColumn>
    <tableColumn id="9" xr3:uid="{AF8ED33F-85E8-476E-99BA-E8DE396B58C2}" name="RaddLowDiff" dataDxfId="151">
      <calculatedColumnFormula>ROUND(data_NTC_10k2_3977[[#This Row],[RaddLow]]+(IF(data_NTC_10k2_3977[[#This Row],[Rsonde]]=MIN(data_NTC_10k2_3977[Rsonde]),0,$D4)-data_NTC_10k2_3977[[#This Row],[Rsonde]]),2)</calculatedColumnFormula>
    </tableColumn>
    <tableColumn id="8" xr3:uid="{0C88CE77-313D-4A2B-A261-9E95E5F9FF56}" name="RaddHigh" dataDxfId="150">
      <calculatedColumnFormula array="1">MIN(IF(ResValuesR24&gt;=ROUND(data_NTC_10k2_3977[[#This Row],[Rsonde]],2)-IF(data_NTC_10k2_3977[[#This Row],[Rsonde]]=MIN(data_NTC_10k2_3977[Rsonde]),100,$D4),ResValuesR24))</calculatedColumnFormula>
    </tableColumn>
    <tableColumn id="7" xr3:uid="{5458D3A7-27D2-4FE7-8306-46874C2A4AFA}" name="RaddHighDiff" dataDxfId="149">
      <calculatedColumnFormula>ROUND(data_NTC_10k2_3977[[#This Row],[RaddHigh]]+(IF(data_NTC_10k2_3977[[#This Row],[Rsonde]]=MIN(data_NTC_10k2_3977[Rsonde]),0,$D4)-data_NTC_10k2_3977[[#This Row],[Rsonde]]),2)</calculatedColumnFormula>
    </tableColumn>
    <tableColumn id="13" xr3:uid="{A168F7DC-E242-4948-A901-292DFD5407CF}" name="Rmes" dataDxfId="148">
      <calculatedColumnFormula array="1">IF(INDIRECT(RefCell_R77),(data_NTC_10k2_3977[[#This Row],[Rpcb]]*INDIRECT(RefCell_R77))/(data_NTC_10k2_3977[[#This Row],[Rpcb]]+INDIRECT(RefCell_R77)),data_NTC_10k2_3977[[#This Row],[Rpcb]])</calculatedColumnFormula>
    </tableColumn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54D2841-D2CE-4E9E-8D0D-21388484BB3C}" name="data_NTC_1k_3528" displayName="data_NTC_1k_3528" ref="A2:L34" totalsRowShown="0">
  <autoFilter ref="A2:L34" xr:uid="{A992A113-BFD5-4A1D-A993-26054A826A80}"/>
  <tableColumns count="12">
    <tableColumn id="1" xr3:uid="{C50B9CDD-E0FC-4BEB-ABA7-ABCCF4D8D278}" name="#R"/>
    <tableColumn id="2" xr3:uid="{BACF4C41-C45F-45AF-B238-F9A71D856960}" name="θ" dataDxfId="146"/>
    <tableColumn id="3" xr3:uid="{5252C15B-3F96-429F-AD50-428211099BB6}" name="Rsonde" dataDxfId="145"/>
    <tableColumn id="4" xr3:uid="{0AC98E40-9B57-47C6-9B4C-F5C626B9DF13}" name="Rpcb" dataDxfId="144">
      <calculatedColumnFormula array="1">INDIRECT(RefCell_Rpot)+SUM(G3:G$34)</calculatedColumnFormula>
    </tableColumn>
    <tableColumn id="6" xr3:uid="{505C77B1-160A-4BC6-B827-82020C0083A4}" name="Diff R" dataDxfId="143">
      <calculatedColumnFormula>data_NTC_1k_3528[[#This Row],[Rpcb]]-data_NTC_1k_3528[[#This Row],[Rsonde]]</calculatedColumnFormula>
    </tableColumn>
    <tableColumn id="12" xr3:uid="{BFB6A2AA-9E72-4766-BDEE-2F3B3D81FC44}" name="Diff %" dataDxfId="142" dataCellStyle="Pourcentage">
      <calculatedColumnFormula>data_NTC_1k_3528[[#This Row],[Diff R]]/data_NTC_1k_3528[[#This Row],[Rsonde]]</calculatedColumnFormula>
    </tableColumn>
    <tableColumn id="5" xr3:uid="{9F15DD4C-2CF1-4973-AB62-71757219D7FE}" name="Radd" dataDxfId="141">
      <calculatedColumnFormula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calculatedColumnFormula>
    </tableColumn>
    <tableColumn id="10" xr3:uid="{8A680DB7-CBA6-4D30-BFFD-C83890D25C87}" name="RaddLow" dataDxfId="140">
      <calculatedColumnFormula array="1">MAX(IF(ResValuesR24&lt;=ROUND(data_NTC_1k_3528[[#This Row],[Rsonde]],2)-IF(data_NTC_1k_3528[[#This Row],[Rsonde]]=MIN(data_NTC_1k_3528[Rsonde]),100,$D4),ResValuesR24))</calculatedColumnFormula>
    </tableColumn>
    <tableColumn id="9" xr3:uid="{C5EBDD29-D74F-463F-864B-BA26CEBE2BE2}" name="RaddLowDiff" dataDxfId="139">
      <calculatedColumnFormula>ROUND(data_NTC_1k_3528[[#This Row],[RaddLow]]+(IF(data_NTC_1k_3528[[#This Row],[Rsonde]]=MIN(data_NTC_1k_3528[Rsonde]),0,$D4)-data_NTC_1k_3528[[#This Row],[Rsonde]]),2)</calculatedColumnFormula>
    </tableColumn>
    <tableColumn id="8" xr3:uid="{589C3F5D-B6B2-4908-9D63-2A02088BF5BE}" name="RaddHigh" dataDxfId="138">
      <calculatedColumnFormula array="1">MIN(IF(ResValuesR24&gt;=ROUND(data_NTC_1k_3528[[#This Row],[Rsonde]],2)-IF(data_NTC_1k_3528[[#This Row],[Rsonde]]=MIN(data_NTC_1k_3528[Rsonde]),100,$D4),ResValuesR24))</calculatedColumnFormula>
    </tableColumn>
    <tableColumn id="7" xr3:uid="{B2A680C4-8F6C-4605-B28B-2E008E3A3CE6}" name="RaddHighDiff" dataDxfId="137">
      <calculatedColumnFormula>ROUND(data_NTC_1k_3528[[#This Row],[RaddHigh]]+(IF(data_NTC_1k_3528[[#This Row],[Rsonde]]=MIN(data_NTC_1k_3528[Rsonde]),0,$D4)-data_NTC_1k_3528[[#This Row],[Rsonde]]),2)</calculatedColumnFormula>
    </tableColumn>
    <tableColumn id="13" xr3:uid="{B29E9A9F-AAF8-4A21-B118-7357680CA7D8}" name="Rmes" dataDxfId="136">
      <calculatedColumnFormula array="1">IF(INDIRECT(RefCell_R77),(data_NTC_1k_3528[[#This Row],[Rpcb]]*INDIRECT(RefCell_R77))/(data_NTC_1k_3528[[#This Row],[Rpcb]]+INDIRECT(RefCell_R77)),data_NTC_1k_3528[[#This Row],[Rpcb]])</calculatedColumnFormula>
    </tableColumn>
  </tableColumns>
  <tableStyleInfo name="TableStyleMedium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992A113-BFD5-4A1D-A993-26054A826A80}" name="data_NTC_2.2k_3528" displayName="data_NTC_2.2k_3528" ref="A2:L34" totalsRowShown="0">
  <autoFilter ref="A2:L34" xr:uid="{A992A113-BFD5-4A1D-A993-26054A826A80}"/>
  <tableColumns count="12">
    <tableColumn id="1" xr3:uid="{DC66A65F-FA3A-4891-AD0C-DBCF811EC069}" name="#R"/>
    <tableColumn id="2" xr3:uid="{96278FFD-9946-4C95-B4F6-0C00144B9A4A}" name="θ" dataDxfId="134"/>
    <tableColumn id="3" xr3:uid="{A2D0CDA1-EA26-402F-AAF3-5D216B303223}" name="Rsonde" dataDxfId="133"/>
    <tableColumn id="4" xr3:uid="{2B9B3347-BCA0-4C89-A2AF-1EAC5AB3423A}" name="Rpcb" dataDxfId="132">
      <calculatedColumnFormula array="1">INDIRECT(RefCell_Rpot)+SUM(G3:G$34)</calculatedColumnFormula>
    </tableColumn>
    <tableColumn id="6" xr3:uid="{28AECD7F-BF02-4EF2-8EC1-76757206B3C4}" name="Diff R" dataDxfId="131">
      <calculatedColumnFormula>data_NTC_2.2k_3528[[#This Row],[Rpcb]]-data_NTC_2.2k_3528[[#This Row],[Rsonde]]</calculatedColumnFormula>
    </tableColumn>
    <tableColumn id="12" xr3:uid="{0C4D390F-8AAB-4B6C-A897-B5391A6B0C12}" name="Diff %" dataDxfId="130" dataCellStyle="Pourcentage">
      <calculatedColumnFormula>data_NTC_2.2k_3528[[#This Row],[Diff R]]/data_NTC_2.2k_3528[[#This Row],[Rsonde]]</calculatedColumnFormula>
    </tableColumn>
    <tableColumn id="5" xr3:uid="{7E64FB89-4724-443A-B0C3-4E29CB0D4AD4}" name="Radd" dataDxfId="129">
      <calculatedColumnFormula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calculatedColumnFormula>
    </tableColumn>
    <tableColumn id="10" xr3:uid="{7F663648-EDC9-4CC5-A117-9A23F24B7E1E}" name="RaddLow" dataDxfId="128">
      <calculatedColumnFormula array="1">MAX(IF(ResValuesR24&lt;=ROUND(data_NTC_2.2k_3528[[#This Row],[Rsonde]],2)-IF(data_NTC_2.2k_3528[[#This Row],[Rsonde]]=MIN(data_NTC_2.2k_3528[Rsonde]),100,$D4),ResValuesR24))</calculatedColumnFormula>
    </tableColumn>
    <tableColumn id="9" xr3:uid="{DA44A3BE-552D-4685-B04D-953D457148EE}" name="RaddLowDiff" dataDxfId="127">
      <calculatedColumnFormula>ROUND(data_NTC_2.2k_3528[[#This Row],[RaddLow]]+(IF(data_NTC_2.2k_3528[[#This Row],[Rsonde]]=MIN(data_NTC_2.2k_3528[Rsonde]),0,$D4)-data_NTC_2.2k_3528[[#This Row],[Rsonde]]),2)</calculatedColumnFormula>
    </tableColumn>
    <tableColumn id="8" xr3:uid="{7BE7D5D8-4BF9-4B9C-83AC-AC82AA74EB7E}" name="RaddHigh" dataDxfId="126">
      <calculatedColumnFormula array="1">MIN(IF(ResValuesR24&gt;=ROUND(data_NTC_2.2k_3528[[#This Row],[Rsonde]],2)-IF(data_NTC_2.2k_3528[[#This Row],[Rsonde]]=MIN(data_NTC_2.2k_3528[Rsonde]),100,$D4),ResValuesR24))</calculatedColumnFormula>
    </tableColumn>
    <tableColumn id="7" xr3:uid="{616B0792-8974-475C-BE3A-AAF3936079B2}" name="RaddHighDiff" dataDxfId="125">
      <calculatedColumnFormula>ROUND(data_NTC_2.2k_3528[[#This Row],[RaddHigh]]+(IF(data_NTC_2.2k_3528[[#This Row],[Rsonde]]=MIN(data_NTC_2.2k_3528[Rsonde]),0,$D4)-data_NTC_2.2k_3528[[#This Row],[Rsonde]]),2)</calculatedColumnFormula>
    </tableColumn>
    <tableColumn id="11" xr3:uid="{DCF48B32-1F50-49DC-A70B-338F0D919898}" name="Rmes" dataDxfId="124">
      <calculatedColumnFormula array="1">IF(INDIRECT(RefCell_R77),(data_NTC_2.2k_3528[[#This Row],[Rpcb]]*INDIRECT(RefCell_R77))/(data_NTC_2.2k_3528[[#This Row],[Rpcb]]+INDIRECT(RefCell_R77)),data_NTC_2.2k_3528[[#This Row],[Rpcb]])</calculatedColumnFormula>
    </tableColumn>
  </tableColumns>
  <tableStyleInfo name="TableStyleMedium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A191348A-1C57-4AEF-BA9A-905B8601C4B1}" name="data_NTC_20k_4370" displayName="data_NTC_20k_4370" ref="A2:L34" totalsRowShown="0">
  <autoFilter ref="A2:L34" xr:uid="{A992A113-BFD5-4A1D-A993-26054A826A80}"/>
  <tableColumns count="12">
    <tableColumn id="1" xr3:uid="{E69555A6-3F7F-4B3E-BADD-D6F6996B297B}" name="#R"/>
    <tableColumn id="2" xr3:uid="{A09BCC88-7141-47D6-86D5-C8B102BAF0AF}" name="θ" dataDxfId="122"/>
    <tableColumn id="3" xr3:uid="{6A2E9003-6D3D-4AA5-96BC-64B2AF02B982}" name="Rsonde" dataDxfId="121"/>
    <tableColumn id="4" xr3:uid="{BA991495-E82B-4DEA-B1CD-94FC5281D229}" name="Rpcb" dataDxfId="120">
      <calculatedColumnFormula array="1">INDIRECT(RefCell_Rpot)+SUM(G3:G$34)</calculatedColumnFormula>
    </tableColumn>
    <tableColumn id="6" xr3:uid="{256C2F3E-5E97-40AB-92E0-B98E111CBE23}" name="Diff R" dataDxfId="119">
      <calculatedColumnFormula>data_NTC_20k_4370[[#This Row],[Rpcb]]-data_NTC_20k_4370[[#This Row],[Rsonde]]</calculatedColumnFormula>
    </tableColumn>
    <tableColumn id="12" xr3:uid="{D8E17B43-1C6E-453B-A830-FC511F7AE3C2}" name="Diff %" dataDxfId="118" dataCellStyle="Pourcentage">
      <calculatedColumnFormula>data_NTC_20k_4370[[#This Row],[Diff R]]/data_NTC_20k_4370[[#This Row],[Rsonde]]</calculatedColumnFormula>
    </tableColumn>
    <tableColumn id="5" xr3:uid="{45C9B8A6-97C4-4FA4-89EF-9C27A634C2DA}" name="Radd" dataDxfId="117">
      <calculatedColumnFormula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calculatedColumnFormula>
    </tableColumn>
    <tableColumn id="10" xr3:uid="{533DD1E8-3BBA-4C70-BD30-C773EE8712BF}" name="RaddLow" dataDxfId="116">
      <calculatedColumnFormula array="1">MAX(IF(ResValuesR24&lt;=ROUND(data_NTC_20k_4370[[#This Row],[Rsonde]],2)-IF(data_NTC_20k_4370[[#This Row],[Rsonde]]=MIN(data_NTC_20k_4370[Rsonde]),100,$D4),ResValuesR24))</calculatedColumnFormula>
    </tableColumn>
    <tableColumn id="9" xr3:uid="{5CCEF26A-8B54-4720-ADE6-699EC9641A26}" name="RaddLowDiff" dataDxfId="115">
      <calculatedColumnFormula>ROUND(data_NTC_20k_4370[[#This Row],[RaddLow]]+(IF(data_NTC_20k_4370[[#This Row],[Rsonde]]=MIN(data_NTC_20k_4370[Rsonde]),0,$D4)-data_NTC_20k_4370[[#This Row],[Rsonde]]),2)</calculatedColumnFormula>
    </tableColumn>
    <tableColumn id="8" xr3:uid="{AAB2C158-3108-4436-9514-A66A6C508CA9}" name="RaddHigh" dataDxfId="114">
      <calculatedColumnFormula array="1">MIN(IF(ResValuesR24&gt;=ROUND(data_NTC_20k_4370[[#This Row],[Rsonde]],2)-IF(data_NTC_20k_4370[[#This Row],[Rsonde]]=MIN(data_NTC_20k_4370[Rsonde]),100,$D4),ResValuesR24))</calculatedColumnFormula>
    </tableColumn>
    <tableColumn id="7" xr3:uid="{5C7A2C99-FD96-402C-A3DD-7E7689AB4FBE}" name="RaddHighDiff" dataDxfId="113">
      <calculatedColumnFormula>ROUND(data_NTC_20k_4370[[#This Row],[RaddHigh]]+(IF(data_NTC_20k_4370[[#This Row],[Rsonde]]=MIN(data_NTC_20k_4370[Rsonde]),0,$D4)-data_NTC_20k_4370[[#This Row],[Rsonde]]),2)</calculatedColumnFormula>
    </tableColumn>
    <tableColumn id="13" xr3:uid="{8287EEE4-6B10-42E2-8CA7-43BF1D35B4A7}" name="Rmes" dataDxfId="112">
      <calculatedColumnFormula array="1">IF(INDIRECT(RefCell_R77),(data_NTC_20k_4370[[#This Row],[Rpcb]]*INDIRECT(RefCell_R77))/(data_NTC_20k_4370[[#This Row],[Rpcb]]+INDIRECT(RefCell_R77)),data_NTC_20k_4370[[#This Row],[Rpcb]])</calculatedColumnFormula>
    </tableColumn>
  </tableColumns>
  <tableStyleInfo name="TableStyleMedium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3DDF57-E5DB-4B6F-9A8E-15C0DFC9032A}" name="data_NTC_2k_3390" displayName="data_NTC_2k_3390" ref="A2:L34" totalsRowShown="0">
  <autoFilter ref="A2:L34" xr:uid="{A992A113-BFD5-4A1D-A993-26054A826A80}"/>
  <tableColumns count="12">
    <tableColumn id="1" xr3:uid="{F07928F3-24D5-4333-A2EB-DEF8C8E49464}" name="#R"/>
    <tableColumn id="2" xr3:uid="{8CB6CFD9-4370-4B65-B809-6844C9B56333}" name="θ" dataDxfId="110"/>
    <tableColumn id="3" xr3:uid="{C4D684DD-C8A3-4156-BE10-6643515DD4AB}" name="Rsonde" dataDxfId="109"/>
    <tableColumn id="4" xr3:uid="{AFC8C6C7-3DB9-49B2-9A6F-750F658B0F94}" name="Rpcb" dataDxfId="108">
      <calculatedColumnFormula array="1">INDIRECT(RefCell_Rpot)+SUM(G3:G$34)</calculatedColumnFormula>
    </tableColumn>
    <tableColumn id="6" xr3:uid="{EB3AB3E0-8761-4759-A0FB-F09ADF89773D}" name="Diff R" dataDxfId="107">
      <calculatedColumnFormula>data_NTC_2k_3390[[#This Row],[Rpcb]]-data_NTC_2k_3390[[#This Row],[Rsonde]]</calculatedColumnFormula>
    </tableColumn>
    <tableColumn id="12" xr3:uid="{BBE7535D-D054-4185-888D-94EA23519EE8}" name="Diff %" dataDxfId="106" dataCellStyle="Pourcentage">
      <calculatedColumnFormula>data_NTC_2k_3390[[#This Row],[Diff R]]/data_NTC_2k_3390[[#This Row],[Rsonde]]</calculatedColumnFormula>
    </tableColumn>
    <tableColumn id="5" xr3:uid="{2F9720A4-A0DD-4B6F-99B8-5BCDB4A2DA34}" name="Radd" dataDxfId="105">
      <calculatedColumnFormula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calculatedColumnFormula>
    </tableColumn>
    <tableColumn id="10" xr3:uid="{C314CB06-BCAD-4DFC-9647-F3CF37B8152A}" name="RaddLow" dataDxfId="104">
      <calculatedColumnFormula array="1">MAX(IF(ResValuesR24&lt;=ROUND(data_NTC_2k_3390[[#This Row],[Rsonde]],2)-IF(data_NTC_2k_3390[[#This Row],[Rsonde]]=MIN(data_NTC_2k_3390[Rsonde]),100,$D4),ResValuesR24))</calculatedColumnFormula>
    </tableColumn>
    <tableColumn id="9" xr3:uid="{5C2B165E-1CF8-4607-A9A3-F44E4CC81CC2}" name="RaddLowDiff" dataDxfId="103">
      <calculatedColumnFormula>ROUND(data_NTC_2k_3390[[#This Row],[RaddLow]]+(IF(data_NTC_2k_3390[[#This Row],[Rsonde]]=MIN(data_NTC_2k_3390[Rsonde]),0,$D4)-data_NTC_2k_3390[[#This Row],[Rsonde]]),2)</calculatedColumnFormula>
    </tableColumn>
    <tableColumn id="8" xr3:uid="{A7BD7702-3E8E-422B-92A2-E1DE5AC916EC}" name="RaddHigh" dataDxfId="102">
      <calculatedColumnFormula array="1">MIN(IF(ResValuesR24&gt;=ROUND(data_NTC_2k_3390[[#This Row],[Rsonde]],2)-IF(data_NTC_2k_3390[[#This Row],[Rsonde]]=MIN(data_NTC_2k_3390[Rsonde]),100,$D4),ResValuesR24))</calculatedColumnFormula>
    </tableColumn>
    <tableColumn id="7" xr3:uid="{BB195B01-74C6-478C-AC19-E5962E9AA4C0}" name="RaddHighDiff" dataDxfId="101">
      <calculatedColumnFormula>ROUND(data_NTC_2k_3390[[#This Row],[RaddHigh]]+(IF(data_NTC_2k_3390[[#This Row],[Rsonde]]=MIN(data_NTC_2k_3390[Rsonde]),0,$D4)-data_NTC_2k_3390[[#This Row],[Rsonde]]),2)</calculatedColumnFormula>
    </tableColumn>
    <tableColumn id="13" xr3:uid="{42B6CDB2-E8E5-404B-8F81-CF16D23A9EAC}" name="Rmes" dataDxfId="100">
      <calculatedColumnFormula array="1">IF(INDIRECT(RefCell_R77),(data_NTC_2k_3390[[#This Row],[Rpcb]]*INDIRECT(RefCell_R77))/(data_NTC_2k_3390[[#This Row],[Rpcb]]+INDIRECT(RefCell_R77)),data_NTC_2k_3390[[#This Row],[Rpcb]])</calculatedColumnFormula>
    </tableColumn>
  </tableColumns>
  <tableStyleInfo name="TableStyleMedium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A906CF9B-A46E-41DC-B766-34C25DC56706}" name="data_NTC_2k_Xavier" displayName="data_NTC_2k_Xavier" ref="A2:L34" totalsRowShown="0">
  <autoFilter ref="A2:L34" xr:uid="{A992A113-BFD5-4A1D-A993-26054A826A80}"/>
  <tableColumns count="12">
    <tableColumn id="1" xr3:uid="{C9623CC1-E2E5-4CD2-A941-989057B0C240}" name="#R"/>
    <tableColumn id="2" xr3:uid="{F9CEE74C-3F9C-4FE1-9DFA-26C5BF21B90A}" name="θ" dataDxfId="98"/>
    <tableColumn id="3" xr3:uid="{22C32EC3-C039-458A-8E1D-5481F679BBBB}" name="Rsonde" dataDxfId="97">
      <calculatedColumnFormula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calculatedColumnFormula>
    </tableColumn>
    <tableColumn id="4" xr3:uid="{0B594737-DD07-4A68-9B63-2A851B225C05}" name="Rpcb" dataDxfId="96">
      <calculatedColumnFormula array="1">INDIRECT(RefCell_Rpot)+SUM(G3:G$34)</calculatedColumnFormula>
    </tableColumn>
    <tableColumn id="6" xr3:uid="{14386042-DD40-4D95-911D-CA55F193FFA2}" name="Diff R" dataDxfId="95">
      <calculatedColumnFormula>data_NTC_2k_Xavier[[#This Row],[Rpcb]]-data_NTC_2k_Xavier[[#This Row],[Rsonde]]</calculatedColumnFormula>
    </tableColumn>
    <tableColumn id="12" xr3:uid="{BFC7E5EB-F1E8-47B2-9808-B91440BFF52E}" name="Diff %" dataDxfId="94" dataCellStyle="Pourcentage">
      <calculatedColumnFormula>data_NTC_2k_Xavier[[#This Row],[Diff R]]/data_NTC_2k_Xavier[[#This Row],[Rsonde]]</calculatedColumnFormula>
    </tableColumn>
    <tableColumn id="5" xr3:uid="{90AB42BE-DB3E-4CFB-8CD2-409F8FB6F882}" name="Radd" dataDxfId="93">
      <calculatedColumnFormula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calculatedColumnFormula>
    </tableColumn>
    <tableColumn id="10" xr3:uid="{64095A69-BA62-4330-9510-794C169AC69E}" name="RaddLow" dataDxfId="92">
      <calculatedColumnFormula array="1">MAX(IF(ResValuesR24&lt;=ROUND(data_NTC_2k_Xavier[[#This Row],[Rsonde]],2)-IF(data_NTC_2k_Xavier[[#This Row],[Rsonde]]=MIN(data_NTC_2k_Xavier[Rsonde]),100,$D4),ResValuesR24))</calculatedColumnFormula>
    </tableColumn>
    <tableColumn id="9" xr3:uid="{DBD6DCDE-AFA0-4977-8061-D187C9647B72}" name="RaddLowDiff" dataDxfId="91">
      <calculatedColumnFormula>ROUND(data_NTC_2k_Xavier[[#This Row],[RaddLow]]+(IF(data_NTC_2k_Xavier[[#This Row],[Rsonde]]=MIN(data_NTC_2k_Xavier[Rsonde]),0,$D4)-data_NTC_2k_Xavier[[#This Row],[Rsonde]]),2)</calculatedColumnFormula>
    </tableColumn>
    <tableColumn id="8" xr3:uid="{FF83EE2C-C222-4770-81D4-8B38C467212C}" name="RaddHigh" dataDxfId="90">
      <calculatedColumnFormula array="1">MIN(IF(ResValuesR24&gt;=ROUND(data_NTC_2k_Xavier[[#This Row],[Rsonde]],2)-IF(data_NTC_2k_Xavier[[#This Row],[Rsonde]]=MIN(data_NTC_2k_Xavier[Rsonde]),100,$D4),ResValuesR24))</calculatedColumnFormula>
    </tableColumn>
    <tableColumn id="7" xr3:uid="{3902799F-2B0E-4507-A5E6-D75E2E1ADC51}" name="RaddHighDiff" dataDxfId="89">
      <calculatedColumnFormula>ROUND(data_NTC_2k_Xavier[[#This Row],[RaddHigh]]+(IF(data_NTC_2k_Xavier[[#This Row],[Rsonde]]=MIN(data_NTC_2k_Xavier[Rsonde]),0,$D4)-data_NTC_2k_Xavier[[#This Row],[Rsonde]]),2)</calculatedColumnFormula>
    </tableColumn>
    <tableColumn id="13" xr3:uid="{C5BA7554-4220-4852-94FD-63B22D0BDD58}" name="Rmes" dataDxfId="88">
      <calculatedColumnFormula array="1">IF(INDIRECT(RefCell_R77),(data_NTC_2k_Xavier[[#This Row],[Rpcb]]*INDIRECT(RefCell_R77))/(data_NTC_2k_Xavier[[#This Row],[Rpcb]]+INDIRECT(RefCell_R77)),data_NTC_2k_Xavier[[#This Row],[Rpcb]])</calculatedColumnFormula>
    </tableColumn>
  </tableColumns>
  <tableStyleInfo name="TableStyleMedium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121ECB9-3CAE-43D4-9E84-A7E22865028F}" name="data_Pt100" displayName="data_Pt100" ref="A2:L34" totalsRowShown="0">
  <autoFilter ref="A2:L34" xr:uid="{A992A113-BFD5-4A1D-A993-26054A826A80}"/>
  <tableColumns count="12">
    <tableColumn id="1" xr3:uid="{4AE107E2-0A93-4B73-8BF3-9204F1DB5BA0}" name="#R"/>
    <tableColumn id="2" xr3:uid="{773BC189-6E06-402C-9011-BA9F84CEDD93}" name="θ" dataDxfId="86"/>
    <tableColumn id="3" xr3:uid="{F0436328-A1A7-438F-9269-5A0B780C6A53}" name="Rsonde" dataDxfId="85">
      <calculatedColumnFormula>data_Pt100[[#This Row],[θ]]*$N$23+$O$23</calculatedColumnFormula>
    </tableColumn>
    <tableColumn id="4" xr3:uid="{C6EB3C5C-A2E5-460A-97D0-23177294C1B5}" name="Rpcb" dataDxfId="84">
      <calculatedColumnFormula array="1">INDIRECT(RefCell_Rpot)+SUM($G$3:G3)</calculatedColumnFormula>
    </tableColumn>
    <tableColumn id="6" xr3:uid="{D0ACF46B-55C2-48E0-A806-C12171964B22}" name="Diff R" dataDxfId="83">
      <calculatedColumnFormula>data_Pt100[[#This Row],[Rpcb]]-data_Pt100[[#This Row],[Rsonde]]</calculatedColumnFormula>
    </tableColumn>
    <tableColumn id="12" xr3:uid="{8A2F1311-E6C3-4E28-9BC0-9E4E74ECEDA4}" name="Diff %" dataDxfId="82" dataCellStyle="Pourcentage">
      <calculatedColumnFormula>data_Pt100[[#This Row],[Diff R]]/data_Pt100[[#This Row],[Rsonde]]</calculatedColumnFormula>
    </tableColumn>
    <tableColumn id="5" xr3:uid="{860B981B-72EE-4874-A645-6C01777F6CE5}" name="Radd" dataDxfId="81">
      <calculatedColumnFormula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calculatedColumnFormula>
    </tableColumn>
    <tableColumn id="10" xr3:uid="{076F5DE1-9E1A-491B-BB00-6E2A845F04D8}" name="RaddLow" dataDxfId="80">
      <calculatedColumnFormula array="1">MAX(IF(ResValuesR24&lt;=ROUND(data_Pt100[[#This Row],[Rsonde]],2)-IF(data_Pt100[[#This Row],[Rsonde]]=MIN(data_Pt100[Rsonde]),100,$D2),ResValuesR24))</calculatedColumnFormula>
    </tableColumn>
    <tableColumn id="9" xr3:uid="{B30545EA-19F7-42E5-90EF-425008E5A87B}" name="RaddLowDiff" dataDxfId="79">
      <calculatedColumnFormula>ROUND(data_Pt100[[#This Row],[RaddLow]]+(IF(data_Pt100[[#This Row],[Rsonde]]=MIN(data_Pt100[Rsonde]),0,$D2)-data_Pt100[[#This Row],[Rsonde]]),2)</calculatedColumnFormula>
    </tableColumn>
    <tableColumn id="8" xr3:uid="{09A54792-A599-40AD-9100-B16CDFBD3013}" name="RaddHigh" dataDxfId="78">
      <calculatedColumnFormula array="1">MIN(IF(ResValuesR24&gt;=ROUND(data_Pt100[[#This Row],[Rsonde]],2)-IF(data_Pt100[[#This Row],[Rsonde]]=MIN(data_Pt100[Rsonde]),100,$D2),ResValuesR24))</calculatedColumnFormula>
    </tableColumn>
    <tableColumn id="7" xr3:uid="{36DF56DD-3B6C-4D4F-B500-43CC06E3B96D}" name="RaddHighDiff" dataDxfId="77">
      <calculatedColumnFormula>ROUND(data_Pt100[[#This Row],[RaddHigh]]+(IF(data_Pt100[[#This Row],[Rsonde]]=MIN(data_Pt100[Rsonde]),0,$D2)-data_Pt100[[#This Row],[Rsonde]]),2)</calculatedColumnFormula>
    </tableColumn>
    <tableColumn id="13" xr3:uid="{A62A346B-6555-4D2D-BAA4-F11C2A23CBA8}" name="Rmes" dataDxfId="76">
      <calculatedColumnFormula array="1">IF(INDIRECT(RefCell_R77),(data_Pt100[[#This Row],[Rpcb]]*INDIRECT(RefCell_R77))/(data_Pt100[[#This Row],[Rpcb]]+INDIRECT(RefCell_R77)),data_Pt100[[#This Row],[Rpcb]])</calculatedColumnFormula>
    </tableColumn>
  </tableColumns>
  <tableStyleInfo name="TableStyleMedium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A859006-9CC6-4B6B-95C6-AD68EBC32A19}" name="data_Pt1000" displayName="data_Pt1000" ref="A2:L34" totalsRowShown="0">
  <autoFilter ref="A2:L34" xr:uid="{A992A113-BFD5-4A1D-A993-26054A826A80}"/>
  <tableColumns count="12">
    <tableColumn id="1" xr3:uid="{F6B99104-E13A-49A3-851C-3EEF2565EEFA}" name="#R"/>
    <tableColumn id="2" xr3:uid="{21A618E3-59FD-48B0-8B10-9946F0B05500}" name="θ" dataDxfId="74"/>
    <tableColumn id="3" xr3:uid="{01863D99-0A56-41C5-B9A2-81F7986D3C0F}" name="Rsonde" dataDxfId="73">
      <calculatedColumnFormula>data_Pt1000[[#This Row],[θ]]*$N$23+$O$23</calculatedColumnFormula>
    </tableColumn>
    <tableColumn id="4" xr3:uid="{FACC7841-3889-47DE-976D-433ED165DF51}" name="Rpcb" dataDxfId="72">
      <calculatedColumnFormula array="1">INDIRECT(RefCell_Rpot)+SUM($G$3:G3)</calculatedColumnFormula>
    </tableColumn>
    <tableColumn id="6" xr3:uid="{B87C82C4-72CA-4BCE-9C8D-9F270B59C67B}" name="Diff R" dataDxfId="71">
      <calculatedColumnFormula>data_Pt1000[[#This Row],[Rpcb]]-data_Pt1000[[#This Row],[Rsonde]]</calculatedColumnFormula>
    </tableColumn>
    <tableColumn id="12" xr3:uid="{680C9AAD-07FA-47DE-B3EF-E0F9D3A890CC}" name="Diff %" dataDxfId="70" dataCellStyle="Pourcentage">
      <calculatedColumnFormula>data_Pt1000[[#This Row],[Diff R]]/data_Pt1000[[#This Row],[Rsonde]]</calculatedColumnFormula>
    </tableColumn>
    <tableColumn id="5" xr3:uid="{DDE0E289-FB5A-4F38-82F8-FA12A6D779DB}" name="Radd" dataDxfId="69">
      <calculatedColumnFormula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calculatedColumnFormula>
    </tableColumn>
    <tableColumn id="10" xr3:uid="{CD408E8D-CE08-43E4-B171-5003F81CDC12}" name="RaddLow" dataDxfId="68">
      <calculatedColumnFormula array="1">MAX(IF(ResValuesR24&lt;=ROUND(data_Pt1000[[#This Row],[Rsonde]],2)-IF(data_Pt1000[[#This Row],[Rsonde]]=MIN(data_Pt1000[Rsonde]),100,$D2),ResValuesR24))</calculatedColumnFormula>
    </tableColumn>
    <tableColumn id="9" xr3:uid="{C05D5BC5-450D-4DB7-8C1D-9C37673E5F9B}" name="RaddLowDiff" dataDxfId="67">
      <calculatedColumnFormula>ROUND(data_Pt1000[[#This Row],[RaddLow]]+(IF(data_Pt1000[[#This Row],[Rsonde]]=MIN(data_Pt1000[Rsonde]),0,$D2)-data_Pt1000[[#This Row],[Rsonde]]),2)</calculatedColumnFormula>
    </tableColumn>
    <tableColumn id="8" xr3:uid="{465847DF-7C53-438F-8D23-AAF870744E8D}" name="RaddHigh" dataDxfId="66">
      <calculatedColumnFormula array="1">MIN(IF(ResValuesR24&gt;=ROUND(data_Pt1000[[#This Row],[Rsonde]],2)-IF(data_Pt1000[[#This Row],[Rsonde]]=MIN(data_Pt1000[Rsonde]),100,$D2),ResValuesR24))</calculatedColumnFormula>
    </tableColumn>
    <tableColumn id="7" xr3:uid="{DD59BB0D-337C-43BA-B3BF-BA3AEDB42C8F}" name="RaddHighDiff" dataDxfId="65">
      <calculatedColumnFormula>ROUND(data_Pt1000[[#This Row],[RaddHigh]]+(IF(data_Pt1000[[#This Row],[Rsonde]]=MIN(data_Pt1000[Rsonde]),0,$D2)-data_Pt1000[[#This Row],[Rsonde]]),2)</calculatedColumnFormula>
    </tableColumn>
    <tableColumn id="13" xr3:uid="{3D6B204B-D9D0-47A3-BFC6-A52977722D89}" name="Rmes" dataDxfId="64">
      <calculatedColumnFormula array="1">IF(INDIRECT(RefCell_R77),(data_Pt1000[[#This Row],[Rpcb]]*INDIRECT(RefCell_R77))/(data_Pt1000[[#This Row],[Rpcb]]+INDIRECT(RefCell_R77)),data_Pt1000[[#This Row],[Rpcb]])</calculatedColumnFormula>
    </tableColumn>
  </tableColumns>
  <tableStyleInfo name="TableStyleMedium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697E0A3E-9D9F-4D80-8877-DA5A147E05DC}" name="data_Siemens_QAC32" displayName="data_Siemens_QAC32" ref="A2:L34" totalsRowShown="0">
  <autoFilter ref="A2:L34" xr:uid="{A992A113-BFD5-4A1D-A993-26054A826A80}"/>
  <tableColumns count="12">
    <tableColumn id="1" xr3:uid="{DC23F9CE-65DA-4C19-9ECD-F7B075C50744}" name="#R"/>
    <tableColumn id="2" xr3:uid="{48E47B94-A7D9-4B89-92B4-3AD5095F251A}" name="θ" dataDxfId="62"/>
    <tableColumn id="3" xr3:uid="{13B0E565-51C3-4B97-B7F5-30E7A812DD7E}" name="Rsonde" dataDxfId="61">
      <calculatedColumnFormula>data_Siemens_QAC32[[#This Row],[θ]]*P$21+Q$21</calculatedColumnFormula>
    </tableColumn>
    <tableColumn id="4" xr3:uid="{0B1DBCB7-EC55-41A4-B1F0-9D1270C1DC11}" name="Rpcb" dataDxfId="60">
      <calculatedColumnFormula array="1">INDIRECT(RefCell_Rpot)+SUM(G3:G$34)</calculatedColumnFormula>
    </tableColumn>
    <tableColumn id="6" xr3:uid="{BE24D12D-7D9D-4505-BDAB-5AD4D81BD099}" name="Diff R" dataDxfId="59">
      <calculatedColumnFormula>data_Siemens_QAC32[[#This Row],[Rpcb]]-data_Siemens_QAC32[[#This Row],[Rsonde]]</calculatedColumnFormula>
    </tableColumn>
    <tableColumn id="12" xr3:uid="{0F077109-8DC1-4B59-9FDA-8438026CAD87}" name="Diff %" dataDxfId="58" dataCellStyle="Pourcentage">
      <calculatedColumnFormula>data_Siemens_QAC32[[#This Row],[Diff R]]/data_Siemens_QAC32[[#This Row],[Rsonde]]</calculatedColumnFormula>
    </tableColumn>
    <tableColumn id="5" xr3:uid="{83CD65F1-F8CC-41EF-A821-D26D8FC628CD}" name="Radd" dataDxfId="57">
      <calculatedColumnFormula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calculatedColumnFormula>
    </tableColumn>
    <tableColumn id="10" xr3:uid="{460E6FAC-AA51-496F-AB9C-EC7CDAA0879E}" name="RaddLow" dataDxfId="56">
      <calculatedColumnFormula array="1">MAX(IF(ResValuesR24&lt;=ROUND(data_Siemens_QAC32[[#This Row],[Rsonde]],2)-IF(data_Siemens_QAC32[[#This Row],[Rsonde]]=MIN(data_Siemens_QAC32[Rsonde]),100,$D4),ResValuesR24))</calculatedColumnFormula>
    </tableColumn>
    <tableColumn id="9" xr3:uid="{CBCEE5E7-2512-45A2-BD0C-C2D38B00E668}" name="RaddLowDiff" dataDxfId="55">
      <calculatedColumnFormula>ROUND(data_Siemens_QAC32[[#This Row],[RaddLow]]+(IF(data_Siemens_QAC32[[#This Row],[Rsonde]]=MIN(data_Siemens_QAC32[Rsonde]),0,$D4)-data_Siemens_QAC32[[#This Row],[Rsonde]]),2)</calculatedColumnFormula>
    </tableColumn>
    <tableColumn id="8" xr3:uid="{713835EF-906B-4DD0-BD54-B793225D4298}" name="RaddHigh" dataDxfId="54">
      <calculatedColumnFormula array="1">MIN(IF(ResValuesR24&gt;=ROUND(data_Siemens_QAC32[[#This Row],[Rsonde]],2)-IF(data_Siemens_QAC32[[#This Row],[Rsonde]]=MIN(data_Siemens_QAC32[Rsonde]),100,$D4),ResValuesR24))</calculatedColumnFormula>
    </tableColumn>
    <tableColumn id="7" xr3:uid="{C9CAA85B-AE98-4404-9F47-14DFE00390A8}" name="RaddHighDiff" dataDxfId="53">
      <calculatedColumnFormula>ROUND(data_Siemens_QAC32[[#This Row],[RaddHigh]]+(IF(data_Siemens_QAC32[[#This Row],[Rsonde]]=MIN(data_Siemens_QAC32[Rsonde]),0,$D4)-data_Siemens_QAC32[[#This Row],[Rsonde]]),2)</calculatedColumnFormula>
    </tableColumn>
    <tableColumn id="13" xr3:uid="{87D918E7-738E-4E0C-B23F-1A18CFA81598}" name="Rmes" dataDxfId="52">
      <calculatedColumnFormula array="1">IF(INDIRECT(RefCell_R77),(data_Siemens_QAC32[[#This Row],[Rpcb]]*INDIRECT(RefCell_R77))/(data_Siemens_QAC32[[#This Row],[Rpcb]]+INDIRECT(RefCell_R77)),data_Siemens_QAC32[[#This Row],[Rpcb]])</calculatedColumnFormula>
    </tableColumn>
  </tableColumns>
  <tableStyleInfo name="TableStyleMedium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AE8FE40-C1B4-472B-8EEA-E5F8A438D4F3}" name="data_Viessmann_AV17" displayName="data_Viessmann_AV17" ref="A2:L34" totalsRowShown="0">
  <autoFilter ref="A2:L34" xr:uid="{A992A113-BFD5-4A1D-A993-26054A826A80}"/>
  <tableColumns count="12">
    <tableColumn id="1" xr3:uid="{C59E7399-FDA0-431C-940C-E7FB91C218B3}" name="#R"/>
    <tableColumn id="2" xr3:uid="{2C2D8022-20E1-4585-A4AB-97F089412859}" name="θ" dataDxfId="50"/>
    <tableColumn id="3" xr3:uid="{33BBB586-11B4-4B19-809D-D9B78D23FB1E}" name="Rsonde" dataDxfId="49">
      <calculatedColumnFormula>data_Viessmann_AV17[[#This Row],[θ]]*$P$24+$Q$24</calculatedColumnFormula>
    </tableColumn>
    <tableColumn id="4" xr3:uid="{6FBDCEF0-D75B-4EFC-9C15-FCE559CE54ED}" name="Rpcb" dataDxfId="48">
      <calculatedColumnFormula array="1">INDIRECT(RefCell_Rpot)+SUM($G$3:G3)</calculatedColumnFormula>
    </tableColumn>
    <tableColumn id="6" xr3:uid="{E00ECC5A-F42A-4A23-A814-187D6E61502B}" name="Diff R" dataDxfId="47">
      <calculatedColumnFormula>data_Viessmann_AV17[[#This Row],[Rpcb]]-data_Viessmann_AV17[[#This Row],[Rsonde]]</calculatedColumnFormula>
    </tableColumn>
    <tableColumn id="12" xr3:uid="{4A338F01-07FE-44E3-9FA8-50F79D63AE96}" name="Diff %" dataDxfId="46" dataCellStyle="Pourcentage">
      <calculatedColumnFormula>data_Viessmann_AV17[[#This Row],[Diff R]]/data_Viessmann_AV17[[#This Row],[Rsonde]]</calculatedColumnFormula>
    </tableColumn>
    <tableColumn id="5" xr3:uid="{7509F536-B7ED-437E-96EB-0B6A33791A37}" name="Radd" dataDxfId="45">
      <calculatedColumnFormula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calculatedColumnFormula>
    </tableColumn>
    <tableColumn id="10" xr3:uid="{1756796E-AB65-43E3-8D16-776973B7D0D7}" name="RaddLow" dataDxfId="44">
      <calculatedColumnFormula array="1">MAX(IF(ResValuesR24&lt;=ROUND(data_Viessmann_AV17[[#This Row],[Rsonde]],2)-IF(data_Viessmann_AV17[[#This Row],[Rsonde]]=MIN(data_Viessmann_AV17[Rsonde]),100,$D2),ResValuesR24))</calculatedColumnFormula>
    </tableColumn>
    <tableColumn id="9" xr3:uid="{D2BFB228-6D82-4F00-B4B8-AB553FE5BC2E}" name="RaddLowDiff" dataDxfId="43">
      <calculatedColumnFormula>ROUND(data_Viessmann_AV17[[#This Row],[RaddLow]]+(IF(data_Viessmann_AV17[[#This Row],[Rsonde]]=MIN(data_Viessmann_AV17[Rsonde]),0,$D2)-data_Viessmann_AV17[[#This Row],[Rsonde]]),2)</calculatedColumnFormula>
    </tableColumn>
    <tableColumn id="8" xr3:uid="{6DAD86A6-E6B9-46F7-A2EA-2EB146B439B0}" name="RaddHigh" dataDxfId="42">
      <calculatedColumnFormula array="1">MIN(IF(ResValuesR24&gt;=ROUND(data_Viessmann_AV17[[#This Row],[Rsonde]],2)-IF(data_Viessmann_AV17[[#This Row],[Rsonde]]=MIN(data_Viessmann_AV17[Rsonde]),100,$D2),ResValuesR24))</calculatedColumnFormula>
    </tableColumn>
    <tableColumn id="7" xr3:uid="{D03730E8-A9C9-4318-894D-D912FA3CDEFF}" name="RaddHighDiff" dataDxfId="41">
      <calculatedColumnFormula>ROUND(data_Viessmann_AV17[[#This Row],[RaddHigh]]+(IF(data_Viessmann_AV17[[#This Row],[Rsonde]]=MIN(data_Viessmann_AV17[Rsonde]),0,$D2)-data_Viessmann_AV17[[#This Row],[Rsonde]]),2)</calculatedColumnFormula>
    </tableColumn>
    <tableColumn id="13" xr3:uid="{92C67141-09D5-47EF-85E1-FF3ADA522545}" name="Rmes" dataDxfId="40">
      <calculatedColumnFormula array="1">IF(INDIRECT(RefCell_R77),(data_Viessmann_AV17[[#This Row],[Rpcb]]*INDIRECT(RefCell_R77))/(data_Viessmann_AV17[[#This Row],[Rpcb]]+INDIRECT(RefCell_R77)),data_Viessmann_AV17[[#This Row],[Rpcb]])</calculatedColumnFormula>
    </tableColumn>
  </tableColumns>
  <tableStyleInfo name="TableStyleMedium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9F00051-357C-42E2-B721-7D42C47B8AF0}" name="data_VRC_DCF_9535" displayName="data_VRC_DCF_9535" ref="A2:L34" totalsRowShown="0">
  <autoFilter ref="A2:L34" xr:uid="{A992A113-BFD5-4A1D-A993-26054A826A80}"/>
  <tableColumns count="12">
    <tableColumn id="1" xr3:uid="{48D337FB-6ED6-4216-80D2-0700D75C3224}" name="#R"/>
    <tableColumn id="2" xr3:uid="{225BEBDA-BEE0-4442-A074-E0D5011755A0}" name="θ" dataDxfId="38"/>
    <tableColumn id="3" xr3:uid="{C04777D2-C5D4-4C82-9CE8-8B307B8F3AE6}" name="Rsonde" dataDxfId="37">
      <calculatedColumnFormula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calculatedColumnFormula>
    </tableColumn>
    <tableColumn id="4" xr3:uid="{B2C292B8-276E-4328-AEAA-1541F621B978}" name="Rpcb" dataDxfId="36">
      <calculatedColumnFormula array="1">INDIRECT(RefCell_Rpot)+SUM(G3:G$34)</calculatedColumnFormula>
    </tableColumn>
    <tableColumn id="6" xr3:uid="{ACEF014D-3DD2-4C20-ABAF-BA363568779A}" name="Diff R" dataDxfId="35">
      <calculatedColumnFormula>data_VRC_DCF_9535[[#This Row],[Rpcb]]-data_VRC_DCF_9535[[#This Row],[Rsonde]]</calculatedColumnFormula>
    </tableColumn>
    <tableColumn id="12" xr3:uid="{1FEB760E-D947-49DE-A795-18824F411584}" name="Diff %" dataDxfId="34" dataCellStyle="Pourcentage">
      <calculatedColumnFormula>data_VRC_DCF_9535[[#This Row],[Diff R]]/data_VRC_DCF_9535[[#This Row],[Rsonde]]</calculatedColumnFormula>
    </tableColumn>
    <tableColumn id="5" xr3:uid="{1E5463A5-C1C3-4FE2-9A80-DA0386F4F961}" name="Radd" dataDxfId="33">
      <calculatedColumnFormula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calculatedColumnFormula>
    </tableColumn>
    <tableColumn id="10" xr3:uid="{B03DACEB-D70E-4D93-9536-5D1B5A1217EF}" name="RaddLow" dataDxfId="32">
      <calculatedColumnFormula array="1">MAX(IF(ResValuesR24&lt;=ROUND(data_VRC_DCF_9535[[#This Row],[Rsonde]],2)-IF(data_VRC_DCF_9535[[#This Row],[Rsonde]]=MIN(data_VRC_DCF_9535[Rsonde]),100,$D4),ResValuesR24))</calculatedColumnFormula>
    </tableColumn>
    <tableColumn id="9" xr3:uid="{DC955E11-1491-4435-8F03-E38A0E46F612}" name="RaddLowDiff" dataDxfId="31">
      <calculatedColumnFormula>ROUND(data_VRC_DCF_9535[[#This Row],[RaddLow]]+(IF(data_VRC_DCF_9535[[#This Row],[Rsonde]]=MIN(data_VRC_DCF_9535[Rsonde]),0,$D4)-data_VRC_DCF_9535[[#This Row],[Rsonde]]),2)</calculatedColumnFormula>
    </tableColumn>
    <tableColumn id="8" xr3:uid="{BFD12C7F-A3EE-47D2-BC03-8BE1D6F93A33}" name="RaddHigh" dataDxfId="30">
      <calculatedColumnFormula array="1">MIN(IF(ResValuesR24&gt;=ROUND(data_VRC_DCF_9535[[#This Row],[Rsonde]],2)-IF(data_VRC_DCF_9535[[#This Row],[Rsonde]]=MIN(data_VRC_DCF_9535[Rsonde]),100,$D4),ResValuesR24))</calculatedColumnFormula>
    </tableColumn>
    <tableColumn id="7" xr3:uid="{557B824D-F078-41D8-9D0A-492E33BB665A}" name="RaddHighDiff" dataDxfId="29">
      <calculatedColumnFormula>ROUND(data_VRC_DCF_9535[[#This Row],[RaddHigh]]+(IF(data_VRC_DCF_9535[[#This Row],[Rsonde]]=MIN(data_VRC_DCF_9535[Rsonde]),0,$D4)-data_VRC_DCF_9535[[#This Row],[Rsonde]]),2)</calculatedColumnFormula>
    </tableColumn>
    <tableColumn id="11" xr3:uid="{AAC2E8AB-0A63-49B4-BEE0-F3FD41F5D477}" name="Rmes" dataDxfId="28">
      <calculatedColumnFormula array="1">IF(INDIRECT(RefCell_R77),(data_VRC_DCF_9535[[#This Row],[Rpcb]]*INDIRECT(RefCell_R77))/(data_VRC_DCF_9535[[#This Row],[Rpcb]]+INDIRECT(RefCell_R77)),data_VRC_DCF_9535[[#This Row],[Rpcb]])</calculatedColumnFormula>
    </tableColumn>
  </tableColumns>
  <tableStyleInfo name="TableStyleMedium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D9EFFE3-625B-42BD-902E-C8357E9C15CB}" name="data_Template_PTC" displayName="data_Template_PTC" ref="A2:L34" totalsRowShown="0">
  <autoFilter ref="A2:L34" xr:uid="{A992A113-BFD5-4A1D-A993-26054A826A80}"/>
  <tableColumns count="12">
    <tableColumn id="1" xr3:uid="{FDAB375F-094A-4ED5-9993-07724C37F5A2}" name="#R"/>
    <tableColumn id="2" xr3:uid="{AFDA8385-2439-414F-AC15-732B3BD62F33}" name="θ" dataDxfId="26"/>
    <tableColumn id="3" xr3:uid="{00F31C38-9A83-40F2-A69A-DD462DC0FA14}" name="Rsonde" dataDxfId="25"/>
    <tableColumn id="4" xr3:uid="{A50DB382-387D-4767-B959-D879994774FC}" name="Rpcb" dataDxfId="24">
      <calculatedColumnFormula array="1">INDIRECT(RefCell_Rpot)+SUM($G$3:G3)</calculatedColumnFormula>
    </tableColumn>
    <tableColumn id="6" xr3:uid="{5985F2F7-CE85-46CB-B33E-F42BB5DAFBDC}" name="Diff R" dataDxfId="23">
      <calculatedColumnFormula>data_Template_PTC[[#This Row],[Rpcb]]-data_Template_PTC[[#This Row],[Rsonde]]</calculatedColumnFormula>
    </tableColumn>
    <tableColumn id="12" xr3:uid="{2E2ECFA6-F766-4060-862C-E5E0EBE4E860}" name="Diff %" dataDxfId="22" dataCellStyle="Pourcentage">
      <calculatedColumnFormula>data_Template_PTC[[#This Row],[Diff R]]/data_Template_PTC[[#This Row],[Rsonde]]</calculatedColumnFormula>
    </tableColumn>
    <tableColumn id="5" xr3:uid="{877BC199-BE9B-4A67-8847-202854FB9DD7}" name="Radd" dataDxfId="21">
      <calculatedColumnFormula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calculatedColumnFormula>
    </tableColumn>
    <tableColumn id="10" xr3:uid="{E5E90564-0DE7-4C9A-BF00-A8AB706B8E1D}" name="RaddLow" dataDxfId="20">
      <calculatedColumnFormula array="1">MAX(IF(ResValuesR24&lt;=ROUND(data_Template_PTC[[#This Row],[Rsonde]],2)-IF(data_Template_PTC[[#This Row],[Rsonde]]=MIN(data_Template_PTC[Rsonde]),100,$D2),ResValuesR24))</calculatedColumnFormula>
    </tableColumn>
    <tableColumn id="9" xr3:uid="{E03F9C9B-28AF-4AA5-B0BF-1F06823CB3EB}" name="RaddLowDiff" dataDxfId="19">
      <calculatedColumnFormula>ROUND(data_Template_PTC[[#This Row],[RaddLow]]+(IF(data_Template_PTC[[#This Row],[Rsonde]]=MIN(data_Template_PTC[Rsonde]),0,$D2)-data_Template_PTC[[#This Row],[Rsonde]]),2)</calculatedColumnFormula>
    </tableColumn>
    <tableColumn id="8" xr3:uid="{5841C6A3-F013-4E3B-81FC-CC578C9E3CBB}" name="RaddHigh" dataDxfId="18">
      <calculatedColumnFormula array="1">MIN(IF(ResValuesR24&gt;=ROUND(data_Template_PTC[[#This Row],[Rsonde]],2)-IF(data_Template_PTC[[#This Row],[Rsonde]]=MIN(data_Template_PTC[Rsonde]),100,$D2),ResValuesR24))</calculatedColumnFormula>
    </tableColumn>
    <tableColumn id="7" xr3:uid="{7D3A07D5-67C6-4ABD-80B4-C1544410E3AA}" name="RaddHighDiff" dataDxfId="17">
      <calculatedColumnFormula>ROUND(data_Template_PTC[[#This Row],[RaddHigh]]+(IF(data_Template_PTC[[#This Row],[Rsonde]]=MIN(data_Template_PTC[Rsonde]),0,$D2)-data_Template_PTC[[#This Row],[Rsonde]]),2)</calculatedColumnFormula>
    </tableColumn>
    <tableColumn id="13" xr3:uid="{C2524BD6-6F17-4D28-B4A1-F6080BF776BA}" name="Rmes" dataDxfId="16">
      <calculatedColumnFormula array="1">IF(INDIRECT(RefCell_R77),(data_Template_PTC[[#This Row],[Rpcb]]*INDIRECT(RefCell_R77))/(data_Template_PTC[[#This Row],[Rpcb]]+INDIRECT(RefCell_R77)),data_Template_PTC[[#This Row],[Rpcb]])</calculatedColumnFormula>
    </tableColumn>
  </tableColumns>
  <tableStyleInfo name="TableStyleMedium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A57E83-3466-45CF-BB7D-20F93CFAE253}" name="data_Template_NTC" displayName="data_Template_NTC" ref="A2:L34" totalsRowShown="0">
  <autoFilter ref="A2:L34" xr:uid="{A992A113-BFD5-4A1D-A993-26054A826A80}"/>
  <tableColumns count="12">
    <tableColumn id="1" xr3:uid="{68394472-271A-43F0-A607-445C996EBA84}" name="#R"/>
    <tableColumn id="2" xr3:uid="{C416DFF7-F86C-4860-AEF9-628EECFD1667}" name="θ" dataDxfId="14"/>
    <tableColumn id="3" xr3:uid="{C0ED3B2B-BA9A-4AB5-B70C-7B170BA7504E}" name="Rsonde" dataDxfId="13"/>
    <tableColumn id="4" xr3:uid="{6742471C-59D9-4443-8841-8F6777B0FB9C}" name="Rpcb" dataDxfId="12">
      <calculatedColumnFormula array="1">INDIRECT(RefCell_Rpot)+SUM(G3:G$34)</calculatedColumnFormula>
    </tableColumn>
    <tableColumn id="6" xr3:uid="{1A02B291-E396-4FF6-9742-5D62BEF69B4D}" name="Diff R" dataDxfId="11">
      <calculatedColumnFormula>data_Template_NTC[[#This Row],[Rpcb]]-data_Template_NTC[[#This Row],[Rsonde]]</calculatedColumnFormula>
    </tableColumn>
    <tableColumn id="12" xr3:uid="{065045E6-F588-48A1-82BD-810EB5F6E019}" name="Diff %" dataDxfId="10" dataCellStyle="Pourcentage">
      <calculatedColumnFormula>data_Template_NTC[[#This Row],[Diff R]]/data_Template_NTC[[#This Row],[Rsonde]]</calculatedColumnFormula>
    </tableColumn>
    <tableColumn id="5" xr3:uid="{9A5DDEEF-0C4F-410D-AE94-BE2A9BC4C3CB}" name="Radd" dataDxfId="9">
      <calculatedColumnFormula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calculatedColumnFormula>
    </tableColumn>
    <tableColumn id="10" xr3:uid="{5ADB9627-8840-4728-A25E-9344B30E2144}" name="RaddLow" dataDxfId="8">
      <calculatedColumnFormula array="1">MAX(IF(ResValuesR24&lt;=ROUND(data_Template_NTC[[#This Row],[Rsonde]],2)-IF(data_Template_NTC[[#This Row],[Rsonde]]=MIN(data_Template_NTC[Rsonde]),100,$D4),ResValuesR24))</calculatedColumnFormula>
    </tableColumn>
    <tableColumn id="9" xr3:uid="{26E5069E-5673-4EA2-B81D-873B88953B0A}" name="RaddLowDiff" dataDxfId="7">
      <calculatedColumnFormula>ROUND(data_Template_NTC[[#This Row],[RaddLow]]+(IF(data_Template_NTC[[#This Row],[Rsonde]]=MIN(data_Template_NTC[Rsonde]),0,$D4)-data_Template_NTC[[#This Row],[Rsonde]]),2)</calculatedColumnFormula>
    </tableColumn>
    <tableColumn id="8" xr3:uid="{9A670EF2-F755-4591-BCB0-6532704B4CB7}" name="RaddHigh" dataDxfId="6">
      <calculatedColumnFormula array="1">MIN(IF(ResValuesR24&gt;=ROUND(data_Template_NTC[[#This Row],[Rsonde]],2)-IF(data_Template_NTC[[#This Row],[Rsonde]]=MIN(data_Template_NTC[Rsonde]),100,$D4),ResValuesR24))</calculatedColumnFormula>
    </tableColumn>
    <tableColumn id="7" xr3:uid="{841844A0-4A6F-4C63-AF0F-1CE5BF35C031}" name="RaddHighDiff" dataDxfId="5">
      <calculatedColumnFormula>ROUND(data_Template_NTC[[#This Row],[RaddHigh]]+(IF(data_Template_NTC[[#This Row],[Rsonde]]=MIN(data_Template_NTC[Rsonde]),0,$D4)-data_Template_NTC[[#This Row],[Rsonde]]),2)</calculatedColumnFormula>
    </tableColumn>
    <tableColumn id="13" xr3:uid="{966B42B5-ACF1-4F43-ABA4-1CEA753BE5DA}" name="Rmes" dataDxfId="4">
      <calculatedColumnFormula array="1">IF(INDIRECT(RefCell_R77),(data_Template_NTC[[#This Row],[Rpcb]]*INDIRECT(RefCell_R77))/(data_Template_NTC[[#This Row],[Rpcb]]+INDIRECT(RefCell_R77)),data_Template_NTC[[#This Row],[Rpcb]])</calculatedColumnFormula>
    </tableColumn>
  </tableColumns>
  <tableStyleInfo name="TableStyleMedium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5FD0F90-17E4-48FE-AB1B-E5BF04AE0783}" name="SensorTypeList" displayName="SensorTypeList" ref="A2:B19" totalsRowShown="0" headerRowDxfId="3" dataDxfId="2">
  <autoFilter ref="A2:B19" xr:uid="{25FD0F90-17E4-48FE-AB1B-E5BF04AE0783}"/>
  <sortState xmlns:xlrd2="http://schemas.microsoft.com/office/spreadsheetml/2017/richdata2" ref="A3:B19">
    <sortCondition ref="A2:A6"/>
  </sortState>
  <tableColumns count="2">
    <tableColumn id="1" xr3:uid="{6903EFD3-0755-443E-91A3-154357FECDD8}" name="Name" dataDxfId="1"/>
    <tableColumn id="2" xr3:uid="{5DE61275-D307-46F9-81B6-30E6A8598F4E}" name="Table Name" dataDxfId="0">
      <calculatedColumnFormula>"data_"&amp;SUBSTITUTE(SUBSTITUTE(A3," ","_"),"-","_")</calculatedColumnFormula>
    </tableColumn>
  </tableColumns>
  <tableStyleInfo name="TableStyleLight8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5E2AFF8-7B3F-40FB-86E1-367CEDD67D87}" name="TableR24" displayName="TableR24" ref="D2:G146" totalsRowShown="0">
  <autoFilter ref="D2:G146" xr:uid="{05E2AFF8-7B3F-40FB-86E1-367CEDD67D87}"/>
  <tableColumns count="4">
    <tableColumn id="1" xr3:uid="{BEF83DD5-6096-4D15-B479-1E9D5E3F6C1F}" name="Decade"/>
    <tableColumn id="2" xr3:uid="{671BDA85-E666-4CEC-9051-D17F9C6ACE6C}" name="#"/>
    <tableColumn id="3" xr3:uid="{E99061F3-D3DF-4E5D-BCD6-88C112B09A0D}" name="R"/>
    <tableColumn id="4" xr3:uid="{F25E3AD3-5EC0-4737-8885-6FE2C3ACE301}" name="Ref Mouser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TargetMode="External"/><Relationship Id="rId5" Type="http://schemas.openxmlformats.org/officeDocument/2006/relationships/comments" Target="../comments2.xml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13" Type="http://schemas.openxmlformats.org/officeDocument/2006/relationships/ctrlProp" Target="../ctrlProps/ctrlProp2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15.xml"/><Relationship Id="rId12" Type="http://schemas.openxmlformats.org/officeDocument/2006/relationships/ctrlProp" Target="../ctrlProps/ctrlProp2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4.xml"/><Relationship Id="rId11" Type="http://schemas.openxmlformats.org/officeDocument/2006/relationships/ctrlProp" Target="../ctrlProps/ctrlProp19.xml"/><Relationship Id="rId5" Type="http://schemas.openxmlformats.org/officeDocument/2006/relationships/ctrlProp" Target="../ctrlProps/ctrlProp13.xml"/><Relationship Id="rId10" Type="http://schemas.openxmlformats.org/officeDocument/2006/relationships/ctrlProp" Target="../ctrlProps/ctrlProp18.xml"/><Relationship Id="rId4" Type="http://schemas.openxmlformats.org/officeDocument/2006/relationships/ctrlProp" Target="../ctrlProps/ctrlProp12.xml"/><Relationship Id="rId9" Type="http://schemas.openxmlformats.org/officeDocument/2006/relationships/ctrlProp" Target="../ctrlProps/ctrlProp17.xml"/><Relationship Id="rId1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13" Type="http://schemas.openxmlformats.org/officeDocument/2006/relationships/ctrlProp" Target="../ctrlProps/ctrlProp31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5.xml"/><Relationship Id="rId12" Type="http://schemas.openxmlformats.org/officeDocument/2006/relationships/ctrlProp" Target="../ctrlProps/ctrlProp3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4.xml"/><Relationship Id="rId11" Type="http://schemas.openxmlformats.org/officeDocument/2006/relationships/ctrlProp" Target="../ctrlProps/ctrlProp29.xml"/><Relationship Id="rId5" Type="http://schemas.openxmlformats.org/officeDocument/2006/relationships/ctrlProp" Target="../ctrlProps/ctrlProp23.xml"/><Relationship Id="rId10" Type="http://schemas.openxmlformats.org/officeDocument/2006/relationships/ctrlProp" Target="../ctrlProps/ctrlProp28.xml"/><Relationship Id="rId4" Type="http://schemas.openxmlformats.org/officeDocument/2006/relationships/ctrlProp" Target="../ctrlProps/ctrlProp22.xml"/><Relationship Id="rId9" Type="http://schemas.openxmlformats.org/officeDocument/2006/relationships/ctrlProp" Target="../ctrlProps/ctrlProp27.xml"/><Relationship Id="rId14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13" Type="http://schemas.openxmlformats.org/officeDocument/2006/relationships/table" Target="../tables/table7.xml"/><Relationship Id="rId3" Type="http://schemas.openxmlformats.org/officeDocument/2006/relationships/printerSettings" Target="../printerSettings/printerSettings10.bin"/><Relationship Id="rId7" Type="http://schemas.openxmlformats.org/officeDocument/2006/relationships/ctrlProp" Target="../ctrlProps/ctrlProp33.xml"/><Relationship Id="rId12" Type="http://schemas.openxmlformats.org/officeDocument/2006/relationships/ctrlProp" Target="../ctrlProps/ctrlProp38.xml"/><Relationship Id="rId2" Type="http://schemas.openxmlformats.org/officeDocument/2006/relationships/hyperlink" Target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TargetMode="External"/><Relationship Id="rId1" Type="http://schemas.openxmlformats.org/officeDocument/2006/relationships/hyperlink" Target="https://ckm-content.se.com/ckmContent/sfc/servlet.shepherd/document/download/0691H00000H180lQAB" TargetMode="External"/><Relationship Id="rId6" Type="http://schemas.openxmlformats.org/officeDocument/2006/relationships/ctrlProp" Target="../ctrlProps/ctrlProp32.xml"/><Relationship Id="rId11" Type="http://schemas.openxmlformats.org/officeDocument/2006/relationships/ctrlProp" Target="../ctrlProps/ctrlProp37.xml"/><Relationship Id="rId5" Type="http://schemas.openxmlformats.org/officeDocument/2006/relationships/vmlDrawing" Target="../drawings/vmlDrawing9.vml"/><Relationship Id="rId10" Type="http://schemas.openxmlformats.org/officeDocument/2006/relationships/ctrlProp" Target="../ctrlProps/ctrlProp36.xml"/><Relationship Id="rId4" Type="http://schemas.openxmlformats.org/officeDocument/2006/relationships/drawing" Target="../drawings/drawing8.xml"/><Relationship Id="rId9" Type="http://schemas.openxmlformats.org/officeDocument/2006/relationships/ctrlProp" Target="../ctrlProps/ctrlProp35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13" Type="http://schemas.openxmlformats.org/officeDocument/2006/relationships/ctrlProp" Target="../ctrlProps/ctrlProp46.xml"/><Relationship Id="rId3" Type="http://schemas.openxmlformats.org/officeDocument/2006/relationships/printerSettings" Target="../printerSettings/printerSettings11.bin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2" Type="http://schemas.openxmlformats.org/officeDocument/2006/relationships/hyperlink" Target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TargetMode="External"/><Relationship Id="rId16" Type="http://schemas.openxmlformats.org/officeDocument/2006/relationships/table" Target="../tables/table8.xml"/><Relationship Id="rId1" Type="http://schemas.openxmlformats.org/officeDocument/2006/relationships/hyperlink" Target="https://ckm-content.se.com/ckmContent/sfc/servlet.shepherd/document/download/0691H00000H17fPQAR" TargetMode="External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5" Type="http://schemas.openxmlformats.org/officeDocument/2006/relationships/vmlDrawing" Target="../drawings/vmlDrawing10.vml"/><Relationship Id="rId15" Type="http://schemas.openxmlformats.org/officeDocument/2006/relationships/ctrlProp" Target="../ctrlProps/ctrlProp48.xml"/><Relationship Id="rId10" Type="http://schemas.openxmlformats.org/officeDocument/2006/relationships/ctrlProp" Target="../ctrlProps/ctrlProp43.xml"/><Relationship Id="rId4" Type="http://schemas.openxmlformats.org/officeDocument/2006/relationships/drawing" Target="../drawings/drawing9.xml"/><Relationship Id="rId9" Type="http://schemas.openxmlformats.org/officeDocument/2006/relationships/ctrlProp" Target="../ctrlProps/ctrlProp42.xml"/><Relationship Id="rId14" Type="http://schemas.openxmlformats.org/officeDocument/2006/relationships/ctrlProp" Target="../ctrlProps/ctrlProp47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13" Type="http://schemas.openxmlformats.org/officeDocument/2006/relationships/ctrlProp" Target="../ctrlProps/ctrlProp58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52.xml"/><Relationship Id="rId12" Type="http://schemas.openxmlformats.org/officeDocument/2006/relationships/ctrlProp" Target="../ctrlProps/ctrlProp57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51.xml"/><Relationship Id="rId11" Type="http://schemas.openxmlformats.org/officeDocument/2006/relationships/ctrlProp" Target="../ctrlProps/ctrlProp56.xml"/><Relationship Id="rId5" Type="http://schemas.openxmlformats.org/officeDocument/2006/relationships/ctrlProp" Target="../ctrlProps/ctrlProp50.xml"/><Relationship Id="rId10" Type="http://schemas.openxmlformats.org/officeDocument/2006/relationships/ctrlProp" Target="../ctrlProps/ctrlProp55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Relationship Id="rId14" Type="http://schemas.openxmlformats.org/officeDocument/2006/relationships/table" Target="../tables/table9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3.xml"/><Relationship Id="rId13" Type="http://schemas.openxmlformats.org/officeDocument/2006/relationships/ctrlProp" Target="../ctrlProps/ctrlProp68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62.xml"/><Relationship Id="rId12" Type="http://schemas.openxmlformats.org/officeDocument/2006/relationships/ctrlProp" Target="../ctrlProps/ctrlProp67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1.xml"/><Relationship Id="rId11" Type="http://schemas.openxmlformats.org/officeDocument/2006/relationships/ctrlProp" Target="../ctrlProps/ctrlProp66.xml"/><Relationship Id="rId5" Type="http://schemas.openxmlformats.org/officeDocument/2006/relationships/ctrlProp" Target="../ctrlProps/ctrlProp60.xml"/><Relationship Id="rId10" Type="http://schemas.openxmlformats.org/officeDocument/2006/relationships/ctrlProp" Target="../ctrlProps/ctrlProp65.xml"/><Relationship Id="rId4" Type="http://schemas.openxmlformats.org/officeDocument/2006/relationships/ctrlProp" Target="../ctrlProps/ctrlProp59.xml"/><Relationship Id="rId9" Type="http://schemas.openxmlformats.org/officeDocument/2006/relationships/ctrlProp" Target="../ctrlProps/ctrlProp64.xml"/><Relationship Id="rId14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3.xml"/><Relationship Id="rId13" Type="http://schemas.openxmlformats.org/officeDocument/2006/relationships/ctrlProp" Target="../ctrlProps/ctrlProp78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72.xml"/><Relationship Id="rId12" Type="http://schemas.openxmlformats.org/officeDocument/2006/relationships/ctrlProp" Target="../ctrlProps/ctrlProp7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71.xml"/><Relationship Id="rId11" Type="http://schemas.openxmlformats.org/officeDocument/2006/relationships/ctrlProp" Target="../ctrlProps/ctrlProp76.xml"/><Relationship Id="rId5" Type="http://schemas.openxmlformats.org/officeDocument/2006/relationships/ctrlProp" Target="../ctrlProps/ctrlProp70.xml"/><Relationship Id="rId10" Type="http://schemas.openxmlformats.org/officeDocument/2006/relationships/ctrlProp" Target="../ctrlProps/ctrlProp75.xml"/><Relationship Id="rId4" Type="http://schemas.openxmlformats.org/officeDocument/2006/relationships/ctrlProp" Target="../ctrlProps/ctrlProp69.xml"/><Relationship Id="rId9" Type="http://schemas.openxmlformats.org/officeDocument/2006/relationships/ctrlProp" Target="../ctrlProps/ctrlProp74.xml"/><Relationship Id="rId14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2.xml"/><Relationship Id="rId13" Type="http://schemas.openxmlformats.org/officeDocument/2006/relationships/ctrlProp" Target="../ctrlProps/ctrlProp87.xml"/><Relationship Id="rId3" Type="http://schemas.openxmlformats.org/officeDocument/2006/relationships/drawing" Target="../drawings/drawing13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TargetMode="External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5" Type="http://schemas.openxmlformats.org/officeDocument/2006/relationships/ctrlProp" Target="../ctrlProps/ctrlProp79.xml"/><Relationship Id="rId10" Type="http://schemas.openxmlformats.org/officeDocument/2006/relationships/ctrlProp" Target="../ctrlProps/ctrlProp84.xml"/><Relationship Id="rId4" Type="http://schemas.openxmlformats.org/officeDocument/2006/relationships/vmlDrawing" Target="../drawings/vmlDrawing14.vml"/><Relationship Id="rId9" Type="http://schemas.openxmlformats.org/officeDocument/2006/relationships/ctrlProp" Target="../ctrlProps/ctrlProp83.xml"/><Relationship Id="rId14" Type="http://schemas.openxmlformats.org/officeDocument/2006/relationships/table" Target="../tables/table12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2.xml"/><Relationship Id="rId13" Type="http://schemas.openxmlformats.org/officeDocument/2006/relationships/ctrlProp" Target="../ctrlProps/ctrlProp97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91.xml"/><Relationship Id="rId12" Type="http://schemas.openxmlformats.org/officeDocument/2006/relationships/ctrlProp" Target="../ctrlProps/ctrlProp96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90.xml"/><Relationship Id="rId11" Type="http://schemas.openxmlformats.org/officeDocument/2006/relationships/ctrlProp" Target="../ctrlProps/ctrlProp95.xml"/><Relationship Id="rId5" Type="http://schemas.openxmlformats.org/officeDocument/2006/relationships/ctrlProp" Target="../ctrlProps/ctrlProp89.xml"/><Relationship Id="rId10" Type="http://schemas.openxmlformats.org/officeDocument/2006/relationships/ctrlProp" Target="../ctrlProps/ctrlProp94.xml"/><Relationship Id="rId4" Type="http://schemas.openxmlformats.org/officeDocument/2006/relationships/ctrlProp" Target="../ctrlProps/ctrlProp88.xml"/><Relationship Id="rId9" Type="http://schemas.openxmlformats.org/officeDocument/2006/relationships/ctrlProp" Target="../ctrlProps/ctrlProp93.xml"/><Relationship Id="rId14" Type="http://schemas.openxmlformats.org/officeDocument/2006/relationships/table" Target="../tables/table13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2.xml"/><Relationship Id="rId3" Type="http://schemas.openxmlformats.org/officeDocument/2006/relationships/vmlDrawing" Target="../drawings/vmlDrawing16.vml"/><Relationship Id="rId7" Type="http://schemas.openxmlformats.org/officeDocument/2006/relationships/ctrlProp" Target="../ctrlProps/ctrlProp101.xml"/><Relationship Id="rId12" Type="http://schemas.openxmlformats.org/officeDocument/2006/relationships/table" Target="../tables/table14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00.xml"/><Relationship Id="rId11" Type="http://schemas.openxmlformats.org/officeDocument/2006/relationships/ctrlProp" Target="../ctrlProps/ctrlProp105.xml"/><Relationship Id="rId5" Type="http://schemas.openxmlformats.org/officeDocument/2006/relationships/ctrlProp" Target="../ctrlProps/ctrlProp99.xml"/><Relationship Id="rId10" Type="http://schemas.openxmlformats.org/officeDocument/2006/relationships/ctrlProp" Target="../ctrlProps/ctrlProp104.xml"/><Relationship Id="rId4" Type="http://schemas.openxmlformats.org/officeDocument/2006/relationships/ctrlProp" Target="../ctrlProps/ctrlProp98.xml"/><Relationship Id="rId9" Type="http://schemas.openxmlformats.org/officeDocument/2006/relationships/ctrlProp" Target="../ctrlProps/ctrlProp103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9.xml"/><Relationship Id="rId13" Type="http://schemas.openxmlformats.org/officeDocument/2006/relationships/ctrlProp" Target="../ctrlProps/ctrlProp114.xml"/><Relationship Id="rId3" Type="http://schemas.openxmlformats.org/officeDocument/2006/relationships/drawing" Target="../drawings/drawing16.xml"/><Relationship Id="rId7" Type="http://schemas.openxmlformats.org/officeDocument/2006/relationships/ctrlProp" Target="../ctrlProps/ctrlProp108.xml"/><Relationship Id="rId12" Type="http://schemas.openxmlformats.org/officeDocument/2006/relationships/ctrlProp" Target="../ctrlProps/ctrlProp113.xml"/><Relationship Id="rId2" Type="http://schemas.openxmlformats.org/officeDocument/2006/relationships/printerSettings" Target="../printerSettings/printerSettings18.bin"/><Relationship Id="rId1" Type="http://schemas.openxmlformats.org/officeDocument/2006/relationships/hyperlink" Target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TargetMode="External"/><Relationship Id="rId6" Type="http://schemas.openxmlformats.org/officeDocument/2006/relationships/ctrlProp" Target="../ctrlProps/ctrlProp107.xml"/><Relationship Id="rId11" Type="http://schemas.openxmlformats.org/officeDocument/2006/relationships/ctrlProp" Target="../ctrlProps/ctrlProp112.xml"/><Relationship Id="rId5" Type="http://schemas.openxmlformats.org/officeDocument/2006/relationships/ctrlProp" Target="../ctrlProps/ctrlProp106.xml"/><Relationship Id="rId10" Type="http://schemas.openxmlformats.org/officeDocument/2006/relationships/ctrlProp" Target="../ctrlProps/ctrlProp111.xml"/><Relationship Id="rId4" Type="http://schemas.openxmlformats.org/officeDocument/2006/relationships/vmlDrawing" Target="../drawings/vmlDrawing17.vml"/><Relationship Id="rId9" Type="http://schemas.openxmlformats.org/officeDocument/2006/relationships/ctrlProp" Target="../ctrlProps/ctrlProp110.xml"/><Relationship Id="rId14" Type="http://schemas.openxmlformats.org/officeDocument/2006/relationships/table" Target="../tables/table15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9.xml"/><Relationship Id="rId13" Type="http://schemas.openxmlformats.org/officeDocument/2006/relationships/ctrlProp" Target="../ctrlProps/ctrlProp124.xml"/><Relationship Id="rId3" Type="http://schemas.openxmlformats.org/officeDocument/2006/relationships/vmlDrawing" Target="../drawings/vmlDrawing18.vml"/><Relationship Id="rId7" Type="http://schemas.openxmlformats.org/officeDocument/2006/relationships/ctrlProp" Target="../ctrlProps/ctrlProp118.xml"/><Relationship Id="rId12" Type="http://schemas.openxmlformats.org/officeDocument/2006/relationships/ctrlProp" Target="../ctrlProps/ctrlProp123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117.xml"/><Relationship Id="rId11" Type="http://schemas.openxmlformats.org/officeDocument/2006/relationships/ctrlProp" Target="../ctrlProps/ctrlProp122.xml"/><Relationship Id="rId5" Type="http://schemas.openxmlformats.org/officeDocument/2006/relationships/ctrlProp" Target="../ctrlProps/ctrlProp116.xml"/><Relationship Id="rId10" Type="http://schemas.openxmlformats.org/officeDocument/2006/relationships/ctrlProp" Target="../ctrlProps/ctrlProp121.xml"/><Relationship Id="rId4" Type="http://schemas.openxmlformats.org/officeDocument/2006/relationships/ctrlProp" Target="../ctrlProps/ctrlProp115.xml"/><Relationship Id="rId9" Type="http://schemas.openxmlformats.org/officeDocument/2006/relationships/ctrlProp" Target="../ctrlProps/ctrlProp120.xml"/><Relationship Id="rId14" Type="http://schemas.openxmlformats.org/officeDocument/2006/relationships/table" Target="../tables/table16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9.xml"/><Relationship Id="rId13" Type="http://schemas.openxmlformats.org/officeDocument/2006/relationships/ctrlProp" Target="../ctrlProps/ctrlProp134.xml"/><Relationship Id="rId3" Type="http://schemas.openxmlformats.org/officeDocument/2006/relationships/vmlDrawing" Target="../drawings/vmlDrawing19.vml"/><Relationship Id="rId7" Type="http://schemas.openxmlformats.org/officeDocument/2006/relationships/ctrlProp" Target="../ctrlProps/ctrlProp128.xml"/><Relationship Id="rId12" Type="http://schemas.openxmlformats.org/officeDocument/2006/relationships/ctrlProp" Target="../ctrlProps/ctrlProp133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127.xml"/><Relationship Id="rId11" Type="http://schemas.openxmlformats.org/officeDocument/2006/relationships/ctrlProp" Target="../ctrlProps/ctrlProp132.xml"/><Relationship Id="rId5" Type="http://schemas.openxmlformats.org/officeDocument/2006/relationships/ctrlProp" Target="../ctrlProps/ctrlProp126.xml"/><Relationship Id="rId10" Type="http://schemas.openxmlformats.org/officeDocument/2006/relationships/ctrlProp" Target="../ctrlProps/ctrlProp131.xml"/><Relationship Id="rId4" Type="http://schemas.openxmlformats.org/officeDocument/2006/relationships/ctrlProp" Target="../ctrlProps/ctrlProp125.xml"/><Relationship Id="rId9" Type="http://schemas.openxmlformats.org/officeDocument/2006/relationships/ctrlProp" Target="../ctrlProps/ctrlProp130.xml"/><Relationship Id="rId14" Type="http://schemas.openxmlformats.org/officeDocument/2006/relationships/table" Target="../tables/table17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9.xml"/><Relationship Id="rId13" Type="http://schemas.openxmlformats.org/officeDocument/2006/relationships/ctrlProp" Target="../ctrlProps/ctrlProp144.xml"/><Relationship Id="rId3" Type="http://schemas.openxmlformats.org/officeDocument/2006/relationships/vmlDrawing" Target="../drawings/vmlDrawing20.vml"/><Relationship Id="rId7" Type="http://schemas.openxmlformats.org/officeDocument/2006/relationships/ctrlProp" Target="../ctrlProps/ctrlProp138.xml"/><Relationship Id="rId12" Type="http://schemas.openxmlformats.org/officeDocument/2006/relationships/ctrlProp" Target="../ctrlProps/ctrlProp143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137.xml"/><Relationship Id="rId11" Type="http://schemas.openxmlformats.org/officeDocument/2006/relationships/ctrlProp" Target="../ctrlProps/ctrlProp142.xml"/><Relationship Id="rId5" Type="http://schemas.openxmlformats.org/officeDocument/2006/relationships/ctrlProp" Target="../ctrlProps/ctrlProp136.xml"/><Relationship Id="rId10" Type="http://schemas.openxmlformats.org/officeDocument/2006/relationships/ctrlProp" Target="../ctrlProps/ctrlProp141.xml"/><Relationship Id="rId4" Type="http://schemas.openxmlformats.org/officeDocument/2006/relationships/ctrlProp" Target="../ctrlProps/ctrlProp135.xml"/><Relationship Id="rId9" Type="http://schemas.openxmlformats.org/officeDocument/2006/relationships/ctrlProp" Target="../ctrlProps/ctrlProp140.xml"/><Relationship Id="rId14" Type="http://schemas.openxmlformats.org/officeDocument/2006/relationships/table" Target="../tables/table18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9.xml"/><Relationship Id="rId13" Type="http://schemas.openxmlformats.org/officeDocument/2006/relationships/ctrlProp" Target="../ctrlProps/ctrlProp154.xml"/><Relationship Id="rId3" Type="http://schemas.openxmlformats.org/officeDocument/2006/relationships/vmlDrawing" Target="../drawings/vmlDrawing21.vml"/><Relationship Id="rId7" Type="http://schemas.openxmlformats.org/officeDocument/2006/relationships/ctrlProp" Target="../ctrlProps/ctrlProp148.xml"/><Relationship Id="rId12" Type="http://schemas.openxmlformats.org/officeDocument/2006/relationships/ctrlProp" Target="../ctrlProps/ctrlProp15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147.xml"/><Relationship Id="rId11" Type="http://schemas.openxmlformats.org/officeDocument/2006/relationships/ctrlProp" Target="../ctrlProps/ctrlProp152.xml"/><Relationship Id="rId5" Type="http://schemas.openxmlformats.org/officeDocument/2006/relationships/ctrlProp" Target="../ctrlProps/ctrlProp146.xml"/><Relationship Id="rId10" Type="http://schemas.openxmlformats.org/officeDocument/2006/relationships/ctrlProp" Target="../ctrlProps/ctrlProp151.xml"/><Relationship Id="rId4" Type="http://schemas.openxmlformats.org/officeDocument/2006/relationships/ctrlProp" Target="../ctrlProps/ctrlProp145.xml"/><Relationship Id="rId9" Type="http://schemas.openxmlformats.org/officeDocument/2006/relationships/ctrlProp" Target="../ctrlProps/ctrlProp150.xml"/><Relationship Id="rId14" Type="http://schemas.openxmlformats.org/officeDocument/2006/relationships/table" Target="../tables/table19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8.xml"/><Relationship Id="rId13" Type="http://schemas.openxmlformats.org/officeDocument/2006/relationships/ctrlProp" Target="../ctrlProps/ctrlProp163.xml"/><Relationship Id="rId3" Type="http://schemas.openxmlformats.org/officeDocument/2006/relationships/drawing" Target="../drawings/drawing21.xml"/><Relationship Id="rId7" Type="http://schemas.openxmlformats.org/officeDocument/2006/relationships/ctrlProp" Target="../ctrlProps/ctrlProp157.xml"/><Relationship Id="rId12" Type="http://schemas.openxmlformats.org/officeDocument/2006/relationships/ctrlProp" Target="../ctrlProps/ctrlProp162.xml"/><Relationship Id="rId2" Type="http://schemas.openxmlformats.org/officeDocument/2006/relationships/printerSettings" Target="../printerSettings/printerSettings23.bin"/><Relationship Id="rId1" Type="http://schemas.openxmlformats.org/officeDocument/2006/relationships/hyperlink" Target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TargetMode="External"/><Relationship Id="rId6" Type="http://schemas.openxmlformats.org/officeDocument/2006/relationships/ctrlProp" Target="../ctrlProps/ctrlProp156.xml"/><Relationship Id="rId11" Type="http://schemas.openxmlformats.org/officeDocument/2006/relationships/ctrlProp" Target="../ctrlProps/ctrlProp161.xml"/><Relationship Id="rId5" Type="http://schemas.openxmlformats.org/officeDocument/2006/relationships/ctrlProp" Target="../ctrlProps/ctrlProp155.xml"/><Relationship Id="rId15" Type="http://schemas.openxmlformats.org/officeDocument/2006/relationships/table" Target="../tables/table20.xml"/><Relationship Id="rId10" Type="http://schemas.openxmlformats.org/officeDocument/2006/relationships/ctrlProp" Target="../ctrlProps/ctrlProp160.xml"/><Relationship Id="rId4" Type="http://schemas.openxmlformats.org/officeDocument/2006/relationships/vmlDrawing" Target="../drawings/vmlDrawing22.vml"/><Relationship Id="rId9" Type="http://schemas.openxmlformats.org/officeDocument/2006/relationships/ctrlProp" Target="../ctrlProps/ctrlProp159.xml"/><Relationship Id="rId14" Type="http://schemas.openxmlformats.org/officeDocument/2006/relationships/ctrlProp" Target="../ctrlProps/ctrlProp164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9.xml"/><Relationship Id="rId13" Type="http://schemas.openxmlformats.org/officeDocument/2006/relationships/ctrlProp" Target="../ctrlProps/ctrlProp174.xml"/><Relationship Id="rId3" Type="http://schemas.openxmlformats.org/officeDocument/2006/relationships/vmlDrawing" Target="../drawings/vmlDrawing23.vml"/><Relationship Id="rId7" Type="http://schemas.openxmlformats.org/officeDocument/2006/relationships/ctrlProp" Target="../ctrlProps/ctrlProp168.xml"/><Relationship Id="rId12" Type="http://schemas.openxmlformats.org/officeDocument/2006/relationships/ctrlProp" Target="../ctrlProps/ctrlProp173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167.xml"/><Relationship Id="rId11" Type="http://schemas.openxmlformats.org/officeDocument/2006/relationships/ctrlProp" Target="../ctrlProps/ctrlProp172.xml"/><Relationship Id="rId5" Type="http://schemas.openxmlformats.org/officeDocument/2006/relationships/ctrlProp" Target="../ctrlProps/ctrlProp166.xml"/><Relationship Id="rId10" Type="http://schemas.openxmlformats.org/officeDocument/2006/relationships/ctrlProp" Target="../ctrlProps/ctrlProp171.xml"/><Relationship Id="rId4" Type="http://schemas.openxmlformats.org/officeDocument/2006/relationships/ctrlProp" Target="../ctrlProps/ctrlProp165.xml"/><Relationship Id="rId9" Type="http://schemas.openxmlformats.org/officeDocument/2006/relationships/ctrlProp" Target="../ctrlProps/ctrlProp170.xml"/><Relationship Id="rId14" Type="http://schemas.openxmlformats.org/officeDocument/2006/relationships/table" Target="../tables/table21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9.xml"/><Relationship Id="rId13" Type="http://schemas.openxmlformats.org/officeDocument/2006/relationships/ctrlProp" Target="../ctrlProps/ctrlProp184.xml"/><Relationship Id="rId3" Type="http://schemas.openxmlformats.org/officeDocument/2006/relationships/vmlDrawing" Target="../drawings/vmlDrawing24.vml"/><Relationship Id="rId7" Type="http://schemas.openxmlformats.org/officeDocument/2006/relationships/ctrlProp" Target="../ctrlProps/ctrlProp178.xml"/><Relationship Id="rId12" Type="http://schemas.openxmlformats.org/officeDocument/2006/relationships/ctrlProp" Target="../ctrlProps/ctrlProp183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177.xml"/><Relationship Id="rId11" Type="http://schemas.openxmlformats.org/officeDocument/2006/relationships/ctrlProp" Target="../ctrlProps/ctrlProp182.xml"/><Relationship Id="rId5" Type="http://schemas.openxmlformats.org/officeDocument/2006/relationships/ctrlProp" Target="../ctrlProps/ctrlProp176.xml"/><Relationship Id="rId10" Type="http://schemas.openxmlformats.org/officeDocument/2006/relationships/ctrlProp" Target="../ctrlProps/ctrlProp181.xml"/><Relationship Id="rId4" Type="http://schemas.openxmlformats.org/officeDocument/2006/relationships/ctrlProp" Target="../ctrlProps/ctrlProp175.xml"/><Relationship Id="rId9" Type="http://schemas.openxmlformats.org/officeDocument/2006/relationships/ctrlProp" Target="../ctrlProps/ctrlProp180.xml"/><Relationship Id="rId14" Type="http://schemas.openxmlformats.org/officeDocument/2006/relationships/table" Target="../tables/table2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26.bin"/><Relationship Id="rId5" Type="http://schemas.openxmlformats.org/officeDocument/2006/relationships/comments" Target="../comments3.xml"/><Relationship Id="rId4" Type="http://schemas.openxmlformats.org/officeDocument/2006/relationships/table" Target="../tables/table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10CB1-4F0C-4D37-9489-BB0C6CFB8292}">
  <sheetPr codeName="Feuil1">
    <pageSetUpPr fitToPage="1"/>
  </sheetPr>
  <dimension ref="A1:S45"/>
  <sheetViews>
    <sheetView tabSelected="1" zoomScaleNormal="100" zoomScalePageLayoutView="85" workbookViewId="0">
      <selection activeCell="P33" sqref="P33"/>
    </sheetView>
  </sheetViews>
  <sheetFormatPr baseColWidth="10" defaultColWidth="11.42578125" defaultRowHeight="15" x14ac:dyDescent="0.25"/>
  <cols>
    <col min="1" max="1" width="3.42578125" style="42" customWidth="1"/>
    <col min="2" max="2" width="2.42578125" style="42" customWidth="1"/>
    <col min="3" max="3" width="5.28515625" style="42" customWidth="1"/>
    <col min="4" max="4" width="2.42578125" style="42" customWidth="1"/>
    <col min="5" max="5" width="1" style="42" customWidth="1"/>
    <col min="6" max="6" width="2.42578125" style="42" customWidth="1"/>
    <col min="7" max="7" width="5.7109375" style="42" customWidth="1"/>
    <col min="8" max="8" width="2.42578125" style="42" customWidth="1"/>
    <col min="9" max="9" width="3.42578125" style="42" customWidth="1"/>
    <col min="10" max="10" width="5.5703125" style="42" customWidth="1"/>
    <col min="11" max="11" width="6.42578125" style="42" customWidth="1"/>
    <col min="12" max="12" width="6" style="42" customWidth="1"/>
    <col min="13" max="13" width="8.7109375" style="42" customWidth="1"/>
    <col min="14" max="20" width="9.7109375" style="42" customWidth="1"/>
    <col min="21" max="29" width="11.42578125" style="42"/>
    <col min="30" max="30" width="11" style="42" customWidth="1"/>
    <col min="31" max="16384" width="11.42578125" style="42"/>
  </cols>
  <sheetData>
    <row r="1" spans="1:19" ht="22.5" thickTop="1" thickBot="1" x14ac:dyDescent="0.3">
      <c r="B1" s="12"/>
      <c r="C1" s="63" t="s">
        <v>172</v>
      </c>
      <c r="D1" s="64"/>
      <c r="E1" s="61" cm="1">
        <f t="array" aca="1" ref="E1" ca="1">INDIRECT("'"&amp;SensorType&amp;"'!"&amp;RefCell_Rpot)</f>
        <v>115</v>
      </c>
      <c r="F1" s="62"/>
      <c r="G1" s="62"/>
      <c r="H1" s="13" t="s">
        <v>113</v>
      </c>
      <c r="I1" s="47"/>
      <c r="J1" s="47"/>
      <c r="K1" s="47"/>
      <c r="L1" s="59" t="s">
        <v>111</v>
      </c>
      <c r="M1" s="59"/>
      <c r="N1" s="59"/>
      <c r="O1" s="59" t="s">
        <v>150</v>
      </c>
      <c r="P1" s="59"/>
      <c r="Q1" s="59"/>
    </row>
    <row r="2" spans="1:19" ht="21" customHeight="1" thickTop="1" thickBot="1" x14ac:dyDescent="0.3">
      <c r="B2" s="12"/>
      <c r="C2" s="63" t="s">
        <v>173</v>
      </c>
      <c r="D2" s="64"/>
      <c r="E2" s="61" cm="1">
        <f t="array" aca="1" ref="E2" ca="1">INDIRECT("'"&amp;SensorType&amp;"'!"&amp;RefCell_R77)</f>
        <v>0</v>
      </c>
      <c r="F2" s="62"/>
      <c r="G2" s="62"/>
      <c r="H2" s="13" t="s">
        <v>113</v>
      </c>
      <c r="I2" s="12"/>
      <c r="J2" s="12"/>
      <c r="L2" s="59" t="s">
        <v>243</v>
      </c>
      <c r="M2" s="59"/>
      <c r="N2" s="59"/>
      <c r="O2" s="59">
        <f>IF(SensorType&lt;&gt;"",_xlfn.XLOOKUP(SensorType,SensorTypesIDs[Nom],SensorTypesIDs[ID],"A DÉFINIR"),"")</f>
        <v>350</v>
      </c>
      <c r="P2" s="59"/>
      <c r="Q2" s="59"/>
    </row>
    <row r="3" spans="1:19" x14ac:dyDescent="0.25">
      <c r="B3" s="12"/>
      <c r="C3" s="12"/>
      <c r="D3" s="12"/>
      <c r="E3" s="33"/>
      <c r="F3" s="33"/>
      <c r="G3" s="33"/>
      <c r="H3" s="34"/>
      <c r="I3" s="12"/>
      <c r="J3" s="12"/>
      <c r="K3" s="42" t="str" cm="1">
        <f t="array" aca="1" ref="K3" ca="1">"rSensorValueDegC := TO_REAL(1 / ("&amp;ROUND(INDIRECT("'"&amp;SensorType&amp;"'!"&amp;RefCell_SH_A)*1000,6)&amp;"e-3 + "&amp;ROUND(INDIRECT("'"&amp;SensorType&amp;"'!"&amp;RefCell_SH_B)*10000,6)&amp;"e-4*ln(rSensorValueOhm) + "&amp;ROUND(INDIRECT("'"&amp;SensorType&amp;"'!"&amp;RefCell_SH_C)*10000000,6)&amp;"e-7*EXPT(ln(rSensorValueOhm),3)) - 273.15);"</f>
        <v>rSensorValueDegC := TO_REAL(1 / (79.46562e-3 + -149.440403e-4*ln(rSensorValueOhm) + 832.033898e-7*EXPT(ln(rSensorValueOhm),3)) - 273.15);</v>
      </c>
    </row>
    <row r="4" spans="1:19" ht="15" customHeight="1" x14ac:dyDescent="0.25">
      <c r="J4" s="12"/>
    </row>
    <row r="5" spans="1:19" ht="11.25" customHeight="1" x14ac:dyDescent="0.25">
      <c r="A5" s="60" t="s">
        <v>109</v>
      </c>
      <c r="B5" s="60"/>
      <c r="C5" s="60"/>
      <c r="D5" s="60"/>
      <c r="E5" s="60"/>
      <c r="F5" s="60"/>
      <c r="G5" s="60"/>
      <c r="H5" s="60"/>
      <c r="I5" s="60"/>
      <c r="K5" s="41" t="s">
        <v>124</v>
      </c>
      <c r="L5" s="41" t="s">
        <v>125</v>
      </c>
      <c r="N5" s="43" t="s">
        <v>144</v>
      </c>
      <c r="O5" s="43" t="s">
        <v>226</v>
      </c>
      <c r="P5" s="43" t="s">
        <v>122</v>
      </c>
      <c r="Q5" s="43" t="s">
        <v>123</v>
      </c>
      <c r="R5" s="43" t="s">
        <v>140</v>
      </c>
    </row>
    <row r="6" spans="1:19" ht="11.25" customHeight="1" x14ac:dyDescent="0.25">
      <c r="A6" s="48" t="s">
        <v>57</v>
      </c>
      <c r="B6" s="49" t="s">
        <v>110</v>
      </c>
      <c r="C6" s="50" cm="1">
        <f t="array" aca="1" ref="C6" ca="1">VLOOKUP(A6&amp;"/"&amp;C7,INDIRECT(SensorDataTableName),7,FALSE)</f>
        <v>7.5</v>
      </c>
      <c r="D6" s="49" t="s">
        <v>110</v>
      </c>
      <c r="E6" s="49"/>
      <c r="F6" s="49" t="s">
        <v>110</v>
      </c>
      <c r="G6" s="50" cm="1">
        <f t="array" aca="1" ref="G6" ca="1">VLOOKUP(I6&amp;"/"&amp;G7,INDIRECT(SensorDataTableName),7,FALSE)</f>
        <v>6.8</v>
      </c>
      <c r="H6" s="49" t="s">
        <v>110</v>
      </c>
      <c r="I6" s="48" t="s">
        <v>85</v>
      </c>
      <c r="K6" s="42" cm="1">
        <f t="array" aca="1" ref="K6:K9" ca="1">_xlfn._xlws.SORT(_xlfn.UNIQUE(INDIRECT(SensorDataTableName&amp;"[Radd]"),FALSE,FALSE))</f>
        <v>6.2</v>
      </c>
      <c r="L6" s="44" cm="1">
        <f t="array" aca="1" ref="L6" ca="1">COUNTIF(INDIRECT(SensorDataTableName&amp;"[Radd]"),K6)</f>
        <v>6</v>
      </c>
      <c r="N6" s="51" t="str" cm="1">
        <f t="array" aca="1" ref="N6:N37" ca="1">LEFT(INDIRECT(SensorDataTableName&amp;"['#R]"),FIND("/",INDIRECT(SensorDataTableName&amp;"['#R]"))-1)</f>
        <v>R1</v>
      </c>
      <c r="O6" s="45" cm="1">
        <f t="array" aca="1" ref="O6:O37" ca="1">INDIRECT(SensorDataTableName&amp;"[θ]")</f>
        <v>-15</v>
      </c>
      <c r="P6" s="46" cm="1">
        <f t="array" aca="1" ref="P6:P37" ca="1">INDIRECT(SensorDataTableName&amp;"[Rsonde]")</f>
        <v>934.74</v>
      </c>
      <c r="Q6" s="46" cm="1">
        <f t="array" aca="1" ref="Q6:Q37" ca="1">INDIRECT(SensorDataTableName&amp;"[Rpcb]")</f>
        <v>934.99999999999989</v>
      </c>
      <c r="R6" s="46" cm="1">
        <f t="array" aca="1" ref="R6:R37" ca="1">INDIRECT(SensorDataTableName&amp;"[Rmes]")</f>
        <v>934.99999999999989</v>
      </c>
      <c r="S6" s="57"/>
    </row>
    <row r="7" spans="1:19" ht="11.25" customHeight="1" x14ac:dyDescent="0.25">
      <c r="A7" s="48"/>
      <c r="B7" s="48"/>
      <c r="C7" s="48" t="s">
        <v>68</v>
      </c>
      <c r="D7" s="48"/>
      <c r="E7" s="48"/>
      <c r="F7" s="48"/>
      <c r="G7" s="48" t="s">
        <v>83</v>
      </c>
      <c r="H7" s="48"/>
      <c r="I7" s="48"/>
      <c r="K7" s="42">
        <f ca="1"/>
        <v>6.8</v>
      </c>
      <c r="L7" s="44" cm="1">
        <f t="array" aca="1" ref="L7" ca="1">COUNTIF(INDIRECT(SensorDataTableName&amp;"[Radd]"),K7)</f>
        <v>21</v>
      </c>
      <c r="N7" s="51" t="str">
        <f ca="1"/>
        <v>R2</v>
      </c>
      <c r="O7" s="45">
        <f ca="1"/>
        <v>-13.5</v>
      </c>
      <c r="P7" s="46">
        <f ca="1"/>
        <v>941.16499999999996</v>
      </c>
      <c r="Q7" s="46">
        <f ca="1"/>
        <v>941.19999999999993</v>
      </c>
      <c r="R7" s="46">
        <f ca="1"/>
        <v>941.19999999999993</v>
      </c>
      <c r="S7" s="57"/>
    </row>
    <row r="8" spans="1:19" ht="11.25" customHeight="1" x14ac:dyDescent="0.25">
      <c r="A8" s="48" t="s">
        <v>56</v>
      </c>
      <c r="B8" s="49" t="s">
        <v>110</v>
      </c>
      <c r="C8" s="50" cm="1">
        <f t="array" aca="1" ref="C8" ca="1">VLOOKUP(A8&amp;"/"&amp;C9,INDIRECT(SensorDataTableName),7,FALSE)</f>
        <v>7.5</v>
      </c>
      <c r="D8" s="49" t="s">
        <v>110</v>
      </c>
      <c r="E8" s="49"/>
      <c r="F8" s="49" t="s">
        <v>110</v>
      </c>
      <c r="G8" s="50" cm="1">
        <f t="array" aca="1" ref="G8" ca="1">VLOOKUP(I8&amp;"/"&amp;G9,INDIRECT(SensorDataTableName),7,FALSE)</f>
        <v>6.8</v>
      </c>
      <c r="H8" s="49" t="s">
        <v>110</v>
      </c>
      <c r="I8" s="48" t="s">
        <v>86</v>
      </c>
      <c r="K8" s="42">
        <f ca="1"/>
        <v>7.5</v>
      </c>
      <c r="L8" s="44" cm="1">
        <f t="array" aca="1" ref="L8" ca="1">COUNTIF(INDIRECT(SensorDataTableName&amp;"[Radd]"),K8)</f>
        <v>4</v>
      </c>
      <c r="N8" s="51" t="str">
        <f ca="1"/>
        <v>R3</v>
      </c>
      <c r="O8" s="45">
        <f ca="1"/>
        <v>-12</v>
      </c>
      <c r="P8" s="46">
        <f ca="1"/>
        <v>947.61</v>
      </c>
      <c r="Q8" s="46">
        <f ca="1"/>
        <v>947.4</v>
      </c>
      <c r="R8" s="46">
        <f ca="1"/>
        <v>947.4</v>
      </c>
      <c r="S8" s="57"/>
    </row>
    <row r="9" spans="1:19" ht="11.25" customHeight="1" x14ac:dyDescent="0.25">
      <c r="A9" s="48"/>
      <c r="B9" s="48"/>
      <c r="C9" s="48" t="s">
        <v>69</v>
      </c>
      <c r="D9" s="48"/>
      <c r="E9" s="48"/>
      <c r="F9" s="48"/>
      <c r="G9" s="48" t="s">
        <v>84</v>
      </c>
      <c r="H9" s="48"/>
      <c r="I9" s="48"/>
      <c r="K9" s="42">
        <f ca="1"/>
        <v>819.99999999999989</v>
      </c>
      <c r="L9" s="44" cm="1">
        <f t="array" aca="1" ref="L9" ca="1">COUNTIF(INDIRECT(SensorDataTableName&amp;"[Radd]"),K9)</f>
        <v>1</v>
      </c>
      <c r="N9" s="51" t="str">
        <f ca="1"/>
        <v>R4</v>
      </c>
      <c r="O9" s="45">
        <f ca="1"/>
        <v>-10.5</v>
      </c>
      <c r="P9" s="46">
        <f ca="1"/>
        <v>954.07999999999993</v>
      </c>
      <c r="Q9" s="46">
        <f ca="1"/>
        <v>954.19999999999993</v>
      </c>
      <c r="R9" s="46">
        <f ca="1"/>
        <v>954.19999999999993</v>
      </c>
      <c r="S9" s="57"/>
    </row>
    <row r="10" spans="1:19" ht="11.25" customHeight="1" x14ac:dyDescent="0.25">
      <c r="A10" s="48" t="s">
        <v>58</v>
      </c>
      <c r="B10" s="49" t="s">
        <v>110</v>
      </c>
      <c r="C10" s="50" cm="1">
        <f t="array" aca="1" ref="C10" ca="1">VLOOKUP(A10&amp;"/"&amp;C11,INDIRECT(SensorDataTableName),7,FALSE)</f>
        <v>6.8</v>
      </c>
      <c r="D10" s="49" t="s">
        <v>110</v>
      </c>
      <c r="E10" s="49"/>
      <c r="F10" s="49" t="s">
        <v>110</v>
      </c>
      <c r="G10" s="50" cm="1">
        <f t="array" aca="1" ref="G10" ca="1">VLOOKUP(I10&amp;"/"&amp;G11,INDIRECT(SensorDataTableName),7,FALSE)</f>
        <v>7.5</v>
      </c>
      <c r="H10" s="49" t="s">
        <v>110</v>
      </c>
      <c r="I10" s="48" t="s">
        <v>101</v>
      </c>
      <c r="L10" s="44" cm="1">
        <f t="array" aca="1" ref="L10" ca="1">COUNTIF(INDIRECT(SensorDataTableName&amp;"[Radd]"),K10)</f>
        <v>0</v>
      </c>
      <c r="N10" s="51" t="str">
        <f ca="1"/>
        <v>R5</v>
      </c>
      <c r="O10" s="45">
        <f ca="1"/>
        <v>-9</v>
      </c>
      <c r="P10" s="46">
        <f ca="1"/>
        <v>960.57</v>
      </c>
      <c r="Q10" s="46">
        <f ca="1"/>
        <v>960.4</v>
      </c>
      <c r="R10" s="46">
        <f ca="1"/>
        <v>960.4</v>
      </c>
      <c r="S10" s="57"/>
    </row>
    <row r="11" spans="1:19" ht="11.25" customHeight="1" x14ac:dyDescent="0.25">
      <c r="A11" s="48"/>
      <c r="B11" s="48"/>
      <c r="C11" s="48" t="s">
        <v>70</v>
      </c>
      <c r="D11" s="48"/>
      <c r="E11" s="48"/>
      <c r="F11" s="48"/>
      <c r="G11" s="48" t="s">
        <v>87</v>
      </c>
      <c r="H11" s="48"/>
      <c r="I11" s="48"/>
      <c r="L11" s="44" cm="1">
        <f t="array" aca="1" ref="L11" ca="1">COUNTIF(INDIRECT(SensorDataTableName&amp;"[Radd]"),K11)</f>
        <v>0</v>
      </c>
      <c r="N11" s="51" t="str">
        <f ca="1"/>
        <v>R6</v>
      </c>
      <c r="O11" s="45">
        <f ca="1"/>
        <v>-7.5</v>
      </c>
      <c r="P11" s="46">
        <f ca="1"/>
        <v>967.08500000000004</v>
      </c>
      <c r="Q11" s="46">
        <f ca="1"/>
        <v>967.19999999999993</v>
      </c>
      <c r="R11" s="46">
        <f ca="1"/>
        <v>967.19999999999993</v>
      </c>
      <c r="S11" s="57"/>
    </row>
    <row r="12" spans="1:19" ht="11.25" customHeight="1" x14ac:dyDescent="0.25">
      <c r="A12" s="48" t="s">
        <v>59</v>
      </c>
      <c r="B12" s="49" t="s">
        <v>110</v>
      </c>
      <c r="C12" s="50" cm="1">
        <f t="array" aca="1" ref="C12" ca="1">VLOOKUP(A12&amp;"/"&amp;C13,INDIRECT(SensorDataTableName),7,FALSE)</f>
        <v>6.8</v>
      </c>
      <c r="D12" s="49" t="s">
        <v>110</v>
      </c>
      <c r="E12" s="49"/>
      <c r="F12" s="49" t="s">
        <v>110</v>
      </c>
      <c r="G12" s="50" cm="1">
        <f t="array" aca="1" ref="G12" ca="1">VLOOKUP(I12&amp;"/"&amp;G13,INDIRECT(SensorDataTableName),7,FALSE)</f>
        <v>6.8</v>
      </c>
      <c r="H12" s="49" t="s">
        <v>110</v>
      </c>
      <c r="I12" s="48" t="s">
        <v>102</v>
      </c>
      <c r="L12" s="44" cm="1">
        <f t="array" aca="1" ref="L12" ca="1">COUNTIF(INDIRECT(SensorDataTableName&amp;"[Radd]"),K12)</f>
        <v>0</v>
      </c>
      <c r="N12" s="51" t="str">
        <f ca="1"/>
        <v>R7</v>
      </c>
      <c r="O12" s="45">
        <f ca="1"/>
        <v>-6</v>
      </c>
      <c r="P12" s="46">
        <f ca="1"/>
        <v>973.62</v>
      </c>
      <c r="Q12" s="46">
        <f ca="1"/>
        <v>973.4</v>
      </c>
      <c r="R12" s="46">
        <f ca="1"/>
        <v>973.4</v>
      </c>
      <c r="S12" s="57"/>
    </row>
    <row r="13" spans="1:19" ht="11.25" customHeight="1" x14ac:dyDescent="0.25">
      <c r="A13" s="48"/>
      <c r="B13" s="48"/>
      <c r="C13" s="48" t="s">
        <v>71</v>
      </c>
      <c r="D13" s="48"/>
      <c r="E13" s="48"/>
      <c r="F13" s="48"/>
      <c r="G13" s="48" t="s">
        <v>88</v>
      </c>
      <c r="H13" s="48"/>
      <c r="I13" s="48"/>
      <c r="L13" s="44" cm="1">
        <f t="array" aca="1" ref="L13" ca="1">COUNTIF(INDIRECT(SensorDataTableName&amp;"[Radd]"),K13)</f>
        <v>0</v>
      </c>
      <c r="N13" s="51" t="str">
        <f ca="1"/>
        <v>R8</v>
      </c>
      <c r="O13" s="45">
        <f ca="1"/>
        <v>-4.5</v>
      </c>
      <c r="P13" s="46">
        <f ca="1"/>
        <v>980.18000000000006</v>
      </c>
      <c r="Q13" s="46">
        <f ca="1"/>
        <v>980.19999999999993</v>
      </c>
      <c r="R13" s="46">
        <f ca="1"/>
        <v>980.19999999999993</v>
      </c>
      <c r="S13" s="57"/>
    </row>
    <row r="14" spans="1:19" ht="11.25" customHeight="1" x14ac:dyDescent="0.25">
      <c r="A14" s="48" t="s">
        <v>60</v>
      </c>
      <c r="B14" s="49" t="s">
        <v>110</v>
      </c>
      <c r="C14" s="50" cm="1">
        <f t="array" aca="1" ref="C14" ca="1">VLOOKUP(A14&amp;"/"&amp;C15,INDIRECT(SensorDataTableName),7,FALSE)</f>
        <v>6.8</v>
      </c>
      <c r="D14" s="49" t="s">
        <v>110</v>
      </c>
      <c r="E14" s="49"/>
      <c r="F14" s="49" t="s">
        <v>110</v>
      </c>
      <c r="G14" s="50" cm="1">
        <f t="array" aca="1" ref="G14" ca="1">VLOOKUP(I14&amp;"/"&amp;G15,INDIRECT(SensorDataTableName),7,FALSE)</f>
        <v>7.5</v>
      </c>
      <c r="H14" s="49" t="s">
        <v>110</v>
      </c>
      <c r="I14" s="48" t="s">
        <v>103</v>
      </c>
      <c r="L14" s="44" cm="1">
        <f t="array" aca="1" ref="L14" ca="1">COUNTIF(INDIRECT(SensorDataTableName&amp;"[Radd]"),K14)</f>
        <v>0</v>
      </c>
      <c r="N14" s="51" t="str">
        <f ca="1"/>
        <v>R9</v>
      </c>
      <c r="O14" s="45">
        <f ca="1"/>
        <v>-3</v>
      </c>
      <c r="P14" s="46">
        <f ca="1"/>
        <v>986.77</v>
      </c>
      <c r="Q14" s="46">
        <f ca="1"/>
        <v>986.99999999999989</v>
      </c>
      <c r="R14" s="46">
        <f ca="1"/>
        <v>986.99999999999989</v>
      </c>
      <c r="S14" s="57"/>
    </row>
    <row r="15" spans="1:19" ht="11.25" customHeight="1" x14ac:dyDescent="0.25">
      <c r="A15" s="48"/>
      <c r="B15" s="48"/>
      <c r="C15" s="48" t="s">
        <v>72</v>
      </c>
      <c r="D15" s="48"/>
      <c r="E15" s="48"/>
      <c r="F15" s="48"/>
      <c r="G15" s="48" t="s">
        <v>89</v>
      </c>
      <c r="H15" s="48"/>
      <c r="I15" s="48"/>
      <c r="L15" s="44" cm="1">
        <f t="array" aca="1" ref="L15" ca="1">COUNTIF(INDIRECT(SensorDataTableName&amp;"[Radd]"),K15)</f>
        <v>0</v>
      </c>
      <c r="N15" s="51" t="str">
        <f ca="1"/>
        <v>R10</v>
      </c>
      <c r="O15" s="45">
        <f ca="1"/>
        <v>-1.5</v>
      </c>
      <c r="P15" s="46">
        <f ca="1"/>
        <v>993.375</v>
      </c>
      <c r="Q15" s="46">
        <f ca="1"/>
        <v>993.19999999999993</v>
      </c>
      <c r="R15" s="46">
        <f ca="1"/>
        <v>993.19999999999993</v>
      </c>
      <c r="S15" s="57"/>
    </row>
    <row r="16" spans="1:19" ht="11.25" customHeight="1" x14ac:dyDescent="0.25">
      <c r="A16" s="48" t="s">
        <v>61</v>
      </c>
      <c r="B16" s="49" t="s">
        <v>110</v>
      </c>
      <c r="C16" s="50" cm="1">
        <f t="array" aca="1" ref="C16" ca="1">VLOOKUP(A16&amp;"/"&amp;C17,INDIRECT(SensorDataTableName),7,FALSE)</f>
        <v>6.8</v>
      </c>
      <c r="D16" s="49" t="s">
        <v>110</v>
      </c>
      <c r="E16" s="49"/>
      <c r="F16" s="49" t="s">
        <v>110</v>
      </c>
      <c r="G16" s="50" cm="1">
        <f t="array" aca="1" ref="G16" ca="1">VLOOKUP(I16&amp;"/"&amp;G17,INDIRECT(SensorDataTableName),7,FALSE)</f>
        <v>6.8</v>
      </c>
      <c r="H16" s="49" t="s">
        <v>110</v>
      </c>
      <c r="I16" s="48" t="s">
        <v>104</v>
      </c>
      <c r="L16" s="44" cm="1">
        <f t="array" aca="1" ref="L16" ca="1">COUNTIF(INDIRECT(SensorDataTableName&amp;"[Radd]"),K16)</f>
        <v>0</v>
      </c>
      <c r="N16" s="51" t="str">
        <f ca="1"/>
        <v>R11</v>
      </c>
      <c r="O16" s="45">
        <f ca="1"/>
        <v>0</v>
      </c>
      <c r="P16" s="46">
        <f ca="1"/>
        <v>1000</v>
      </c>
      <c r="Q16" s="46">
        <f ca="1"/>
        <v>999.99999999999989</v>
      </c>
      <c r="R16" s="46">
        <f ca="1"/>
        <v>999.99999999999989</v>
      </c>
      <c r="S16" s="57"/>
    </row>
    <row r="17" spans="1:19" ht="11.25" customHeight="1" x14ac:dyDescent="0.25">
      <c r="A17" s="48"/>
      <c r="B17" s="48"/>
      <c r="C17" s="48" t="s">
        <v>73</v>
      </c>
      <c r="D17" s="48"/>
      <c r="E17" s="48"/>
      <c r="F17" s="48"/>
      <c r="G17" s="48" t="s">
        <v>90</v>
      </c>
      <c r="H17" s="48"/>
      <c r="I17" s="48"/>
      <c r="L17" s="44" cm="1">
        <f t="array" aca="1" ref="L17" ca="1">COUNTIF(INDIRECT(SensorDataTableName&amp;"[Radd]"),K17)</f>
        <v>0</v>
      </c>
      <c r="N17" s="51" t="str">
        <f ca="1"/>
        <v>R12</v>
      </c>
      <c r="O17" s="45">
        <f ca="1"/>
        <v>1.5</v>
      </c>
      <c r="P17" s="46">
        <f ca="1"/>
        <v>1006.65</v>
      </c>
      <c r="Q17" s="46">
        <f ca="1"/>
        <v>1006.7999999999998</v>
      </c>
      <c r="R17" s="46">
        <f ca="1"/>
        <v>1006.7999999999998</v>
      </c>
      <c r="S17" s="57"/>
    </row>
    <row r="18" spans="1:19" ht="11.25" customHeight="1" x14ac:dyDescent="0.25">
      <c r="A18" s="48" t="s">
        <v>62</v>
      </c>
      <c r="B18" s="49" t="s">
        <v>110</v>
      </c>
      <c r="C18" s="50" cm="1">
        <f t="array" aca="1" ref="C18" ca="1">VLOOKUP(A18&amp;"/"&amp;C19,INDIRECT(SensorDataTableName),7,FALSE)</f>
        <v>6.8</v>
      </c>
      <c r="D18" s="49" t="s">
        <v>110</v>
      </c>
      <c r="E18" s="49"/>
      <c r="F18" s="49" t="s">
        <v>110</v>
      </c>
      <c r="G18" s="50" cm="1">
        <f t="array" aca="1" ref="G18" ca="1">VLOOKUP(I18&amp;"/"&amp;G19,INDIRECT(SensorDataTableName),7,FALSE)</f>
        <v>6.8</v>
      </c>
      <c r="H18" s="49" t="s">
        <v>110</v>
      </c>
      <c r="I18" s="48" t="s">
        <v>105</v>
      </c>
      <c r="L18" s="44" cm="1">
        <f t="array" aca="1" ref="L18" ca="1">COUNTIF(INDIRECT(SensorDataTableName&amp;"[Radd]"),K18)</f>
        <v>0</v>
      </c>
      <c r="N18" s="51" t="str">
        <f ca="1"/>
        <v>R13</v>
      </c>
      <c r="O18" s="45">
        <f ca="1"/>
        <v>3</v>
      </c>
      <c r="P18" s="46">
        <f ca="1"/>
        <v>1013.33</v>
      </c>
      <c r="Q18" s="46">
        <f ca="1"/>
        <v>1013.5999999999998</v>
      </c>
      <c r="R18" s="46">
        <f ca="1"/>
        <v>1013.5999999999998</v>
      </c>
      <c r="S18" s="57"/>
    </row>
    <row r="19" spans="1:19" ht="11.25" customHeight="1" x14ac:dyDescent="0.25">
      <c r="A19" s="48"/>
      <c r="B19" s="48"/>
      <c r="C19" s="48" t="s">
        <v>74</v>
      </c>
      <c r="D19" s="48"/>
      <c r="E19" s="48"/>
      <c r="F19" s="48"/>
      <c r="G19" s="48" t="s">
        <v>91</v>
      </c>
      <c r="H19" s="48"/>
      <c r="I19" s="48"/>
      <c r="L19" s="44" cm="1">
        <f t="array" aca="1" ref="L19" ca="1">COUNTIF(INDIRECT(SensorDataTableName&amp;"[Radd]"),K19)</f>
        <v>0</v>
      </c>
      <c r="N19" s="51" t="str">
        <f ca="1"/>
        <v>R14</v>
      </c>
      <c r="O19" s="45">
        <f ca="1"/>
        <v>4.5</v>
      </c>
      <c r="P19" s="46">
        <f ca="1"/>
        <v>1020.025</v>
      </c>
      <c r="Q19" s="46">
        <f ca="1"/>
        <v>1019.7999999999998</v>
      </c>
      <c r="R19" s="46">
        <f ca="1"/>
        <v>1019.7999999999998</v>
      </c>
      <c r="S19" s="57"/>
    </row>
    <row r="20" spans="1:19" ht="11.25" customHeight="1" x14ac:dyDescent="0.25">
      <c r="A20" s="48" t="s">
        <v>63</v>
      </c>
      <c r="B20" s="49" t="s">
        <v>110</v>
      </c>
      <c r="C20" s="50" cm="1">
        <f t="array" aca="1" ref="C20" ca="1">VLOOKUP(A20&amp;"/"&amp;C21,INDIRECT(SensorDataTableName),7,FALSE)</f>
        <v>6.8</v>
      </c>
      <c r="D20" s="49" t="s">
        <v>110</v>
      </c>
      <c r="E20" s="49"/>
      <c r="F20" s="49" t="s">
        <v>110</v>
      </c>
      <c r="G20" s="50" cm="1">
        <f t="array" aca="1" ref="G20" ca="1">VLOOKUP(I20&amp;"/"&amp;G21,INDIRECT(SensorDataTableName),7,FALSE)</f>
        <v>6.8</v>
      </c>
      <c r="H20" s="49" t="s">
        <v>110</v>
      </c>
      <c r="I20" s="48" t="s">
        <v>106</v>
      </c>
      <c r="L20" s="44" cm="1">
        <f t="array" aca="1" ref="L20" ca="1">COUNTIF(INDIRECT(SensorDataTableName&amp;"[Radd]"),K20)</f>
        <v>0</v>
      </c>
      <c r="N20" s="51" t="str">
        <f ca="1"/>
        <v>R15</v>
      </c>
      <c r="O20" s="45">
        <f ca="1"/>
        <v>6</v>
      </c>
      <c r="P20" s="46">
        <f ca="1"/>
        <v>1026.75</v>
      </c>
      <c r="Q20" s="46">
        <f ca="1"/>
        <v>1026.5999999999999</v>
      </c>
      <c r="R20" s="46">
        <f ca="1"/>
        <v>1026.5999999999999</v>
      </c>
      <c r="S20" s="57"/>
    </row>
    <row r="21" spans="1:19" ht="11.25" customHeight="1" x14ac:dyDescent="0.25">
      <c r="A21" s="48"/>
      <c r="B21" s="48"/>
      <c r="C21" s="48" t="s">
        <v>75</v>
      </c>
      <c r="D21" s="48"/>
      <c r="E21" s="48"/>
      <c r="F21" s="48"/>
      <c r="G21" s="48" t="s">
        <v>92</v>
      </c>
      <c r="H21" s="48"/>
      <c r="I21" s="48"/>
      <c r="L21" s="44" cm="1">
        <f t="array" aca="1" ref="L21" ca="1">COUNTIF(INDIRECT(SensorDataTableName&amp;"[Radd]"),K21)</f>
        <v>0</v>
      </c>
      <c r="N21" s="51" t="str">
        <f ca="1"/>
        <v>R16</v>
      </c>
      <c r="O21" s="45">
        <f ca="1"/>
        <v>7.5</v>
      </c>
      <c r="P21" s="46">
        <f ca="1"/>
        <v>1033.4949999999999</v>
      </c>
      <c r="Q21" s="46">
        <f ca="1"/>
        <v>1033.3999999999996</v>
      </c>
      <c r="R21" s="46">
        <f ca="1"/>
        <v>1033.3999999999996</v>
      </c>
      <c r="S21" s="57"/>
    </row>
    <row r="22" spans="1:19" ht="11.25" customHeight="1" x14ac:dyDescent="0.25">
      <c r="A22" s="48" t="s">
        <v>64</v>
      </c>
      <c r="B22" s="49" t="s">
        <v>110</v>
      </c>
      <c r="C22" s="50" cm="1">
        <f t="array" aca="1" ref="C22" ca="1">VLOOKUP(A22&amp;"/"&amp;C23,INDIRECT(SensorDataTableName),7,FALSE)</f>
        <v>6.8</v>
      </c>
      <c r="D22" s="49" t="s">
        <v>110</v>
      </c>
      <c r="E22" s="49"/>
      <c r="F22" s="49" t="s">
        <v>110</v>
      </c>
      <c r="G22" s="50" cm="1">
        <f t="array" aca="1" ref="G22" ca="1">VLOOKUP(I22&amp;"/"&amp;G23,INDIRECT(SensorDataTableName),7,FALSE)</f>
        <v>6.8</v>
      </c>
      <c r="H22" s="49" t="s">
        <v>110</v>
      </c>
      <c r="I22" s="48" t="s">
        <v>107</v>
      </c>
      <c r="L22" s="44" cm="1">
        <f t="array" aca="1" ref="L22" ca="1">COUNTIF(INDIRECT(SensorDataTableName&amp;"[Radd]"),K22)</f>
        <v>0</v>
      </c>
      <c r="N22" s="51" t="str">
        <f ca="1"/>
        <v>R17</v>
      </c>
      <c r="O22" s="45">
        <f ca="1"/>
        <v>9</v>
      </c>
      <c r="P22" s="46">
        <f ca="1"/>
        <v>1040.27</v>
      </c>
      <c r="Q22" s="46">
        <f ca="1"/>
        <v>1040.1999999999998</v>
      </c>
      <c r="R22" s="46">
        <f ca="1"/>
        <v>1040.1999999999998</v>
      </c>
      <c r="S22" s="57"/>
    </row>
    <row r="23" spans="1:19" ht="11.25" customHeight="1" x14ac:dyDescent="0.25">
      <c r="A23" s="48"/>
      <c r="B23" s="48"/>
      <c r="C23" s="48" t="s">
        <v>76</v>
      </c>
      <c r="D23" s="48"/>
      <c r="E23" s="48"/>
      <c r="F23" s="48"/>
      <c r="G23" s="48" t="s">
        <v>93</v>
      </c>
      <c r="H23" s="48"/>
      <c r="I23" s="48"/>
      <c r="L23" s="44" cm="1">
        <f t="array" aca="1" ref="L23" ca="1">COUNTIF(INDIRECT(SensorDataTableName&amp;"[Radd]"),K23)</f>
        <v>0</v>
      </c>
      <c r="N23" s="51" t="str">
        <f ca="1"/>
        <v>R18</v>
      </c>
      <c r="O23" s="45">
        <f ca="1"/>
        <v>10.5</v>
      </c>
      <c r="P23" s="46">
        <f ca="1"/>
        <v>1047.06</v>
      </c>
      <c r="Q23" s="46">
        <f ca="1"/>
        <v>1046.9999999999995</v>
      </c>
      <c r="R23" s="46">
        <f ca="1"/>
        <v>1046.9999999999995</v>
      </c>
      <c r="S23" s="57"/>
    </row>
    <row r="24" spans="1:19" ht="11.25" customHeight="1" x14ac:dyDescent="0.25">
      <c r="A24" s="48" t="s">
        <v>65</v>
      </c>
      <c r="B24" s="49" t="s">
        <v>110</v>
      </c>
      <c r="C24" s="50" cm="1">
        <f t="array" aca="1" ref="C24" ca="1">VLOOKUP(A24&amp;"/"&amp;C25,INDIRECT(SensorDataTableName),7,FALSE)</f>
        <v>6.2</v>
      </c>
      <c r="D24" s="49" t="s">
        <v>110</v>
      </c>
      <c r="E24" s="49"/>
      <c r="F24" s="49" t="s">
        <v>110</v>
      </c>
      <c r="G24" s="50" cm="1">
        <f t="array" aca="1" ref="G24" ca="1">VLOOKUP(I24&amp;"/"&amp;G25,INDIRECT(SensorDataTableName),7,FALSE)</f>
        <v>6.8</v>
      </c>
      <c r="H24" s="49" t="s">
        <v>110</v>
      </c>
      <c r="I24" s="48" t="s">
        <v>108</v>
      </c>
      <c r="L24" s="44" cm="1">
        <f t="array" aca="1" ref="L24" ca="1">COUNTIF(INDIRECT(SensorDataTableName&amp;"[Radd]"),K24)</f>
        <v>0</v>
      </c>
      <c r="N24" s="51" t="str">
        <f ca="1"/>
        <v>R19</v>
      </c>
      <c r="O24" s="45">
        <f ca="1"/>
        <v>12</v>
      </c>
      <c r="P24" s="46">
        <f ca="1"/>
        <v>1053.8800000000001</v>
      </c>
      <c r="Q24" s="46">
        <f ca="1"/>
        <v>1053.7999999999997</v>
      </c>
      <c r="R24" s="46">
        <f ca="1"/>
        <v>1053.7999999999997</v>
      </c>
      <c r="S24" s="57"/>
    </row>
    <row r="25" spans="1:19" ht="11.25" customHeight="1" x14ac:dyDescent="0.25">
      <c r="A25" s="48"/>
      <c r="B25" s="48"/>
      <c r="C25" s="48" t="s">
        <v>77</v>
      </c>
      <c r="D25" s="48"/>
      <c r="E25" s="48"/>
      <c r="F25" s="48"/>
      <c r="G25" s="48" t="s">
        <v>94</v>
      </c>
      <c r="H25" s="48"/>
      <c r="I25" s="48"/>
      <c r="L25" s="44" cm="1">
        <f t="array" aca="1" ref="L25" ca="1">COUNTIF(INDIRECT(SensorDataTableName&amp;"[Radd]"),K25)</f>
        <v>0</v>
      </c>
      <c r="N25" s="51" t="str">
        <f ca="1"/>
        <v>R20</v>
      </c>
      <c r="O25" s="45">
        <f ca="1"/>
        <v>13.5</v>
      </c>
      <c r="P25" s="46">
        <f ca="1"/>
        <v>1060.7249999999999</v>
      </c>
      <c r="Q25" s="46">
        <f ca="1"/>
        <v>1060.5999999999995</v>
      </c>
      <c r="R25" s="46">
        <f ca="1"/>
        <v>1060.5999999999995</v>
      </c>
      <c r="S25" s="57"/>
    </row>
    <row r="26" spans="1:19" ht="11.25" customHeight="1" x14ac:dyDescent="0.25">
      <c r="A26" s="48" t="s">
        <v>66</v>
      </c>
      <c r="B26" s="49" t="s">
        <v>110</v>
      </c>
      <c r="C26" s="50" cm="1">
        <f t="array" aca="1" ref="C26" ca="1">VLOOKUP(A26&amp;"/"&amp;C27,INDIRECT(SensorDataTableName),7,FALSE)</f>
        <v>6.8</v>
      </c>
      <c r="D26" s="49" t="s">
        <v>110</v>
      </c>
      <c r="E26" s="49"/>
      <c r="F26" s="49" t="s">
        <v>110</v>
      </c>
      <c r="G26" s="50" cm="1">
        <f t="array" aca="1" ref="G26" ca="1">VLOOKUP(I26&amp;"/"&amp;G27,INDIRECT(SensorDataTableName),7,FALSE)</f>
        <v>6.8</v>
      </c>
      <c r="H26" s="49" t="s">
        <v>110</v>
      </c>
      <c r="I26" s="48" t="s">
        <v>10</v>
      </c>
      <c r="L26" s="44" cm="1">
        <f t="array" aca="1" ref="L26" ca="1">COUNTIF(INDIRECT(SensorDataTableName&amp;"[Radd]"),K26)</f>
        <v>0</v>
      </c>
      <c r="N26" s="51" t="str">
        <f ca="1"/>
        <v>R21</v>
      </c>
      <c r="O26" s="45">
        <f ca="1"/>
        <v>15</v>
      </c>
      <c r="P26" s="46">
        <f ca="1"/>
        <v>1067.5899999999999</v>
      </c>
      <c r="Q26" s="46">
        <f ca="1"/>
        <v>1067.3999999999996</v>
      </c>
      <c r="R26" s="46">
        <f ca="1"/>
        <v>1067.3999999999996</v>
      </c>
      <c r="S26" s="57"/>
    </row>
    <row r="27" spans="1:19" ht="11.25" customHeight="1" x14ac:dyDescent="0.25">
      <c r="A27" s="48"/>
      <c r="B27" s="48"/>
      <c r="C27" s="48" t="s">
        <v>78</v>
      </c>
      <c r="D27" s="48"/>
      <c r="E27" s="48"/>
      <c r="F27" s="48"/>
      <c r="G27" s="48" t="s">
        <v>95</v>
      </c>
      <c r="H27" s="48"/>
      <c r="I27" s="48"/>
      <c r="L27" s="44" cm="1">
        <f t="array" aca="1" ref="L27" ca="1">COUNTIF(INDIRECT(SensorDataTableName&amp;"[Radd]"),K27)</f>
        <v>0</v>
      </c>
      <c r="N27" s="51" t="str">
        <f ca="1"/>
        <v>R22</v>
      </c>
      <c r="O27" s="45">
        <f ca="1"/>
        <v>16.5</v>
      </c>
      <c r="P27" s="46">
        <f ca="1"/>
        <v>1074.48</v>
      </c>
      <c r="Q27" s="46">
        <f ca="1"/>
        <v>1074.1999999999994</v>
      </c>
      <c r="R27" s="46">
        <f ca="1"/>
        <v>1074.1999999999994</v>
      </c>
      <c r="S27" s="57"/>
    </row>
    <row r="28" spans="1:19" ht="11.25" customHeight="1" x14ac:dyDescent="0.25">
      <c r="A28" s="48" t="s">
        <v>7</v>
      </c>
      <c r="B28" s="49" t="s">
        <v>110</v>
      </c>
      <c r="C28" s="50" cm="1">
        <f t="array" aca="1" ref="C28" ca="1">VLOOKUP(A28&amp;"/"&amp;C29,INDIRECT(SensorDataTableName),7,FALSE)</f>
        <v>6.2</v>
      </c>
      <c r="D28" s="49" t="s">
        <v>110</v>
      </c>
      <c r="E28" s="49"/>
      <c r="F28" s="49" t="s">
        <v>110</v>
      </c>
      <c r="G28" s="50" cm="1">
        <f t="array" aca="1" ref="G28" ca="1">VLOOKUP(I28&amp;"/"&amp;G29,INDIRECT(SensorDataTableName),7,FALSE)</f>
        <v>6.8</v>
      </c>
      <c r="H28" s="49" t="s">
        <v>110</v>
      </c>
      <c r="I28" s="48" t="s">
        <v>6</v>
      </c>
      <c r="L28" s="44" cm="1">
        <f t="array" aca="1" ref="L28" ca="1">COUNTIF(INDIRECT(SensorDataTableName&amp;"[Radd]"),K28)</f>
        <v>0</v>
      </c>
      <c r="N28" s="51" t="str">
        <f ca="1"/>
        <v>R23</v>
      </c>
      <c r="O28" s="45">
        <f ca="1"/>
        <v>18</v>
      </c>
      <c r="P28" s="46">
        <f ca="1"/>
        <v>1081.3900000000001</v>
      </c>
      <c r="Q28" s="46">
        <f ca="1"/>
        <v>1081.6999999999994</v>
      </c>
      <c r="R28" s="46">
        <f ca="1"/>
        <v>1081.6999999999994</v>
      </c>
      <c r="S28" s="57"/>
    </row>
    <row r="29" spans="1:19" ht="11.25" customHeight="1" x14ac:dyDescent="0.25">
      <c r="A29" s="48"/>
      <c r="B29" s="48"/>
      <c r="C29" s="48" t="s">
        <v>79</v>
      </c>
      <c r="D29" s="48"/>
      <c r="E29" s="48"/>
      <c r="F29" s="48"/>
      <c r="G29" s="48" t="s">
        <v>96</v>
      </c>
      <c r="H29" s="48"/>
      <c r="I29" s="48"/>
      <c r="L29" s="44" cm="1">
        <f t="array" aca="1" ref="L29" ca="1">COUNTIF(INDIRECT(SensorDataTableName&amp;"[Radd]"),K29)</f>
        <v>0</v>
      </c>
      <c r="N29" s="51" t="str">
        <f ca="1"/>
        <v>R24</v>
      </c>
      <c r="O29" s="45">
        <f ca="1"/>
        <v>19.5</v>
      </c>
      <c r="P29" s="46">
        <f ca="1"/>
        <v>1088.335</v>
      </c>
      <c r="Q29" s="46">
        <f ca="1"/>
        <v>1088.4999999999995</v>
      </c>
      <c r="R29" s="46">
        <f ca="1"/>
        <v>1088.4999999999995</v>
      </c>
      <c r="S29" s="57"/>
    </row>
    <row r="30" spans="1:19" ht="11.25" customHeight="1" x14ac:dyDescent="0.25">
      <c r="A30" s="48" t="s">
        <v>5</v>
      </c>
      <c r="B30" s="49" t="s">
        <v>110</v>
      </c>
      <c r="C30" s="50" cm="1">
        <f t="array" aca="1" ref="C30" ca="1">VLOOKUP(A30&amp;"/"&amp;C31,INDIRECT(SensorDataTableName),7,FALSE)</f>
        <v>6.8</v>
      </c>
      <c r="D30" s="49" t="s">
        <v>110</v>
      </c>
      <c r="E30" s="49"/>
      <c r="F30" s="49" t="s">
        <v>110</v>
      </c>
      <c r="G30" s="50" cm="1">
        <f t="array" aca="1" ref="G30" ca="1">VLOOKUP(I30&amp;"/"&amp;G31,INDIRECT(SensorDataTableName),7,FALSE)</f>
        <v>6.2</v>
      </c>
      <c r="H30" s="49" t="s">
        <v>110</v>
      </c>
      <c r="I30" s="48" t="s">
        <v>8</v>
      </c>
      <c r="K30" s="58" t="s">
        <v>280</v>
      </c>
      <c r="L30" s="58"/>
      <c r="N30" s="51" t="str">
        <f ca="1"/>
        <v>R25</v>
      </c>
      <c r="O30" s="45">
        <f ca="1"/>
        <v>21</v>
      </c>
      <c r="P30" s="46">
        <f ca="1"/>
        <v>1095.3</v>
      </c>
      <c r="Q30" s="46">
        <f ca="1"/>
        <v>1095.2999999999993</v>
      </c>
      <c r="R30" s="46">
        <f ca="1"/>
        <v>1095.2999999999993</v>
      </c>
      <c r="S30" s="57"/>
    </row>
    <row r="31" spans="1:19" ht="11.25" customHeight="1" x14ac:dyDescent="0.25">
      <c r="A31" s="48"/>
      <c r="B31" s="48"/>
      <c r="C31" s="48" t="s">
        <v>80</v>
      </c>
      <c r="D31" s="48"/>
      <c r="E31" s="48"/>
      <c r="F31" s="48"/>
      <c r="G31" s="48" t="s">
        <v>97</v>
      </c>
      <c r="H31" s="48"/>
      <c r="I31" s="48"/>
      <c r="K31" s="58"/>
      <c r="L31" s="58"/>
      <c r="N31" s="51" t="str">
        <f ca="1"/>
        <v>R26</v>
      </c>
      <c r="O31" s="45">
        <f ca="1"/>
        <v>22.5</v>
      </c>
      <c r="P31" s="46">
        <f ca="1"/>
        <v>1102.29</v>
      </c>
      <c r="Q31" s="46">
        <f ca="1"/>
        <v>1102.0999999999995</v>
      </c>
      <c r="R31" s="46">
        <f ca="1"/>
        <v>1102.0999999999995</v>
      </c>
      <c r="S31" s="57"/>
    </row>
    <row r="32" spans="1:19" ht="11.25" customHeight="1" x14ac:dyDescent="0.25">
      <c r="A32" s="48" t="s">
        <v>4</v>
      </c>
      <c r="B32" s="49" t="s">
        <v>110</v>
      </c>
      <c r="C32" s="50" cm="1">
        <f t="array" aca="1" ref="C32" ca="1">VLOOKUP(A32&amp;"/"&amp;C33,INDIRECT(SensorDataTableName),7,FALSE)</f>
        <v>6.8</v>
      </c>
      <c r="D32" s="49" t="s">
        <v>110</v>
      </c>
      <c r="E32" s="49"/>
      <c r="F32" s="49" t="s">
        <v>110</v>
      </c>
      <c r="G32" s="50" cm="1">
        <f t="array" aca="1" ref="G32" ca="1">VLOOKUP(I32&amp;"/"&amp;G33,INDIRECT(SensorDataTableName),7,FALSE)</f>
        <v>6.2</v>
      </c>
      <c r="H32" s="49" t="s">
        <v>110</v>
      </c>
      <c r="I32" s="48" t="s">
        <v>3</v>
      </c>
      <c r="K32" s="58"/>
      <c r="L32" s="58"/>
      <c r="N32" s="51" t="str">
        <f ca="1"/>
        <v>R27</v>
      </c>
      <c r="O32" s="45">
        <f ca="1"/>
        <v>24</v>
      </c>
      <c r="P32" s="46">
        <f ca="1"/>
        <v>1109.3</v>
      </c>
      <c r="Q32" s="46">
        <f ca="1"/>
        <v>1109.5999999999995</v>
      </c>
      <c r="R32" s="46">
        <f ca="1"/>
        <v>1109.5999999999995</v>
      </c>
      <c r="S32" s="57"/>
    </row>
    <row r="33" spans="1:19" ht="11.25" customHeight="1" x14ac:dyDescent="0.25">
      <c r="A33" s="48"/>
      <c r="B33" s="48"/>
      <c r="C33" s="48" t="s">
        <v>81</v>
      </c>
      <c r="D33" s="48"/>
      <c r="E33" s="48"/>
      <c r="F33" s="48"/>
      <c r="G33" s="48" t="s">
        <v>98</v>
      </c>
      <c r="H33" s="48"/>
      <c r="I33" s="48"/>
      <c r="K33" s="58"/>
      <c r="L33" s="58"/>
      <c r="N33" s="51" t="str">
        <f ca="1"/>
        <v>R28</v>
      </c>
      <c r="O33" s="45">
        <f ca="1"/>
        <v>25.5</v>
      </c>
      <c r="P33" s="46">
        <f ca="1"/>
        <v>1116.345</v>
      </c>
      <c r="Q33" s="46">
        <f ca="1"/>
        <v>1116.3999999999992</v>
      </c>
      <c r="R33" s="46">
        <f ca="1"/>
        <v>1116.3999999999992</v>
      </c>
      <c r="S33" s="57"/>
    </row>
    <row r="34" spans="1:19" ht="11.25" customHeight="1" x14ac:dyDescent="0.25">
      <c r="A34" s="48" t="s">
        <v>2</v>
      </c>
      <c r="B34" s="49" t="s">
        <v>110</v>
      </c>
      <c r="C34" s="50" cm="1">
        <f t="array" aca="1" ref="C34" ca="1">VLOOKUP(A34&amp;"/"&amp;C35,INDIRECT(SensorDataTableName),7,FALSE)</f>
        <v>6.8</v>
      </c>
      <c r="D34" s="49" t="s">
        <v>110</v>
      </c>
      <c r="E34" s="49"/>
      <c r="F34" s="49" t="s">
        <v>110</v>
      </c>
      <c r="G34" s="50" cm="1">
        <f t="array" aca="1" ref="G34" ca="1">VLOOKUP(I34&amp;"/"&amp;G35,INDIRECT(SensorDataTableName),7,FALSE)</f>
        <v>6.2</v>
      </c>
      <c r="H34" s="49" t="s">
        <v>110</v>
      </c>
      <c r="I34" s="48" t="s">
        <v>1</v>
      </c>
      <c r="K34" s="58"/>
      <c r="L34" s="58"/>
      <c r="N34" s="51" t="str">
        <f ca="1"/>
        <v>R29</v>
      </c>
      <c r="O34" s="45">
        <f ca="1"/>
        <v>27</v>
      </c>
      <c r="P34" s="46">
        <f ca="1"/>
        <v>1123.4100000000001</v>
      </c>
      <c r="Q34" s="46">
        <f ca="1"/>
        <v>1123.1999999999994</v>
      </c>
      <c r="R34" s="46">
        <f ca="1"/>
        <v>1123.1999999999994</v>
      </c>
      <c r="S34" s="57"/>
    </row>
    <row r="35" spans="1:19" ht="11.25" customHeight="1" x14ac:dyDescent="0.25">
      <c r="A35" s="48"/>
      <c r="B35" s="48"/>
      <c r="C35" s="48" t="s">
        <v>82</v>
      </c>
      <c r="D35" s="48"/>
      <c r="E35" s="48"/>
      <c r="F35" s="48"/>
      <c r="G35" s="48" t="s">
        <v>99</v>
      </c>
      <c r="H35" s="48"/>
      <c r="I35" s="48"/>
      <c r="K35" s="58"/>
      <c r="L35" s="58"/>
      <c r="N35" s="51" t="str">
        <f ca="1"/>
        <v>R30</v>
      </c>
      <c r="O35" s="45">
        <f ca="1"/>
        <v>28.5</v>
      </c>
      <c r="P35" s="46">
        <f ca="1"/>
        <v>1130.5</v>
      </c>
      <c r="Q35" s="46">
        <f ca="1"/>
        <v>1130.6999999999994</v>
      </c>
      <c r="R35" s="46">
        <f ca="1"/>
        <v>1130.6999999999994</v>
      </c>
      <c r="S35" s="57"/>
    </row>
    <row r="36" spans="1:19" ht="11.25" customHeight="1" x14ac:dyDescent="0.25">
      <c r="A36" s="48" t="s">
        <v>0</v>
      </c>
      <c r="B36" s="49" t="s">
        <v>110</v>
      </c>
      <c r="C36" s="50" cm="1">
        <f t="array" aca="1" ref="C36" ca="1">VLOOKUP(A36&amp;"/"&amp;C37,INDIRECT(SensorDataTableName),7,FALSE)</f>
        <v>6.2</v>
      </c>
      <c r="D36" s="49" t="s">
        <v>110</v>
      </c>
      <c r="E36" s="49"/>
      <c r="F36" s="49" t="s">
        <v>110</v>
      </c>
      <c r="G36" s="50" cm="1">
        <f t="array" aca="1" ref="G36" ca="1">VLOOKUP(I36&amp;"/"&amp;G37,INDIRECT(SensorDataTableName),7,FALSE)</f>
        <v>819.99999999999989</v>
      </c>
      <c r="H36" s="49" t="s">
        <v>110</v>
      </c>
      <c r="I36" s="48" t="s">
        <v>9</v>
      </c>
      <c r="K36" s="58"/>
      <c r="L36" s="58"/>
      <c r="N36" s="51" t="str">
        <f ca="1"/>
        <v>R31</v>
      </c>
      <c r="O36" s="45">
        <f ca="1"/>
        <v>30</v>
      </c>
      <c r="P36" s="46">
        <f ca="1"/>
        <v>1137.6199999999999</v>
      </c>
      <c r="Q36" s="46">
        <f ca="1"/>
        <v>1137.4999999999991</v>
      </c>
      <c r="R36" s="46">
        <f ca="1"/>
        <v>1137.4999999999991</v>
      </c>
      <c r="S36" s="57"/>
    </row>
    <row r="37" spans="1:19" ht="11.25" customHeight="1" x14ac:dyDescent="0.25">
      <c r="A37" s="48"/>
      <c r="B37" s="48"/>
      <c r="C37" s="48" t="s">
        <v>67</v>
      </c>
      <c r="D37" s="48"/>
      <c r="E37" s="48"/>
      <c r="F37" s="48"/>
      <c r="G37" s="48" t="s">
        <v>100</v>
      </c>
      <c r="H37" s="48"/>
      <c r="I37" s="48"/>
      <c r="K37" s="58"/>
      <c r="L37" s="58"/>
      <c r="N37" s="51" t="str">
        <f ca="1"/>
        <v>R32</v>
      </c>
      <c r="O37" s="45">
        <f ca="1"/>
        <v>31.5</v>
      </c>
      <c r="P37" s="46">
        <f ca="1"/>
        <v>1144.7550000000001</v>
      </c>
      <c r="Q37" s="46">
        <f ca="1"/>
        <v>1144.9999999999991</v>
      </c>
      <c r="R37" s="46">
        <f ca="1"/>
        <v>1144.9999999999991</v>
      </c>
    </row>
    <row r="39" spans="1:19" ht="18.75" x14ac:dyDescent="0.25">
      <c r="G39" s="56"/>
    </row>
    <row r="40" spans="1:19" x14ac:dyDescent="0.25">
      <c r="O40" s="42" t="s">
        <v>263</v>
      </c>
      <c r="P40" s="55">
        <f ca="1">MAX(_xlfn.ANCHORARRAY(P6))-MIN(_xlfn.ANCHORARRAY(P6))</f>
        <v>210.0150000000001</v>
      </c>
      <c r="Q40" s="42" t="s">
        <v>264</v>
      </c>
    </row>
    <row r="41" spans="1:19" x14ac:dyDescent="0.25">
      <c r="O41" s="42" t="s">
        <v>266</v>
      </c>
      <c r="P41" s="54">
        <f ca="1">P40/(31.5-(-15))</f>
        <v>4.5164516129032277</v>
      </c>
      <c r="Q41" s="42" t="s">
        <v>265</v>
      </c>
    </row>
    <row r="42" spans="1:19" x14ac:dyDescent="0.25">
      <c r="O42" s="42" t="s">
        <v>269</v>
      </c>
      <c r="P42" s="42">
        <v>0.1</v>
      </c>
      <c r="Q42" s="42" t="s">
        <v>153</v>
      </c>
    </row>
    <row r="43" spans="1:19" x14ac:dyDescent="0.25">
      <c r="O43" s="42" t="s">
        <v>269</v>
      </c>
      <c r="P43" s="54">
        <f ca="1">P41*P42</f>
        <v>0.45164516129032278</v>
      </c>
      <c r="Q43" s="42" t="s">
        <v>264</v>
      </c>
    </row>
    <row r="44" spans="1:19" x14ac:dyDescent="0.25">
      <c r="O44" s="42" t="s">
        <v>267</v>
      </c>
      <c r="P44" s="42">
        <v>0.6</v>
      </c>
      <c r="Q44" s="42" t="s">
        <v>153</v>
      </c>
    </row>
    <row r="45" spans="1:19" x14ac:dyDescent="0.25">
      <c r="O45" s="42" t="s">
        <v>267</v>
      </c>
      <c r="P45" s="42">
        <f ca="1">P44*P41</f>
        <v>2.7098709677419364</v>
      </c>
      <c r="Q45" s="42" t="s">
        <v>264</v>
      </c>
    </row>
  </sheetData>
  <dataConsolidate/>
  <mergeCells count="10">
    <mergeCell ref="K30:L37"/>
    <mergeCell ref="O1:Q1"/>
    <mergeCell ref="A5:I5"/>
    <mergeCell ref="L1:N1"/>
    <mergeCell ref="E1:G1"/>
    <mergeCell ref="E2:G2"/>
    <mergeCell ref="C1:D1"/>
    <mergeCell ref="C2:D2"/>
    <mergeCell ref="L2:N2"/>
    <mergeCell ref="O2:Q2"/>
  </mergeCells>
  <phoneticPr fontId="1" type="noConversion"/>
  <conditionalFormatting sqref="K6:L29 K30">
    <cfRule type="cellIs" dxfId="246" priority="1" operator="greaterThan">
      <formula>0</formula>
    </cfRule>
  </conditionalFormatting>
  <dataValidations count="1">
    <dataValidation type="list" allowBlank="1" showInputMessage="1" showErrorMessage="1" sqref="O1" xr:uid="{C11F7635-CCC7-4563-810D-8450C0B8D5DA}">
      <formula1>INDIRECT("SensorTypeList[Name]")</formula1>
    </dataValidation>
  </dataValidations>
  <pageMargins left="0.70866141732283472" right="0.70866141732283472" top="0.74803149606299213" bottom="0.74803149606299213" header="0.31496062992125984" footer="0.31496062992125984"/>
  <pageSetup paperSize="8" orientation="landscape" r:id="rId1"/>
  <headerFooter>
    <oddHeader>&amp;R&amp;G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owDetails">
                <anchor moveWithCells="1" sizeWithCells="1">
                  <from>
                    <xdr:col>17</xdr:col>
                    <xdr:colOff>38100</xdr:colOff>
                    <xdr:row>0</xdr:row>
                    <xdr:rowOff>19050</xdr:rowOff>
                  </from>
                  <to>
                    <xdr:col>17</xdr:col>
                    <xdr:colOff>628650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AddSensorType">
                <anchor moveWithCells="1" sizeWithCells="1">
                  <from>
                    <xdr:col>18</xdr:col>
                    <xdr:colOff>28575</xdr:colOff>
                    <xdr:row>0</xdr:row>
                    <xdr:rowOff>19050</xdr:rowOff>
                  </from>
                  <to>
                    <xdr:col>18</xdr:col>
                    <xdr:colOff>619125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6" name="Button 12">
              <controlPr defaultSize="0" print="0" autoFill="0" autoPict="0" macro="[0]!EditIDs">
                <anchor moveWithCells="1" sizeWithCells="1">
                  <from>
                    <xdr:col>17</xdr:col>
                    <xdr:colOff>38100</xdr:colOff>
                    <xdr:row>1</xdr:row>
                    <xdr:rowOff>19050</xdr:rowOff>
                  </from>
                  <to>
                    <xdr:col>17</xdr:col>
                    <xdr:colOff>628650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Button 13">
              <controlPr defaultSize="0" print="0" autoFill="0" autoPict="0" macro="[0]!DeleteSensorType">
                <anchor moveWithCells="1" sizeWithCells="1">
                  <from>
                    <xdr:col>19</xdr:col>
                    <xdr:colOff>28575</xdr:colOff>
                    <xdr:row>0</xdr:row>
                    <xdr:rowOff>19050</xdr:rowOff>
                  </from>
                  <to>
                    <xdr:col>19</xdr:col>
                    <xdr:colOff>619125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09728-C40E-47D9-ADAF-885A011FDBDF}">
  <sheetPr codeName="Feuil16">
    <pageSetUpPr fitToPage="1"/>
  </sheetPr>
  <dimension ref="A1:G48"/>
  <sheetViews>
    <sheetView workbookViewId="0">
      <pane ySplit="2" topLeftCell="A27" activePane="bottomLeft" state="frozen"/>
      <selection pane="bottomLeft" activeCell="J10" sqref="J10"/>
    </sheetView>
  </sheetViews>
  <sheetFormatPr baseColWidth="10" defaultRowHeight="15" x14ac:dyDescent="0.25"/>
  <cols>
    <col min="1" max="1" width="8.28515625" customWidth="1"/>
    <col min="2" max="3" width="8.7109375" customWidth="1"/>
    <col min="4" max="4" width="25.7109375" customWidth="1"/>
    <col min="5" max="5" width="68" customWidth="1"/>
    <col min="6" max="6" width="5.85546875" customWidth="1"/>
  </cols>
  <sheetData>
    <row r="1" spans="1:7" ht="20.25" customHeight="1" x14ac:dyDescent="0.3">
      <c r="A1" s="65" t="s">
        <v>242</v>
      </c>
      <c r="B1" s="65"/>
      <c r="C1" s="65"/>
      <c r="D1" s="65"/>
      <c r="E1" s="65"/>
      <c r="G1" s="1" t="s">
        <v>255</v>
      </c>
    </row>
    <row r="2" spans="1:7" x14ac:dyDescent="0.25">
      <c r="A2" t="s">
        <v>244</v>
      </c>
      <c r="B2" t="s">
        <v>247</v>
      </c>
      <c r="C2" t="s">
        <v>227</v>
      </c>
      <c r="D2" t="s">
        <v>245</v>
      </c>
      <c r="E2" t="s">
        <v>246</v>
      </c>
      <c r="F2" t="s">
        <v>288</v>
      </c>
      <c r="G2" t="str" cm="1">
        <f t="array" ref="G2">_xlfn._xlws.FILTER(SensorTypeList[Name],ISNA(MATCH(SensorTypeList[Name],SensorTypesIDs[Nom],0)),"Aucun")</f>
        <v>NTC 10k2 3977</v>
      </c>
    </row>
    <row r="3" spans="1:7" x14ac:dyDescent="0.25">
      <c r="A3" s="3">
        <v>350</v>
      </c>
      <c r="B3" s="3" t="s">
        <v>229</v>
      </c>
      <c r="C3" s="3">
        <v>1000</v>
      </c>
      <c r="D3" t="s">
        <v>150</v>
      </c>
      <c r="E3" t="s">
        <v>283</v>
      </c>
      <c r="F3" s="3">
        <v>16</v>
      </c>
    </row>
    <row r="4" spans="1:7" x14ac:dyDescent="0.25">
      <c r="A4" s="3">
        <v>300</v>
      </c>
      <c r="B4" s="3" t="s">
        <v>229</v>
      </c>
      <c r="C4" s="3">
        <v>1000</v>
      </c>
      <c r="D4" t="s">
        <v>234</v>
      </c>
      <c r="F4" s="3">
        <v>7</v>
      </c>
    </row>
    <row r="5" spans="1:7" x14ac:dyDescent="0.25">
      <c r="A5" s="3">
        <v>2500</v>
      </c>
      <c r="B5" s="3" t="s">
        <v>235</v>
      </c>
      <c r="C5" s="3">
        <v>10000</v>
      </c>
      <c r="D5" t="s">
        <v>223</v>
      </c>
      <c r="F5" s="3">
        <v>6</v>
      </c>
    </row>
    <row r="6" spans="1:7" x14ac:dyDescent="0.25">
      <c r="A6" s="3">
        <v>1045</v>
      </c>
      <c r="B6" s="3" t="s">
        <v>235</v>
      </c>
      <c r="C6" s="3">
        <v>437</v>
      </c>
      <c r="D6" t="s">
        <v>270</v>
      </c>
      <c r="F6" s="3">
        <v>4</v>
      </c>
    </row>
    <row r="7" spans="1:7" x14ac:dyDescent="0.25">
      <c r="A7" s="3">
        <v>351</v>
      </c>
      <c r="B7" s="3" t="s">
        <v>229</v>
      </c>
      <c r="C7" s="3">
        <v>1000</v>
      </c>
      <c r="D7" t="s">
        <v>154</v>
      </c>
      <c r="E7" t="s">
        <v>284</v>
      </c>
      <c r="F7" s="3">
        <v>3</v>
      </c>
    </row>
    <row r="8" spans="1:7" x14ac:dyDescent="0.25">
      <c r="A8" s="3">
        <v>490</v>
      </c>
      <c r="B8" s="3" t="s">
        <v>229</v>
      </c>
      <c r="C8" s="3">
        <v>1630</v>
      </c>
      <c r="D8" t="s">
        <v>259</v>
      </c>
      <c r="E8" t="s">
        <v>282</v>
      </c>
      <c r="F8" s="3">
        <v>3</v>
      </c>
    </row>
    <row r="9" spans="1:7" x14ac:dyDescent="0.25">
      <c r="A9" s="3">
        <v>1050</v>
      </c>
      <c r="B9" s="3" t="s">
        <v>235</v>
      </c>
      <c r="C9" s="3">
        <v>563</v>
      </c>
      <c r="D9" t="s">
        <v>278</v>
      </c>
      <c r="E9" t="s">
        <v>279</v>
      </c>
      <c r="F9" s="3">
        <v>3</v>
      </c>
    </row>
    <row r="10" spans="1:7" x14ac:dyDescent="0.25">
      <c r="A10" s="3">
        <v>1100</v>
      </c>
      <c r="B10" s="3" t="s">
        <v>235</v>
      </c>
      <c r="C10" s="3">
        <v>1000</v>
      </c>
      <c r="D10" t="s">
        <v>256</v>
      </c>
      <c r="E10" s="42" t="s">
        <v>281</v>
      </c>
      <c r="F10" s="3">
        <v>2</v>
      </c>
    </row>
    <row r="11" spans="1:7" x14ac:dyDescent="0.25">
      <c r="A11" s="3">
        <v>500</v>
      </c>
      <c r="B11" s="3" t="s">
        <v>229</v>
      </c>
      <c r="C11" s="3">
        <v>1650</v>
      </c>
      <c r="D11" t="s">
        <v>222</v>
      </c>
      <c r="F11" s="3">
        <v>1</v>
      </c>
    </row>
    <row r="12" spans="1:7" x14ac:dyDescent="0.25">
      <c r="A12" s="3">
        <v>1101</v>
      </c>
      <c r="B12" s="3" t="s">
        <v>235</v>
      </c>
      <c r="C12" s="3">
        <v>1020</v>
      </c>
      <c r="D12" t="s">
        <v>142</v>
      </c>
      <c r="E12" t="s">
        <v>236</v>
      </c>
      <c r="F12" s="3">
        <v>1</v>
      </c>
    </row>
    <row r="13" spans="1:7" x14ac:dyDescent="0.25">
      <c r="A13" s="3">
        <v>1640</v>
      </c>
      <c r="B13" s="3" t="s">
        <v>235</v>
      </c>
      <c r="C13" s="3">
        <v>2200</v>
      </c>
      <c r="D13" t="s">
        <v>141</v>
      </c>
      <c r="F13" s="3">
        <v>1</v>
      </c>
    </row>
    <row r="14" spans="1:7" x14ac:dyDescent="0.25">
      <c r="A14" s="3">
        <v>3000</v>
      </c>
      <c r="B14" s="3" t="s">
        <v>235</v>
      </c>
      <c r="C14" s="3">
        <v>20000</v>
      </c>
      <c r="D14" t="s">
        <v>285</v>
      </c>
      <c r="F14" s="3">
        <v>1</v>
      </c>
    </row>
    <row r="15" spans="1:7" x14ac:dyDescent="0.25">
      <c r="A15" s="3">
        <v>10</v>
      </c>
      <c r="B15" s="3" t="s">
        <v>229</v>
      </c>
      <c r="C15" s="3">
        <v>100</v>
      </c>
      <c r="D15" t="s">
        <v>228</v>
      </c>
      <c r="F15" s="3"/>
    </row>
    <row r="16" spans="1:7" x14ac:dyDescent="0.25">
      <c r="A16" s="3">
        <v>20</v>
      </c>
      <c r="B16" s="3" t="s">
        <v>229</v>
      </c>
      <c r="C16" s="3">
        <v>100</v>
      </c>
      <c r="D16" t="s">
        <v>230</v>
      </c>
      <c r="F16" s="3"/>
    </row>
    <row r="17" spans="1:6" x14ac:dyDescent="0.25">
      <c r="A17" s="3">
        <v>50</v>
      </c>
      <c r="B17" s="3" t="s">
        <v>229</v>
      </c>
      <c r="C17" s="3">
        <v>120</v>
      </c>
      <c r="D17" t="s">
        <v>231</v>
      </c>
      <c r="F17" s="3"/>
    </row>
    <row r="18" spans="1:6" x14ac:dyDescent="0.25">
      <c r="A18" s="3">
        <v>100</v>
      </c>
      <c r="B18" s="3" t="s">
        <v>229</v>
      </c>
      <c r="C18" s="3">
        <v>200</v>
      </c>
      <c r="D18" t="s">
        <v>232</v>
      </c>
      <c r="F18" s="3"/>
    </row>
    <row r="19" spans="1:6" x14ac:dyDescent="0.25">
      <c r="A19" s="3">
        <v>200</v>
      </c>
      <c r="B19" s="3" t="s">
        <v>229</v>
      </c>
      <c r="C19" s="3">
        <v>500</v>
      </c>
      <c r="D19" t="s">
        <v>233</v>
      </c>
      <c r="F19" s="3"/>
    </row>
    <row r="20" spans="1:6" x14ac:dyDescent="0.25">
      <c r="A20" s="3">
        <v>201</v>
      </c>
      <c r="B20" s="3" t="s">
        <v>229</v>
      </c>
      <c r="C20" s="3">
        <v>502</v>
      </c>
      <c r="D20" t="s">
        <v>275</v>
      </c>
      <c r="F20" s="3"/>
    </row>
    <row r="21" spans="1:6" x14ac:dyDescent="0.25">
      <c r="A21" s="3">
        <v>700</v>
      </c>
      <c r="B21" s="3" t="s">
        <v>229</v>
      </c>
      <c r="C21" s="3">
        <v>2000</v>
      </c>
      <c r="F21" s="3"/>
    </row>
    <row r="22" spans="1:6" x14ac:dyDescent="0.25">
      <c r="A22" s="3">
        <v>1000</v>
      </c>
      <c r="B22" s="3" t="s">
        <v>235</v>
      </c>
      <c r="C22" s="3">
        <v>100</v>
      </c>
      <c r="E22" s="23"/>
      <c r="F22" s="3"/>
    </row>
    <row r="23" spans="1:6" x14ac:dyDescent="0.25">
      <c r="A23" s="3">
        <v>1060</v>
      </c>
      <c r="B23" s="3" t="s">
        <v>235</v>
      </c>
      <c r="C23" s="3">
        <v>600</v>
      </c>
      <c r="F23" s="3"/>
    </row>
    <row r="24" spans="1:6" x14ac:dyDescent="0.25">
      <c r="A24" s="3">
        <v>1070</v>
      </c>
      <c r="B24" s="3" t="s">
        <v>235</v>
      </c>
      <c r="C24" s="3">
        <v>700</v>
      </c>
      <c r="F24" s="3"/>
    </row>
    <row r="25" spans="1:6" x14ac:dyDescent="0.25">
      <c r="A25" s="3">
        <v>1080</v>
      </c>
      <c r="B25" s="3" t="s">
        <v>235</v>
      </c>
      <c r="C25" s="3">
        <v>800</v>
      </c>
      <c r="F25" s="3"/>
    </row>
    <row r="26" spans="1:6" x14ac:dyDescent="0.25">
      <c r="A26" s="3">
        <v>1090</v>
      </c>
      <c r="B26" s="3" t="s">
        <v>235</v>
      </c>
      <c r="C26" s="3">
        <v>900</v>
      </c>
      <c r="F26" s="3"/>
    </row>
    <row r="27" spans="1:6" x14ac:dyDescent="0.25">
      <c r="A27" s="3">
        <v>1150</v>
      </c>
      <c r="B27" s="3" t="s">
        <v>235</v>
      </c>
      <c r="C27" s="3">
        <v>1100</v>
      </c>
      <c r="F27" s="3"/>
    </row>
    <row r="28" spans="1:6" x14ac:dyDescent="0.25">
      <c r="A28" s="3">
        <v>1200</v>
      </c>
      <c r="B28" s="3" t="s">
        <v>235</v>
      </c>
      <c r="C28" s="3">
        <v>1200</v>
      </c>
      <c r="F28" s="3"/>
    </row>
    <row r="29" spans="1:6" x14ac:dyDescent="0.25">
      <c r="A29" s="3">
        <v>1250</v>
      </c>
      <c r="B29" s="3" t="s">
        <v>235</v>
      </c>
      <c r="C29" s="3">
        <v>1300</v>
      </c>
      <c r="F29" s="3"/>
    </row>
    <row r="30" spans="1:6" x14ac:dyDescent="0.25">
      <c r="A30" s="3">
        <v>1300</v>
      </c>
      <c r="B30" s="3" t="s">
        <v>235</v>
      </c>
      <c r="C30" s="3">
        <v>1400</v>
      </c>
      <c r="F30" s="3"/>
    </row>
    <row r="31" spans="1:6" x14ac:dyDescent="0.25">
      <c r="A31" s="3">
        <v>1350</v>
      </c>
      <c r="B31" s="3" t="s">
        <v>235</v>
      </c>
      <c r="C31" s="3">
        <v>1500</v>
      </c>
      <c r="F31" s="3"/>
    </row>
    <row r="32" spans="1:6" x14ac:dyDescent="0.25">
      <c r="A32" s="3">
        <v>1400</v>
      </c>
      <c r="B32" s="3" t="s">
        <v>235</v>
      </c>
      <c r="C32" s="3">
        <v>1600</v>
      </c>
      <c r="F32" s="3"/>
    </row>
    <row r="33" spans="1:6" x14ac:dyDescent="0.25">
      <c r="A33" s="3">
        <v>1450</v>
      </c>
      <c r="B33" s="3" t="s">
        <v>235</v>
      </c>
      <c r="C33" s="3">
        <v>1700</v>
      </c>
      <c r="F33" s="3"/>
    </row>
    <row r="34" spans="1:6" x14ac:dyDescent="0.25">
      <c r="A34" s="3">
        <v>1500</v>
      </c>
      <c r="B34" s="3" t="s">
        <v>235</v>
      </c>
      <c r="C34" s="3">
        <v>1800</v>
      </c>
      <c r="F34" s="3"/>
    </row>
    <row r="35" spans="1:6" x14ac:dyDescent="0.25">
      <c r="A35" s="3">
        <v>1550</v>
      </c>
      <c r="B35" s="3" t="s">
        <v>235</v>
      </c>
      <c r="C35" s="3">
        <v>1900</v>
      </c>
      <c r="F35" s="3"/>
    </row>
    <row r="36" spans="1:6" x14ac:dyDescent="0.25">
      <c r="A36" s="3">
        <v>1600</v>
      </c>
      <c r="B36" s="3" t="s">
        <v>235</v>
      </c>
      <c r="C36" s="3">
        <v>2000</v>
      </c>
      <c r="D36" t="s">
        <v>121</v>
      </c>
      <c r="F36" s="3"/>
    </row>
    <row r="37" spans="1:6" x14ac:dyDescent="0.25">
      <c r="A37" s="3">
        <v>1601</v>
      </c>
      <c r="B37" s="3" t="s">
        <v>235</v>
      </c>
      <c r="C37" s="3">
        <v>2000</v>
      </c>
      <c r="D37" t="s">
        <v>220</v>
      </c>
      <c r="F37" s="3"/>
    </row>
    <row r="38" spans="1:6" x14ac:dyDescent="0.25">
      <c r="A38" s="3">
        <v>1620</v>
      </c>
      <c r="B38" s="3" t="s">
        <v>235</v>
      </c>
      <c r="C38" s="3">
        <v>2100</v>
      </c>
      <c r="F38" s="3"/>
    </row>
    <row r="39" spans="1:6" x14ac:dyDescent="0.25">
      <c r="A39" s="3">
        <v>1660</v>
      </c>
      <c r="B39" s="3" t="s">
        <v>235</v>
      </c>
      <c r="C39" s="3">
        <v>2300</v>
      </c>
      <c r="F39" s="3"/>
    </row>
    <row r="40" spans="1:6" x14ac:dyDescent="0.25">
      <c r="A40" s="3">
        <v>1680</v>
      </c>
      <c r="B40" s="3" t="s">
        <v>235</v>
      </c>
      <c r="C40" s="3">
        <v>2400</v>
      </c>
      <c r="F40" s="3"/>
    </row>
    <row r="41" spans="1:6" x14ac:dyDescent="0.25">
      <c r="A41" s="3">
        <v>1700</v>
      </c>
      <c r="B41" s="3" t="s">
        <v>235</v>
      </c>
      <c r="C41" s="3">
        <v>2500</v>
      </c>
      <c r="F41" s="3"/>
    </row>
    <row r="42" spans="1:6" x14ac:dyDescent="0.25">
      <c r="A42" s="3">
        <v>1720</v>
      </c>
      <c r="B42" s="3" t="s">
        <v>235</v>
      </c>
      <c r="C42" s="3">
        <v>2600</v>
      </c>
      <c r="F42" s="3"/>
    </row>
    <row r="43" spans="1:6" x14ac:dyDescent="0.25">
      <c r="A43" s="3">
        <v>1740</v>
      </c>
      <c r="B43" s="3" t="s">
        <v>235</v>
      </c>
      <c r="C43" s="3">
        <v>2700</v>
      </c>
      <c r="F43" s="3"/>
    </row>
    <row r="44" spans="1:6" x14ac:dyDescent="0.25">
      <c r="A44" s="3">
        <v>1760</v>
      </c>
      <c r="B44" s="3" t="s">
        <v>235</v>
      </c>
      <c r="C44" s="3">
        <v>2800</v>
      </c>
      <c r="F44" s="3"/>
    </row>
    <row r="45" spans="1:6" x14ac:dyDescent="0.25">
      <c r="A45" s="3">
        <v>1780</v>
      </c>
      <c r="B45" s="3" t="s">
        <v>235</v>
      </c>
      <c r="C45" s="3">
        <v>2900</v>
      </c>
      <c r="F45" s="3"/>
    </row>
    <row r="46" spans="1:6" x14ac:dyDescent="0.25">
      <c r="A46" s="3">
        <v>1800</v>
      </c>
      <c r="B46" s="3" t="s">
        <v>235</v>
      </c>
      <c r="C46" s="3">
        <v>3000</v>
      </c>
      <c r="F46" s="3"/>
    </row>
    <row r="47" spans="1:6" x14ac:dyDescent="0.25">
      <c r="A47" s="3">
        <v>1900</v>
      </c>
      <c r="B47" s="3" t="s">
        <v>235</v>
      </c>
      <c r="C47" s="3">
        <v>4000</v>
      </c>
      <c r="F47" s="3"/>
    </row>
    <row r="48" spans="1:6" x14ac:dyDescent="0.25">
      <c r="A48" s="3">
        <v>2000</v>
      </c>
      <c r="B48" s="3" t="s">
        <v>235</v>
      </c>
      <c r="C48" s="3">
        <v>5000</v>
      </c>
      <c r="F48" s="3"/>
    </row>
  </sheetData>
  <mergeCells count="1">
    <mergeCell ref="A1:E1"/>
  </mergeCells>
  <conditionalFormatting sqref="G2">
    <cfRule type="cellIs" dxfId="245" priority="3" operator="equal">
      <formula>"Aucun"</formula>
    </cfRule>
  </conditionalFormatting>
  <conditionalFormatting sqref="D8">
    <cfRule type="cellIs" dxfId="244" priority="2" operator="equal">
      <formula>"Aucun"</formula>
    </cfRule>
  </conditionalFormatting>
  <conditionalFormatting sqref="D17">
    <cfRule type="cellIs" dxfId="243" priority="1" operator="equal">
      <formula>"Aucun"</formula>
    </cfRule>
  </conditionalFormatting>
  <pageMargins left="0.7" right="0.7" top="0.75" bottom="0.75" header="0.3" footer="0.3"/>
  <pageSetup paperSize="9" scale="5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209550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36ACF-5664-4D30-8FD2-9E1CBF6036FD}">
  <sheetPr codeName="Feuil2">
    <pageSetUpPr fitToPage="1"/>
  </sheetPr>
  <dimension ref="A1:T77"/>
  <sheetViews>
    <sheetView zoomScale="85" zoomScaleNormal="85" workbookViewId="0">
      <pane ySplit="17" topLeftCell="A60" activePane="bottomLeft" state="frozen"/>
      <selection pane="bottomLeft" activeCell="T17" sqref="T17:T48"/>
    </sheetView>
  </sheetViews>
  <sheetFormatPr baseColWidth="10" defaultRowHeight="15" x14ac:dyDescent="0.25"/>
  <cols>
    <col min="2" max="2" width="12.140625" bestFit="1" customWidth="1"/>
    <col min="8" max="8" width="11.5703125" bestFit="1" customWidth="1"/>
    <col min="19" max="19" width="11.140625" bestFit="1" customWidth="1"/>
  </cols>
  <sheetData>
    <row r="1" spans="1:20" x14ac:dyDescent="0.25">
      <c r="A1" s="30" t="s">
        <v>138</v>
      </c>
      <c r="B1" s="30" t="s">
        <v>137</v>
      </c>
      <c r="C1" s="32" cm="1">
        <f t="array" ref="C1">LOOKUP(MIN(ABS(B77:O77)),B77:O77,B17:O17)</f>
        <v>3977</v>
      </c>
      <c r="D1" s="30" t="s">
        <v>218</v>
      </c>
      <c r="E1" s="30" t="s">
        <v>217</v>
      </c>
      <c r="G1" s="1" t="s">
        <v>216</v>
      </c>
      <c r="H1" t="str">
        <f>"NTC "&amp;R_25/1000&amp;"k "&amp;$C$1</f>
        <v>NTC 10k 3977</v>
      </c>
    </row>
    <row r="2" spans="1:20" x14ac:dyDescent="0.25">
      <c r="A2" s="23">
        <v>-20</v>
      </c>
      <c r="B2" s="31">
        <v>96970</v>
      </c>
      <c r="C2" s="23">
        <f>HLOOKUP(C$1,$B$17:$O$38,11,FALSE)</f>
        <v>96360</v>
      </c>
      <c r="D2" s="6">
        <f>HLOOKUP($C$1,$B$17:$O$77,36)</f>
        <v>-20.109656302868842</v>
      </c>
      <c r="E2" s="36">
        <f>HLOOKUP($C$1,$B$17:$O$77,48)</f>
        <v>-0.1096563028688422</v>
      </c>
    </row>
    <row r="3" spans="1:20" x14ac:dyDescent="0.25">
      <c r="A3" s="23">
        <v>-15</v>
      </c>
      <c r="B3" s="31">
        <v>72916.25</v>
      </c>
      <c r="C3" s="23">
        <f>HLOOKUP(C$1,$B$17:$O$38,12,FALSE)</f>
        <v>72502</v>
      </c>
      <c r="D3" s="6">
        <f>HLOOKUP($C$1,$B$17:$O$77,37)</f>
        <v>-15.101757295785717</v>
      </c>
      <c r="E3" s="36">
        <f>HLOOKUP($C$1,$B$17:$O$77,49)</f>
        <v>-0.10175729578571691</v>
      </c>
    </row>
    <row r="4" spans="1:20" x14ac:dyDescent="0.25">
      <c r="A4" s="23">
        <v>-10</v>
      </c>
      <c r="B4" s="31">
        <v>55300</v>
      </c>
      <c r="C4" s="23">
        <f>HLOOKUP(C$1,$B$17:$O$38,13,FALSE)</f>
        <v>55047</v>
      </c>
      <c r="D4" s="6">
        <f>HLOOKUP($C$1,$B$17:$O$77,38)</f>
        <v>-10.084196567519541</v>
      </c>
      <c r="E4" s="36">
        <f>HLOOKUP($C$1,$B$17:$O$77,50)</f>
        <v>-8.4196567519541077E-2</v>
      </c>
    </row>
    <row r="5" spans="1:20" x14ac:dyDescent="0.25">
      <c r="A5" s="23">
        <v>-5</v>
      </c>
      <c r="B5" s="31">
        <v>42311.56</v>
      </c>
      <c r="C5" s="23">
        <f>HLOOKUP(C$1,$B$17:$O$38,14,FALSE)</f>
        <v>42158</v>
      </c>
      <c r="D5" s="6">
        <f>HLOOKUP($C$1,$B$17:$O$77,39)</f>
        <v>-5.0688936965513562</v>
      </c>
      <c r="E5" s="36">
        <f>HLOOKUP($C$1,$B$17:$O$77,51)</f>
        <v>-6.8893696551356243E-2</v>
      </c>
      <c r="G5" s="1" t="s">
        <v>215</v>
      </c>
    </row>
    <row r="6" spans="1:20" x14ac:dyDescent="0.25">
      <c r="A6" s="23">
        <v>0</v>
      </c>
      <c r="B6" s="31">
        <v>32650</v>
      </c>
      <c r="C6" s="23">
        <f>HLOOKUP(C$1,$B$17:$O$38,15,FALSE)</f>
        <v>32555</v>
      </c>
      <c r="D6" s="6">
        <f>HLOOKUP($C$1,$B$17:$O$77,40)</f>
        <v>-5.707930020406593E-2</v>
      </c>
      <c r="E6" s="36">
        <f>HLOOKUP($C$1,$B$17:$O$77,52)</f>
        <v>-5.707930020406593E-2</v>
      </c>
      <c r="G6" t="s">
        <v>131</v>
      </c>
      <c r="H6" s="5">
        <f>HLOOKUP($C$1,$B$17:$O$77,24)</f>
        <v>1.1312159797337736E-3</v>
      </c>
    </row>
    <row r="7" spans="1:20" x14ac:dyDescent="0.25">
      <c r="A7" s="23">
        <v>5</v>
      </c>
      <c r="B7" s="31">
        <v>25394.91</v>
      </c>
      <c r="C7" s="23">
        <f>HLOOKUP(C$1,$B$17:$O$38,16,FALSE)</f>
        <v>25339</v>
      </c>
      <c r="D7" s="6">
        <f>HLOOKUP($C$1,$B$17:$O$77,41)</f>
        <v>4.9553452517310461</v>
      </c>
      <c r="E7" s="36">
        <f>HLOOKUP($C$1,$B$17:$O$77,53)</f>
        <v>-4.4654748268953881E-2</v>
      </c>
      <c r="G7" t="s">
        <v>130</v>
      </c>
      <c r="H7" s="5">
        <f>HLOOKUP($C$1,$B$17:$O$77,25)</f>
        <v>2.3353481234243863E-4</v>
      </c>
    </row>
    <row r="8" spans="1:20" x14ac:dyDescent="0.25">
      <c r="A8" s="23">
        <v>10</v>
      </c>
      <c r="B8" s="31">
        <v>19900</v>
      </c>
      <c r="C8" s="23">
        <f>HLOOKUP(C$1,$B$17:$O$38,17,FALSE)</f>
        <v>19873</v>
      </c>
      <c r="D8" s="6">
        <f>HLOOKUP($C$1,$B$17:$O$77,42)</f>
        <v>9.9708055126683348</v>
      </c>
      <c r="E8" s="36">
        <f>HLOOKUP($C$1,$B$17:$O$77,54)</f>
        <v>-2.9194487331665187E-2</v>
      </c>
      <c r="G8" t="s">
        <v>129</v>
      </c>
      <c r="H8" s="5">
        <f>HLOOKUP($C$1,$B$17:$O$77,26)</f>
        <v>9.1979802372499524E-8</v>
      </c>
    </row>
    <row r="9" spans="1:20" x14ac:dyDescent="0.25">
      <c r="A9" s="23">
        <v>15</v>
      </c>
      <c r="B9" s="31">
        <v>15708.44</v>
      </c>
      <c r="C9" s="23">
        <f>HLOOKUP(C$1,$B$17:$O$38,18,FALSE)</f>
        <v>15699</v>
      </c>
      <c r="D9" s="6">
        <f>HLOOKUP($C$1,$B$17:$O$77,43)</f>
        <v>14.98611062299932</v>
      </c>
      <c r="E9" s="36">
        <f>HLOOKUP($C$1,$B$17:$O$77,55)</f>
        <v>-1.388937700068027E-2</v>
      </c>
      <c r="I9" t="s">
        <v>153</v>
      </c>
    </row>
    <row r="10" spans="1:20" x14ac:dyDescent="0.25">
      <c r="A10" s="23">
        <v>20</v>
      </c>
      <c r="B10" s="31">
        <v>12490</v>
      </c>
      <c r="C10" s="23">
        <f>HLOOKUP(C$1,$B$17:$O$38,19,FALSE)</f>
        <v>12488</v>
      </c>
      <c r="D10" s="6">
        <f>HLOOKUP($C$1,$B$17:$O$77,44)</f>
        <v>19.995731624636278</v>
      </c>
      <c r="E10" s="36">
        <f>HLOOKUP($C$1,$B$17:$O$77,56)</f>
        <v>-4.2683753637220434E-3</v>
      </c>
      <c r="G10" s="1" t="s">
        <v>214</v>
      </c>
      <c r="I10" t="s">
        <v>153</v>
      </c>
    </row>
    <row r="11" spans="1:20" x14ac:dyDescent="0.25">
      <c r="A11" s="23">
        <v>25</v>
      </c>
      <c r="B11" s="31">
        <v>10000</v>
      </c>
      <c r="C11" s="23">
        <f>HLOOKUP(C$1,$B$17:$O$38,20,FALSE)</f>
        <v>10000</v>
      </c>
      <c r="D11" s="6">
        <f>HLOOKUP($C$1,$B$17:$O$77,45)</f>
        <v>25</v>
      </c>
      <c r="E11" s="36">
        <f>HLOOKUP($C$1,$B$17:$O$77,57)</f>
        <v>0</v>
      </c>
      <c r="G11" t="s">
        <v>213</v>
      </c>
      <c r="H11" s="9">
        <f>MEDIAN(E2:E13)</f>
        <v>-5.0867024236509906E-2</v>
      </c>
    </row>
    <row r="12" spans="1:20" x14ac:dyDescent="0.25">
      <c r="A12" s="23">
        <v>30</v>
      </c>
      <c r="B12" s="31">
        <v>8060</v>
      </c>
      <c r="C12" s="23">
        <f>HLOOKUP(C$1,$B$17:$O$38,21,FALSE)</f>
        <v>8059</v>
      </c>
      <c r="D12" s="6">
        <f>HLOOKUP($C$1,$B$17:$O$77,46)</f>
        <v>29.998028503432408</v>
      </c>
      <c r="E12" s="36">
        <f>HLOOKUP($C$1,$B$17:$O$77,58)</f>
        <v>-1.9714965675916574E-3</v>
      </c>
      <c r="G12" t="s">
        <v>197</v>
      </c>
      <c r="H12" s="9">
        <f>AVERAGE(E3:E14)</f>
        <v>-4.5312982563437097E-2</v>
      </c>
    </row>
    <row r="13" spans="1:20" x14ac:dyDescent="0.25">
      <c r="A13" s="23">
        <v>35</v>
      </c>
      <c r="B13" s="31">
        <v>6560.31</v>
      </c>
      <c r="C13" s="23">
        <f>HLOOKUP(C$1,$B$17:$O$38,22,FALSE)</f>
        <v>6535</v>
      </c>
      <c r="D13" s="6">
        <f>HLOOKUP($C$1,$B$17:$O$77,47)</f>
        <v>34.907462536395485</v>
      </c>
      <c r="E13" s="36">
        <f>HLOOKUP($C$1,$B$17:$O$77,59)</f>
        <v>-9.2537463604514869E-2</v>
      </c>
      <c r="G13" t="s">
        <v>219</v>
      </c>
      <c r="H13" s="9" cm="1">
        <f t="array" ref="H13">MAX(IF(ABS(E2:E13)=MAX(ABS(E2:E13)),E2:E13))</f>
        <v>-0.1096563028688422</v>
      </c>
    </row>
    <row r="16" spans="1:20" x14ac:dyDescent="0.25">
      <c r="A16" s="66" t="s">
        <v>212</v>
      </c>
      <c r="B16" s="66"/>
      <c r="C16" s="66"/>
      <c r="D16" s="66"/>
      <c r="E16" s="66"/>
      <c r="F16" s="66"/>
      <c r="G16" s="66"/>
      <c r="H16" s="66"/>
      <c r="I16" s="66"/>
      <c r="J16" s="66"/>
      <c r="K16" s="66"/>
      <c r="L16" s="66"/>
      <c r="M16" s="66"/>
      <c r="N16" s="66"/>
      <c r="O16" s="66"/>
      <c r="Q16" s="30" t="s">
        <v>138</v>
      </c>
      <c r="R16" s="30" t="s">
        <v>183</v>
      </c>
      <c r="S16" s="30" t="s">
        <v>184</v>
      </c>
      <c r="T16" s="30" t="s">
        <v>122</v>
      </c>
    </row>
    <row r="17" spans="1:20" x14ac:dyDescent="0.25">
      <c r="A17" s="25" t="s">
        <v>132</v>
      </c>
      <c r="B17" s="29">
        <v>2880</v>
      </c>
      <c r="C17" s="29">
        <v>2990</v>
      </c>
      <c r="D17" s="29">
        <v>3041</v>
      </c>
      <c r="E17" s="29">
        <v>3136</v>
      </c>
      <c r="F17" s="29">
        <v>3390</v>
      </c>
      <c r="G17" s="29" t="s">
        <v>127</v>
      </c>
      <c r="H17" s="29" t="s">
        <v>126</v>
      </c>
      <c r="I17" s="29">
        <v>3560</v>
      </c>
      <c r="J17" s="29">
        <v>3740</v>
      </c>
      <c r="K17" s="29">
        <v>3977</v>
      </c>
      <c r="L17" s="29">
        <v>4090</v>
      </c>
      <c r="M17" s="29">
        <v>4190</v>
      </c>
      <c r="N17" s="29">
        <v>4370</v>
      </c>
      <c r="O17" s="29">
        <v>4570</v>
      </c>
      <c r="Q17" s="6">
        <v>-15</v>
      </c>
      <c r="R17" s="6">
        <f t="shared" ref="R17:R48" si="0" xml:space="preserve"> 1/coeff_SH_C * (coeff_SH_A-1/(Q17+273.15))</f>
        <v>-29816.337726616192</v>
      </c>
      <c r="S17" s="23">
        <f t="shared" ref="S17:S48" si="1">SQRT((coeff_SH_B/(3*coeff_SH_C))^3 + (R17/2)^2)</f>
        <v>28782.814164449399</v>
      </c>
      <c r="T17" s="23">
        <f t="shared" ref="T17:T48" si="2">ROUND(EXP( (S17-R17/2)^(1/3) - (S17+R17/2)^(1/3)),0)</f>
        <v>72502</v>
      </c>
    </row>
    <row r="18" spans="1:20" x14ac:dyDescent="0.25">
      <c r="A18" s="22" t="s">
        <v>158</v>
      </c>
      <c r="B18" s="21">
        <v>3</v>
      </c>
      <c r="C18" s="21">
        <v>3</v>
      </c>
      <c r="D18" s="21">
        <v>3</v>
      </c>
      <c r="E18" s="21">
        <v>3</v>
      </c>
      <c r="F18" s="21">
        <v>3</v>
      </c>
      <c r="G18" s="21">
        <v>0.5</v>
      </c>
      <c r="H18" s="21">
        <v>0.5</v>
      </c>
      <c r="I18" s="21">
        <v>1.5</v>
      </c>
      <c r="J18" s="21">
        <v>2</v>
      </c>
      <c r="K18" s="21">
        <v>0.75</v>
      </c>
      <c r="L18" s="21">
        <v>1.5</v>
      </c>
      <c r="M18" s="21">
        <v>1.5</v>
      </c>
      <c r="N18" s="21">
        <v>2.5</v>
      </c>
      <c r="O18" s="21">
        <v>1.5</v>
      </c>
      <c r="Q18" s="6">
        <v>-13.5</v>
      </c>
      <c r="R18" s="6">
        <f t="shared" si="0"/>
        <v>-29573.039843284936</v>
      </c>
      <c r="S18" s="23">
        <f t="shared" si="1"/>
        <v>28719.994146264195</v>
      </c>
      <c r="T18" s="23">
        <f t="shared" si="2"/>
        <v>66690</v>
      </c>
    </row>
    <row r="19" spans="1:20" x14ac:dyDescent="0.25">
      <c r="A19" s="22" t="s">
        <v>131</v>
      </c>
      <c r="B19" s="21">
        <v>-9.0939999999999994</v>
      </c>
      <c r="C19" s="21">
        <v>-10.2296</v>
      </c>
      <c r="D19" s="21">
        <v>-11.1334</v>
      </c>
      <c r="E19" s="21">
        <v>-12.449299999999999</v>
      </c>
      <c r="F19" s="21">
        <v>-12.6814</v>
      </c>
      <c r="G19" s="21">
        <v>-12.0596</v>
      </c>
      <c r="H19" s="21">
        <v>-21.070399999999999</v>
      </c>
      <c r="I19" s="21">
        <v>-13.0723</v>
      </c>
      <c r="J19" s="21">
        <v>-13.8973</v>
      </c>
      <c r="K19" s="21">
        <v>-14.633699999999999</v>
      </c>
      <c r="L19" s="21">
        <v>-15.5322</v>
      </c>
      <c r="M19" s="21">
        <v>-16.0349</v>
      </c>
      <c r="N19" s="21">
        <v>-16.871700000000001</v>
      </c>
      <c r="O19" s="21">
        <v>-17.643899999999999</v>
      </c>
      <c r="Q19" s="6">
        <v>-12</v>
      </c>
      <c r="R19" s="6">
        <f t="shared" si="0"/>
        <v>-29332.536881071785</v>
      </c>
      <c r="S19" s="23">
        <f t="shared" si="1"/>
        <v>28658.267957749631</v>
      </c>
      <c r="T19" s="23">
        <f t="shared" si="2"/>
        <v>61394</v>
      </c>
    </row>
    <row r="20" spans="1:20" x14ac:dyDescent="0.25">
      <c r="A20" s="22" t="s">
        <v>130</v>
      </c>
      <c r="B20" s="21">
        <v>2251.7399999999998</v>
      </c>
      <c r="C20" s="21">
        <v>2887.62</v>
      </c>
      <c r="D20" s="21">
        <v>3658.73</v>
      </c>
      <c r="E20" s="21">
        <v>4702.74</v>
      </c>
      <c r="F20" s="21">
        <v>4391.97</v>
      </c>
      <c r="G20" s="21">
        <v>3687.6669999999999</v>
      </c>
      <c r="H20" s="21">
        <v>11903.95</v>
      </c>
      <c r="I20" s="21">
        <v>4190.5739999999996</v>
      </c>
      <c r="J20" s="21">
        <v>4557.7250000000004</v>
      </c>
      <c r="K20" s="21">
        <v>4791.8419999999996</v>
      </c>
      <c r="L20" s="21">
        <v>5229.973</v>
      </c>
      <c r="M20" s="21">
        <v>5459.3389999999999</v>
      </c>
      <c r="N20" s="21">
        <v>5759.15</v>
      </c>
      <c r="O20" s="21">
        <v>6022.7259999999997</v>
      </c>
      <c r="Q20" s="6">
        <v>-10.5</v>
      </c>
      <c r="R20" s="6">
        <f t="shared" si="0"/>
        <v>-29094.780954406466</v>
      </c>
      <c r="S20" s="23">
        <f t="shared" si="1"/>
        <v>28597.61287353445</v>
      </c>
      <c r="T20" s="23">
        <f t="shared" si="2"/>
        <v>56563</v>
      </c>
    </row>
    <row r="21" spans="1:20" x14ac:dyDescent="0.25">
      <c r="A21" s="22" t="s">
        <v>129</v>
      </c>
      <c r="B21" s="21">
        <v>229098</v>
      </c>
      <c r="C21" s="21">
        <v>132336</v>
      </c>
      <c r="D21" s="21">
        <v>-102895</v>
      </c>
      <c r="E21" s="21">
        <v>-402687</v>
      </c>
      <c r="F21" s="21">
        <v>-232807</v>
      </c>
      <c r="G21" s="21">
        <v>-7617.13</v>
      </c>
      <c r="H21" s="21">
        <v>-2504699</v>
      </c>
      <c r="I21" s="21">
        <v>-47158.400000000001</v>
      </c>
      <c r="J21" s="21">
        <v>-98275</v>
      </c>
      <c r="K21" s="21">
        <v>-115334</v>
      </c>
      <c r="L21" s="21">
        <v>-160451</v>
      </c>
      <c r="M21" s="21">
        <v>-191141</v>
      </c>
      <c r="N21" s="21">
        <v>-194267</v>
      </c>
      <c r="O21" s="21">
        <v>-203157</v>
      </c>
      <c r="Q21" s="6">
        <v>-9</v>
      </c>
      <c r="R21" s="6">
        <f t="shared" si="0"/>
        <v>-28859.725265409132</v>
      </c>
      <c r="S21" s="23">
        <f t="shared" si="1"/>
        <v>28538.006727293403</v>
      </c>
      <c r="T21" s="23">
        <f t="shared" si="2"/>
        <v>52153</v>
      </c>
    </row>
    <row r="22" spans="1:20" x14ac:dyDescent="0.25">
      <c r="A22" s="22" t="s">
        <v>128</v>
      </c>
      <c r="B22" s="28">
        <v>-27448200</v>
      </c>
      <c r="C22" s="28">
        <v>-25025100</v>
      </c>
      <c r="D22" s="28">
        <v>516652</v>
      </c>
      <c r="E22" s="28">
        <v>31968300</v>
      </c>
      <c r="F22" s="28">
        <v>15096430</v>
      </c>
      <c r="G22" s="28">
        <v>-5914730</v>
      </c>
      <c r="H22" s="28">
        <v>247033800</v>
      </c>
      <c r="I22" s="28">
        <v>-11992560</v>
      </c>
      <c r="J22" s="28">
        <v>-7522357</v>
      </c>
      <c r="K22" s="28">
        <v>-3730535</v>
      </c>
      <c r="L22" s="28">
        <v>-5414091</v>
      </c>
      <c r="M22" s="28">
        <v>-3328322</v>
      </c>
      <c r="N22" s="28">
        <v>-6869149</v>
      </c>
      <c r="O22" s="28">
        <v>-7183526</v>
      </c>
      <c r="Q22" s="6">
        <v>-7.5</v>
      </c>
      <c r="R22" s="6">
        <f t="shared" si="0"/>
        <v>-28627.324073181953</v>
      </c>
      <c r="S22" s="23">
        <f t="shared" si="1"/>
        <v>28479.427895694564</v>
      </c>
      <c r="T22" s="23">
        <f t="shared" si="2"/>
        <v>48123</v>
      </c>
    </row>
    <row r="23" spans="1:20" x14ac:dyDescent="0.25">
      <c r="A23" s="22" t="s">
        <v>136</v>
      </c>
      <c r="B23" s="28">
        <v>3.354016E-3</v>
      </c>
      <c r="C23" s="28">
        <v>3.354016E-3</v>
      </c>
      <c r="D23" s="28">
        <v>3.354016E-3</v>
      </c>
      <c r="E23" s="28">
        <v>3.354016E-3</v>
      </c>
      <c r="F23" s="28">
        <v>3.354016E-3</v>
      </c>
      <c r="G23" s="28">
        <v>3.354016E-3</v>
      </c>
      <c r="H23" s="28">
        <v>3.354016E-3</v>
      </c>
      <c r="I23" s="28">
        <v>3.354016E-3</v>
      </c>
      <c r="J23" s="28">
        <v>3.354016E-3</v>
      </c>
      <c r="K23" s="28">
        <v>3.354016E-3</v>
      </c>
      <c r="L23" s="28">
        <v>3.354016E-3</v>
      </c>
      <c r="M23" s="28">
        <v>3.354016E-3</v>
      </c>
      <c r="N23" s="28">
        <v>3.354016E-3</v>
      </c>
      <c r="O23" s="28">
        <v>3.354016E-3</v>
      </c>
      <c r="Q23" s="6">
        <v>-6</v>
      </c>
      <c r="R23" s="6">
        <f t="shared" si="0"/>
        <v>-28397.532664135313</v>
      </c>
      <c r="S23" s="23">
        <f t="shared" si="1"/>
        <v>28421.855282880075</v>
      </c>
      <c r="T23" s="23">
        <f t="shared" si="2"/>
        <v>44439</v>
      </c>
    </row>
    <row r="24" spans="1:20" x14ac:dyDescent="0.25">
      <c r="A24" s="22" t="s">
        <v>135</v>
      </c>
      <c r="B24" s="28">
        <v>3.4950200000000002E-4</v>
      </c>
      <c r="C24" s="28">
        <v>3.4155600000000002E-4</v>
      </c>
      <c r="D24" s="28">
        <v>3.3492899999999998E-4</v>
      </c>
      <c r="E24" s="28">
        <v>3.24388E-4</v>
      </c>
      <c r="F24" s="28">
        <v>2.9934100000000001E-4</v>
      </c>
      <c r="G24" s="28">
        <v>2.9096699999999999E-4</v>
      </c>
      <c r="H24" s="28">
        <v>2.9339079999999998E-4</v>
      </c>
      <c r="I24" s="28">
        <v>2.8841929999999998E-4</v>
      </c>
      <c r="J24" s="28">
        <v>2.7440320000000001E-4</v>
      </c>
      <c r="K24" s="28">
        <v>2.5698499999999999E-4</v>
      </c>
      <c r="L24" s="28">
        <v>2.5191070000000001E-4</v>
      </c>
      <c r="M24" s="28">
        <v>2.4603819999999998E-4</v>
      </c>
      <c r="N24" s="28">
        <v>2.36772E-4</v>
      </c>
      <c r="O24" s="28">
        <v>2.264097E-4</v>
      </c>
      <c r="Q24" s="6">
        <v>-4.5</v>
      </c>
      <c r="R24" s="6">
        <f t="shared" si="0"/>
        <v>-28170.307323308069</v>
      </c>
      <c r="S24" s="23">
        <f t="shared" si="1"/>
        <v>28365.268305459867</v>
      </c>
      <c r="T24" s="23">
        <f t="shared" si="2"/>
        <v>41068</v>
      </c>
    </row>
    <row r="25" spans="1:20" x14ac:dyDescent="0.25">
      <c r="A25" s="22" t="s">
        <v>134</v>
      </c>
      <c r="B25" s="28">
        <v>2.0959589999999998E-6</v>
      </c>
      <c r="C25" s="28">
        <v>4.9554549999999996E-6</v>
      </c>
      <c r="D25" s="28">
        <v>3.6838429999999999E-6</v>
      </c>
      <c r="E25" s="28">
        <v>2.6580120000000001E-6</v>
      </c>
      <c r="F25" s="28">
        <v>2.135133E-6</v>
      </c>
      <c r="G25" s="28">
        <v>1.6321359999999999E-6</v>
      </c>
      <c r="H25" s="28">
        <v>3.4943140000000001E-6</v>
      </c>
      <c r="I25" s="28">
        <v>4.1180320000000003E-6</v>
      </c>
      <c r="J25" s="28">
        <v>3.6669439999999999E-6</v>
      </c>
      <c r="K25" s="28">
        <v>2.6201309999999999E-6</v>
      </c>
      <c r="L25" s="28">
        <v>3.5109390000000001E-6</v>
      </c>
      <c r="M25" s="28">
        <v>3.405377E-6</v>
      </c>
      <c r="N25" s="28">
        <v>3.58514E-6</v>
      </c>
      <c r="O25" s="28">
        <v>3.2781840000000002E-6</v>
      </c>
      <c r="Q25" s="6">
        <v>-3</v>
      </c>
      <c r="R25" s="6">
        <f t="shared" si="0"/>
        <v>-27945.605306643247</v>
      </c>
      <c r="S25" s="23">
        <f t="shared" si="1"/>
        <v>28309.646877998879</v>
      </c>
      <c r="T25" s="23">
        <f t="shared" si="2"/>
        <v>37980</v>
      </c>
    </row>
    <row r="26" spans="1:20" x14ac:dyDescent="0.25">
      <c r="A26" s="22" t="s">
        <v>133</v>
      </c>
      <c r="B26" s="28">
        <v>4.2606149999999998E-7</v>
      </c>
      <c r="C26" s="28">
        <v>4.3642360000000002E-7</v>
      </c>
      <c r="D26" s="28">
        <v>7.0504550000000001E-7</v>
      </c>
      <c r="E26" s="28">
        <v>-2.7015599999999997E-7</v>
      </c>
      <c r="F26" s="28">
        <v>-5.6720000000000003E-9</v>
      </c>
      <c r="G26" s="28">
        <v>7.1922E-8</v>
      </c>
      <c r="H26" s="28">
        <v>-7.7126900000000002E-7</v>
      </c>
      <c r="I26" s="28">
        <v>1.7867900000000001E-7</v>
      </c>
      <c r="J26" s="28">
        <v>1.3754919999999999E-7</v>
      </c>
      <c r="K26" s="28">
        <v>6.3830910000000002E-8</v>
      </c>
      <c r="L26" s="28">
        <v>1.1051790000000001E-7</v>
      </c>
      <c r="M26" s="28">
        <v>1.03424E-7</v>
      </c>
      <c r="N26" s="28">
        <v>1.255349E-7</v>
      </c>
      <c r="O26" s="28">
        <v>1.097628E-7</v>
      </c>
      <c r="Q26" s="6">
        <v>-1.5</v>
      </c>
      <c r="R26" s="6">
        <f t="shared" si="0"/>
        <v>-27723.384814182358</v>
      </c>
      <c r="S26" s="23">
        <f t="shared" si="1"/>
        <v>28254.971398979138</v>
      </c>
      <c r="T26" s="23">
        <f t="shared" si="2"/>
        <v>35151</v>
      </c>
    </row>
    <row r="27" spans="1:20" x14ac:dyDescent="0.25">
      <c r="A27" s="22" t="s">
        <v>185</v>
      </c>
      <c r="B27" s="27">
        <f t="shared" ref="B27:O27" si="3">ROUND( R_25 * EXP(B$19 + B$20/($A2+273.15) + B$21/($A2+273.15)^2 + B$22/($A2+273.15)^3),0)</f>
        <v>53864</v>
      </c>
      <c r="C27" s="27">
        <f t="shared" si="3"/>
        <v>54718</v>
      </c>
      <c r="D27" s="27">
        <f t="shared" si="3"/>
        <v>57297</v>
      </c>
      <c r="E27" s="27">
        <f t="shared" si="3"/>
        <v>61379</v>
      </c>
      <c r="F27" s="27">
        <f t="shared" si="3"/>
        <v>71395</v>
      </c>
      <c r="G27" s="27">
        <f t="shared" si="3"/>
        <v>75691</v>
      </c>
      <c r="H27" s="27">
        <f t="shared" si="3"/>
        <v>81347</v>
      </c>
      <c r="I27" s="27">
        <f t="shared" si="3"/>
        <v>74359</v>
      </c>
      <c r="J27" s="27">
        <f t="shared" si="3"/>
        <v>82446</v>
      </c>
      <c r="K27" s="27">
        <f t="shared" si="3"/>
        <v>96360</v>
      </c>
      <c r="L27" s="27">
        <f t="shared" si="3"/>
        <v>98742</v>
      </c>
      <c r="M27" s="27">
        <f t="shared" si="3"/>
        <v>104119</v>
      </c>
      <c r="N27" s="27">
        <f t="shared" si="3"/>
        <v>112845</v>
      </c>
      <c r="O27" s="27">
        <f t="shared" si="3"/>
        <v>126078</v>
      </c>
      <c r="Q27" s="6">
        <v>0</v>
      </c>
      <c r="R27" s="6">
        <f t="shared" si="0"/>
        <v>-27503.604964142778</v>
      </c>
      <c r="S27" s="23">
        <f t="shared" si="1"/>
        <v>28201.222737218766</v>
      </c>
      <c r="T27" s="23">
        <f t="shared" si="2"/>
        <v>32555</v>
      </c>
    </row>
    <row r="28" spans="1:20" x14ac:dyDescent="0.25">
      <c r="A28" s="22" t="s">
        <v>186</v>
      </c>
      <c r="B28" s="27">
        <f t="shared" ref="B28:O28" si="4">ROUND( R_25 * EXP(B$19 + B$20/($A3+273.15) + B$21/($A3+273.15)^2 + B$22/($A3+273.15)^3),0)</f>
        <v>43530</v>
      </c>
      <c r="C28" s="27">
        <f t="shared" si="4"/>
        <v>44254</v>
      </c>
      <c r="D28" s="27">
        <f t="shared" si="4"/>
        <v>45975</v>
      </c>
      <c r="E28" s="27">
        <f t="shared" si="4"/>
        <v>48717</v>
      </c>
      <c r="F28" s="27">
        <f t="shared" si="4"/>
        <v>55619</v>
      </c>
      <c r="G28" s="27">
        <f t="shared" si="4"/>
        <v>58548</v>
      </c>
      <c r="H28" s="27">
        <f t="shared" si="4"/>
        <v>61530</v>
      </c>
      <c r="I28" s="27">
        <f t="shared" si="4"/>
        <v>57895</v>
      </c>
      <c r="J28" s="27">
        <f t="shared" si="4"/>
        <v>63350</v>
      </c>
      <c r="K28" s="27">
        <f t="shared" si="4"/>
        <v>72502</v>
      </c>
      <c r="L28" s="27">
        <f t="shared" si="4"/>
        <v>74250</v>
      </c>
      <c r="M28" s="27">
        <f t="shared" si="4"/>
        <v>77785</v>
      </c>
      <c r="N28" s="27">
        <f t="shared" si="4"/>
        <v>83580</v>
      </c>
      <c r="O28" s="27">
        <f t="shared" si="4"/>
        <v>92107</v>
      </c>
      <c r="Q28" s="6">
        <v>1.5</v>
      </c>
      <c r="R28" s="6">
        <f t="shared" si="0"/>
        <v>-27286.22576784476</v>
      </c>
      <c r="S28" s="23">
        <f t="shared" si="1"/>
        <v>28148.382218730952</v>
      </c>
      <c r="T28" s="23">
        <f t="shared" si="2"/>
        <v>30173</v>
      </c>
    </row>
    <row r="29" spans="1:20" x14ac:dyDescent="0.25">
      <c r="A29" s="22" t="s">
        <v>187</v>
      </c>
      <c r="B29" s="27">
        <f t="shared" ref="B29:O29" si="5">ROUND( R_25 * EXP(B$19 + B$20/($A4+273.15) + B$21/($A4+273.15)^2 + B$22/($A4+273.15)^3),0)</f>
        <v>35430</v>
      </c>
      <c r="C29" s="27">
        <f t="shared" si="5"/>
        <v>36018</v>
      </c>
      <c r="D29" s="27">
        <f t="shared" si="5"/>
        <v>37160</v>
      </c>
      <c r="E29" s="27">
        <f t="shared" si="5"/>
        <v>38994</v>
      </c>
      <c r="F29" s="27">
        <f t="shared" si="5"/>
        <v>43715</v>
      </c>
      <c r="G29" s="27">
        <f t="shared" si="5"/>
        <v>45694</v>
      </c>
      <c r="H29" s="27">
        <f t="shared" si="5"/>
        <v>47228</v>
      </c>
      <c r="I29" s="27">
        <f t="shared" si="5"/>
        <v>45414</v>
      </c>
      <c r="J29" s="27">
        <f t="shared" si="5"/>
        <v>49067</v>
      </c>
      <c r="K29" s="27">
        <f t="shared" si="5"/>
        <v>55047</v>
      </c>
      <c r="L29" s="27">
        <f t="shared" si="5"/>
        <v>56301</v>
      </c>
      <c r="M29" s="27">
        <f t="shared" si="5"/>
        <v>58610</v>
      </c>
      <c r="N29" s="27">
        <f t="shared" si="5"/>
        <v>62425</v>
      </c>
      <c r="O29" s="27">
        <f t="shared" si="5"/>
        <v>67881</v>
      </c>
      <c r="Q29" s="6">
        <v>3</v>
      </c>
      <c r="R29" s="6">
        <f t="shared" si="0"/>
        <v>-27071.208105455466</v>
      </c>
      <c r="S29" s="23">
        <f t="shared" si="1"/>
        <v>28096.431614006418</v>
      </c>
      <c r="T29" s="23">
        <f t="shared" si="2"/>
        <v>27985</v>
      </c>
    </row>
    <row r="30" spans="1:20" x14ac:dyDescent="0.25">
      <c r="A30" s="22" t="s">
        <v>188</v>
      </c>
      <c r="B30" s="27">
        <f t="shared" ref="B30:O30" si="6">ROUND( R_25 * EXP(B$19 + B$20/($A5+273.15) + B$21/($A5+273.15)^2 + B$22/($A5+273.15)^3),0)</f>
        <v>29034</v>
      </c>
      <c r="C30" s="27">
        <f t="shared" si="6"/>
        <v>29494</v>
      </c>
      <c r="D30" s="27">
        <f t="shared" si="6"/>
        <v>30245</v>
      </c>
      <c r="E30" s="27">
        <f t="shared" si="6"/>
        <v>31460</v>
      </c>
      <c r="F30" s="27">
        <f t="shared" si="6"/>
        <v>34647</v>
      </c>
      <c r="G30" s="27">
        <f t="shared" si="6"/>
        <v>35965</v>
      </c>
      <c r="H30" s="27">
        <f t="shared" si="6"/>
        <v>36727</v>
      </c>
      <c r="I30" s="27">
        <f t="shared" si="6"/>
        <v>35880</v>
      </c>
      <c r="J30" s="27">
        <f t="shared" si="6"/>
        <v>38295</v>
      </c>
      <c r="K30" s="27">
        <f t="shared" si="6"/>
        <v>42158</v>
      </c>
      <c r="L30" s="27">
        <f t="shared" si="6"/>
        <v>43036</v>
      </c>
      <c r="M30" s="27">
        <f t="shared" si="6"/>
        <v>44526</v>
      </c>
      <c r="N30" s="27">
        <f t="shared" si="6"/>
        <v>47004</v>
      </c>
      <c r="O30" s="27">
        <f t="shared" si="6"/>
        <v>50452</v>
      </c>
      <c r="Q30" s="6">
        <v>4.5</v>
      </c>
      <c r="R30" s="6">
        <f t="shared" si="0"/>
        <v>-26858.513702519325</v>
      </c>
      <c r="S30" s="23">
        <f t="shared" si="1"/>
        <v>28045.353125703812</v>
      </c>
      <c r="T30" s="23">
        <f t="shared" si="2"/>
        <v>25973</v>
      </c>
    </row>
    <row r="31" spans="1:20" x14ac:dyDescent="0.25">
      <c r="A31" s="22" t="s">
        <v>189</v>
      </c>
      <c r="B31" s="27">
        <f t="shared" ref="B31:O31" si="7">ROUND( R_25 * EXP(B$19 + B$20/($A6+273.15) + B$21/($A6+273.15)^2 + B$22/($A6+273.15)^3),0)</f>
        <v>23949</v>
      </c>
      <c r="C31" s="27">
        <f t="shared" si="7"/>
        <v>24296</v>
      </c>
      <c r="D31" s="27">
        <f t="shared" si="7"/>
        <v>24780</v>
      </c>
      <c r="E31" s="27">
        <f t="shared" si="7"/>
        <v>25570</v>
      </c>
      <c r="F31" s="27">
        <f t="shared" si="7"/>
        <v>27678</v>
      </c>
      <c r="G31" s="27">
        <f t="shared" si="7"/>
        <v>28537</v>
      </c>
      <c r="H31" s="27">
        <f t="shared" si="7"/>
        <v>28896</v>
      </c>
      <c r="I31" s="27">
        <f t="shared" si="7"/>
        <v>28544</v>
      </c>
      <c r="J31" s="27">
        <f t="shared" si="7"/>
        <v>30109</v>
      </c>
      <c r="K31" s="27">
        <f t="shared" si="7"/>
        <v>32555</v>
      </c>
      <c r="L31" s="27">
        <f t="shared" si="7"/>
        <v>33152</v>
      </c>
      <c r="M31" s="27">
        <f t="shared" si="7"/>
        <v>34094</v>
      </c>
      <c r="N31" s="27">
        <f t="shared" si="7"/>
        <v>35670</v>
      </c>
      <c r="O31" s="27">
        <f t="shared" si="7"/>
        <v>37806</v>
      </c>
      <c r="Q31" s="6">
        <v>6</v>
      </c>
      <c r="R31" s="6">
        <f t="shared" si="0"/>
        <v>-26648.105107245035</v>
      </c>
      <c r="S31" s="23">
        <f t="shared" si="1"/>
        <v>27995.129376732923</v>
      </c>
      <c r="T31" s="23">
        <f t="shared" si="2"/>
        <v>24122</v>
      </c>
    </row>
    <row r="32" spans="1:20" x14ac:dyDescent="0.25">
      <c r="A32" s="22" t="s">
        <v>190</v>
      </c>
      <c r="B32" s="27">
        <f t="shared" ref="B32:O32" si="8">ROUND( R_25 * EXP(B$19 + B$20/($A7+273.15) + B$21/($A7+273.15)^2 + B$22/($A7+273.15)^3),0)</f>
        <v>19879</v>
      </c>
      <c r="C32" s="27">
        <f t="shared" si="8"/>
        <v>20128</v>
      </c>
      <c r="D32" s="27">
        <f t="shared" si="8"/>
        <v>20431</v>
      </c>
      <c r="E32" s="27">
        <f t="shared" si="8"/>
        <v>20930</v>
      </c>
      <c r="F32" s="27">
        <f t="shared" si="8"/>
        <v>22276</v>
      </c>
      <c r="G32" s="27">
        <f t="shared" si="8"/>
        <v>22817</v>
      </c>
      <c r="H32" s="27">
        <f t="shared" si="8"/>
        <v>22974</v>
      </c>
      <c r="I32" s="27">
        <f t="shared" si="8"/>
        <v>22859</v>
      </c>
      <c r="J32" s="27">
        <f t="shared" si="8"/>
        <v>23840</v>
      </c>
      <c r="K32" s="27">
        <f t="shared" si="8"/>
        <v>25339</v>
      </c>
      <c r="L32" s="27">
        <f t="shared" si="8"/>
        <v>25729</v>
      </c>
      <c r="M32" s="27">
        <f t="shared" si="8"/>
        <v>26306</v>
      </c>
      <c r="N32" s="27">
        <f t="shared" si="8"/>
        <v>27273</v>
      </c>
      <c r="O32" s="27">
        <f t="shared" si="8"/>
        <v>28554</v>
      </c>
      <c r="Q32" s="6">
        <v>7.5</v>
      </c>
      <c r="R32" s="6">
        <f t="shared" si="0"/>
        <v>-26439.945668520988</v>
      </c>
      <c r="S32" s="23">
        <f t="shared" si="1"/>
        <v>27945.743398716477</v>
      </c>
      <c r="T32" s="23">
        <f t="shared" si="2"/>
        <v>22419</v>
      </c>
    </row>
    <row r="33" spans="1:20" x14ac:dyDescent="0.25">
      <c r="A33" s="22" t="s">
        <v>191</v>
      </c>
      <c r="B33" s="27">
        <f t="shared" ref="B33:O33" si="9">ROUND( R_25 * EXP(B$19 + B$20/($A8+273.15) + B$21/($A8+273.15)^2 + B$22/($A8+273.15)^3),0)</f>
        <v>16601</v>
      </c>
      <c r="C33" s="27">
        <f t="shared" si="9"/>
        <v>16767</v>
      </c>
      <c r="D33" s="27">
        <f t="shared" si="9"/>
        <v>16947</v>
      </c>
      <c r="E33" s="27">
        <f t="shared" si="9"/>
        <v>17244</v>
      </c>
      <c r="F33" s="27">
        <f t="shared" si="9"/>
        <v>18057</v>
      </c>
      <c r="G33" s="27">
        <f t="shared" si="9"/>
        <v>18378</v>
      </c>
      <c r="H33" s="27">
        <f t="shared" si="9"/>
        <v>18439</v>
      </c>
      <c r="I33" s="27">
        <f t="shared" si="9"/>
        <v>18424</v>
      </c>
      <c r="J33" s="27">
        <f t="shared" si="9"/>
        <v>19004</v>
      </c>
      <c r="K33" s="27">
        <f t="shared" si="9"/>
        <v>19873</v>
      </c>
      <c r="L33" s="27">
        <f t="shared" si="9"/>
        <v>20111</v>
      </c>
      <c r="M33" s="27">
        <f t="shared" si="9"/>
        <v>20445</v>
      </c>
      <c r="N33" s="27">
        <f t="shared" si="9"/>
        <v>21006</v>
      </c>
      <c r="O33" s="27">
        <f t="shared" si="9"/>
        <v>21731</v>
      </c>
      <c r="Q33" s="6">
        <v>9</v>
      </c>
      <c r="R33" s="6">
        <f t="shared" si="0"/>
        <v>-26233.999514631854</v>
      </c>
      <c r="S33" s="23">
        <f t="shared" si="1"/>
        <v>27897.178620816587</v>
      </c>
      <c r="T33" s="23">
        <f t="shared" si="2"/>
        <v>20850</v>
      </c>
    </row>
    <row r="34" spans="1:20" x14ac:dyDescent="0.25">
      <c r="A34" s="22" t="s">
        <v>192</v>
      </c>
      <c r="B34" s="27">
        <f t="shared" ref="B34:O34" si="10">ROUND( R_25 * EXP(B$19 + B$20/($A9+273.15) + B$21/($A9+273.15)^2 + B$22/($A9+273.15)^3),0)</f>
        <v>13943</v>
      </c>
      <c r="C34" s="27">
        <f t="shared" si="10"/>
        <v>14042</v>
      </c>
      <c r="D34" s="27">
        <f t="shared" si="10"/>
        <v>14138</v>
      </c>
      <c r="E34" s="27">
        <f t="shared" si="10"/>
        <v>14297</v>
      </c>
      <c r="F34" s="27">
        <f t="shared" si="10"/>
        <v>14735</v>
      </c>
      <c r="G34" s="27">
        <f t="shared" si="10"/>
        <v>14906</v>
      </c>
      <c r="H34" s="27">
        <f t="shared" si="10"/>
        <v>14925</v>
      </c>
      <c r="I34" s="27">
        <f t="shared" si="10"/>
        <v>14941</v>
      </c>
      <c r="J34" s="27">
        <f t="shared" si="10"/>
        <v>15248</v>
      </c>
      <c r="K34" s="27">
        <f t="shared" si="10"/>
        <v>15699</v>
      </c>
      <c r="L34" s="27">
        <f t="shared" si="10"/>
        <v>15829</v>
      </c>
      <c r="M34" s="27">
        <f t="shared" si="10"/>
        <v>16001</v>
      </c>
      <c r="N34" s="27">
        <f t="shared" si="10"/>
        <v>16293</v>
      </c>
      <c r="O34" s="27">
        <f t="shared" si="10"/>
        <v>16660</v>
      </c>
      <c r="Q34" s="6">
        <v>10.5</v>
      </c>
      <c r="R34" s="6">
        <f t="shared" si="0"/>
        <v>-26030.231532650603</v>
      </c>
      <c r="S34" s="23">
        <f t="shared" si="1"/>
        <v>27849.418858912828</v>
      </c>
      <c r="T34" s="23">
        <f t="shared" si="2"/>
        <v>19403</v>
      </c>
    </row>
    <row r="35" spans="1:20" x14ac:dyDescent="0.25">
      <c r="A35" s="22" t="s">
        <v>193</v>
      </c>
      <c r="B35" s="27">
        <f t="shared" ref="B35:O35" si="11">ROUND( R_25 * EXP(B$19 + B$20/($A10+273.15) + B$21/($A10+273.15)^2 + B$22/($A10+273.15)^3),0)</f>
        <v>11777</v>
      </c>
      <c r="C35" s="27">
        <f t="shared" si="11"/>
        <v>11821</v>
      </c>
      <c r="D35" s="27">
        <f t="shared" si="11"/>
        <v>11859</v>
      </c>
      <c r="E35" s="27">
        <f t="shared" si="11"/>
        <v>11923</v>
      </c>
      <c r="F35" s="27">
        <f t="shared" si="11"/>
        <v>12102</v>
      </c>
      <c r="G35" s="27">
        <f t="shared" si="11"/>
        <v>12171</v>
      </c>
      <c r="H35" s="27">
        <f t="shared" si="11"/>
        <v>12174</v>
      </c>
      <c r="I35" s="27">
        <f t="shared" si="11"/>
        <v>12188</v>
      </c>
      <c r="J35" s="27">
        <f t="shared" si="11"/>
        <v>12311</v>
      </c>
      <c r="K35" s="27">
        <f t="shared" si="11"/>
        <v>12488</v>
      </c>
      <c r="L35" s="27">
        <f t="shared" si="11"/>
        <v>12541</v>
      </c>
      <c r="M35" s="27">
        <f t="shared" si="11"/>
        <v>12609</v>
      </c>
      <c r="N35" s="27">
        <f t="shared" si="11"/>
        <v>12723</v>
      </c>
      <c r="O35" s="27">
        <f t="shared" si="11"/>
        <v>12863</v>
      </c>
      <c r="Q35" s="6">
        <v>12</v>
      </c>
      <c r="R35" s="6">
        <f t="shared" si="0"/>
        <v>-25828.607348480818</v>
      </c>
      <c r="S35" s="23">
        <f t="shared" si="1"/>
        <v>27802.448305119091</v>
      </c>
      <c r="T35" s="23">
        <f t="shared" si="2"/>
        <v>18068</v>
      </c>
    </row>
    <row r="36" spans="1:20" x14ac:dyDescent="0.25">
      <c r="A36" s="22" t="s">
        <v>194</v>
      </c>
      <c r="B36" s="27">
        <f t="shared" ref="B36:O36" si="12">ROUND( R_25 * EXP(B$19 + B$20/($A11+273.15) + B$21/($A11+273.15)^2 + B$22/($A11+273.15)^3),0)</f>
        <v>10000</v>
      </c>
      <c r="C36" s="27">
        <f t="shared" si="12"/>
        <v>10000</v>
      </c>
      <c r="D36" s="27">
        <f t="shared" si="12"/>
        <v>10000</v>
      </c>
      <c r="E36" s="27">
        <f t="shared" si="12"/>
        <v>10000</v>
      </c>
      <c r="F36" s="27">
        <f t="shared" si="12"/>
        <v>10000</v>
      </c>
      <c r="G36" s="27">
        <f t="shared" si="12"/>
        <v>10000</v>
      </c>
      <c r="H36" s="27">
        <f t="shared" si="12"/>
        <v>10000</v>
      </c>
      <c r="I36" s="27">
        <f t="shared" si="12"/>
        <v>10000</v>
      </c>
      <c r="J36" s="27">
        <f t="shared" si="12"/>
        <v>10000</v>
      </c>
      <c r="K36" s="27">
        <f t="shared" si="12"/>
        <v>10000</v>
      </c>
      <c r="L36" s="27">
        <f t="shared" si="12"/>
        <v>10000</v>
      </c>
      <c r="M36" s="27">
        <f t="shared" si="12"/>
        <v>10000</v>
      </c>
      <c r="N36" s="27">
        <f t="shared" si="12"/>
        <v>10000</v>
      </c>
      <c r="O36" s="27">
        <f t="shared" si="12"/>
        <v>10000</v>
      </c>
      <c r="Q36" s="6">
        <v>13.5</v>
      </c>
      <c r="R36" s="6">
        <f t="shared" si="0"/>
        <v>-25629.093307525793</v>
      </c>
      <c r="S36" s="23">
        <f t="shared" si="1"/>
        <v>27756.251517627265</v>
      </c>
      <c r="T36" s="23">
        <f t="shared" si="2"/>
        <v>16836</v>
      </c>
    </row>
    <row r="37" spans="1:20" x14ac:dyDescent="0.25">
      <c r="A37" s="22" t="s">
        <v>195</v>
      </c>
      <c r="B37" s="27">
        <f t="shared" ref="B37:O37" si="13">ROUND( R_25 * EXP(B$19 + B$20/($A12+273.15) + B$21/($A12+273.15)^2 + B$22/($A12+273.15)^3),0)</f>
        <v>8534</v>
      </c>
      <c r="C37" s="27">
        <f t="shared" si="13"/>
        <v>8500</v>
      </c>
      <c r="D37" s="27">
        <f t="shared" si="13"/>
        <v>8475</v>
      </c>
      <c r="E37" s="27">
        <f t="shared" si="13"/>
        <v>8431</v>
      </c>
      <c r="F37" s="27">
        <f t="shared" si="13"/>
        <v>8311</v>
      </c>
      <c r="G37" s="27">
        <f t="shared" si="13"/>
        <v>8267</v>
      </c>
      <c r="H37" s="27">
        <f t="shared" si="13"/>
        <v>8267</v>
      </c>
      <c r="I37" s="27">
        <f t="shared" si="13"/>
        <v>8249</v>
      </c>
      <c r="J37" s="27">
        <f t="shared" si="13"/>
        <v>8170</v>
      </c>
      <c r="K37" s="27">
        <f t="shared" si="13"/>
        <v>8059</v>
      </c>
      <c r="L37" s="27">
        <f t="shared" si="13"/>
        <v>8022</v>
      </c>
      <c r="M37" s="27">
        <f t="shared" si="13"/>
        <v>7981</v>
      </c>
      <c r="N37" s="27">
        <f t="shared" si="13"/>
        <v>7910</v>
      </c>
      <c r="O37" s="27">
        <f t="shared" si="13"/>
        <v>7825</v>
      </c>
      <c r="Q37" s="6">
        <v>15</v>
      </c>
      <c r="R37" s="6">
        <f t="shared" si="0"/>
        <v>-25431.656455961245</v>
      </c>
      <c r="S37" s="23">
        <f t="shared" si="1"/>
        <v>27710.813410865961</v>
      </c>
      <c r="T37" s="23">
        <f t="shared" si="2"/>
        <v>15698</v>
      </c>
    </row>
    <row r="38" spans="1:20" x14ac:dyDescent="0.25">
      <c r="A38" s="20" t="s">
        <v>196</v>
      </c>
      <c r="B38" s="26">
        <f t="shared" ref="B38:O38" si="14">ROUND( R_25 * EXP(B$19 + B$20/($A13+273.15) + B$21/($A13+273.15)^2 + B$22/($A13+273.15)^3),0)</f>
        <v>7319</v>
      </c>
      <c r="C38" s="26">
        <f t="shared" si="14"/>
        <v>7259</v>
      </c>
      <c r="D38" s="26">
        <f t="shared" si="14"/>
        <v>7217</v>
      </c>
      <c r="E38" s="26">
        <f t="shared" si="14"/>
        <v>7144</v>
      </c>
      <c r="F38" s="26">
        <f t="shared" si="14"/>
        <v>6945</v>
      </c>
      <c r="G38" s="26">
        <f t="shared" si="14"/>
        <v>6874</v>
      </c>
      <c r="H38" s="26">
        <f t="shared" si="14"/>
        <v>6874</v>
      </c>
      <c r="I38" s="26">
        <f t="shared" si="14"/>
        <v>6841</v>
      </c>
      <c r="J38" s="26">
        <f t="shared" si="14"/>
        <v>6712</v>
      </c>
      <c r="K38" s="26">
        <f t="shared" si="14"/>
        <v>6535</v>
      </c>
      <c r="L38" s="26">
        <f t="shared" si="14"/>
        <v>6474</v>
      </c>
      <c r="M38" s="26">
        <f t="shared" si="14"/>
        <v>6408</v>
      </c>
      <c r="N38" s="26">
        <f t="shared" si="14"/>
        <v>6295</v>
      </c>
      <c r="O38" s="26">
        <f t="shared" si="14"/>
        <v>6163</v>
      </c>
      <c r="Q38" s="6">
        <v>16.5</v>
      </c>
      <c r="R38" s="6">
        <f t="shared" si="0"/>
        <v>-25236.264522590005</v>
      </c>
      <c r="S38" s="23">
        <f t="shared" si="1"/>
        <v>27666.119245963171</v>
      </c>
      <c r="T38" s="23">
        <f t="shared" si="2"/>
        <v>14646</v>
      </c>
    </row>
    <row r="39" spans="1:20" x14ac:dyDescent="0.25">
      <c r="A39" s="66" t="s">
        <v>174</v>
      </c>
      <c r="B39" s="66"/>
      <c r="C39" s="66"/>
      <c r="D39" s="66"/>
      <c r="E39" s="66"/>
      <c r="F39" s="66"/>
      <c r="G39" s="66"/>
      <c r="H39" s="66"/>
      <c r="I39" s="66"/>
      <c r="J39" s="66"/>
      <c r="K39" s="66"/>
      <c r="L39" s="66"/>
      <c r="M39" s="66"/>
      <c r="N39" s="66"/>
      <c r="O39" s="66"/>
      <c r="Q39" s="6">
        <v>18</v>
      </c>
      <c r="R39" s="6">
        <f t="shared" si="0"/>
        <v>-25042.885901257625</v>
      </c>
      <c r="S39" s="23">
        <f t="shared" si="1"/>
        <v>27622.154621502137</v>
      </c>
      <c r="T39" s="23">
        <f t="shared" si="2"/>
        <v>13673</v>
      </c>
    </row>
    <row r="40" spans="1:20" x14ac:dyDescent="0.25">
      <c r="A40" s="25" t="s">
        <v>131</v>
      </c>
      <c r="B40" s="24">
        <f t="shared" ref="B40:O40" si="15">B48 - B45*B41 - B45^3*B42</f>
        <v>2.9482356941879471E-4</v>
      </c>
      <c r="C40" s="24">
        <f t="shared" si="15"/>
        <v>5.2452664571412679E-4</v>
      </c>
      <c r="D40" s="24">
        <f t="shared" si="15"/>
        <v>4.7083033168941106E-4</v>
      </c>
      <c r="E40" s="24">
        <f t="shared" si="15"/>
        <v>4.6396233005008969E-4</v>
      </c>
      <c r="F40" s="24">
        <f t="shared" si="15"/>
        <v>6.9357468395797996E-4</v>
      </c>
      <c r="G40" s="24">
        <f t="shared" si="15"/>
        <v>7.6882389597314374E-4</v>
      </c>
      <c r="H40" s="24">
        <f t="shared" si="15"/>
        <v>4.5018080473184957E-4</v>
      </c>
      <c r="I40" s="24">
        <f t="shared" si="15"/>
        <v>9.3662749621135693E-4</v>
      </c>
      <c r="J40" s="24">
        <f t="shared" si="15"/>
        <v>1.0341379851564504E-3</v>
      </c>
      <c r="K40" s="24">
        <f t="shared" si="15"/>
        <v>1.1312159797337736E-3</v>
      </c>
      <c r="L40" s="24">
        <f t="shared" si="15"/>
        <v>1.2287315389430116E-3</v>
      </c>
      <c r="M40" s="24">
        <f t="shared" si="15"/>
        <v>1.2764041177946513E-3</v>
      </c>
      <c r="N40" s="24">
        <f t="shared" si="15"/>
        <v>1.373542006504932E-3</v>
      </c>
      <c r="O40" s="24">
        <f t="shared" si="15"/>
        <v>1.4508161771486189E-3</v>
      </c>
      <c r="Q40" s="6">
        <v>19.5</v>
      </c>
      <c r="R40" s="6">
        <f t="shared" si="0"/>
        <v>-24851.489633808716</v>
      </c>
      <c r="S40" s="23">
        <f t="shared" si="1"/>
        <v>27578.905464560146</v>
      </c>
      <c r="T40" s="23">
        <f t="shared" si="2"/>
        <v>12773</v>
      </c>
    </row>
    <row r="41" spans="1:20" x14ac:dyDescent="0.25">
      <c r="A41" s="22" t="s">
        <v>130</v>
      </c>
      <c r="B41" s="21">
        <f t="shared" ref="B41:O41" si="16">(1/(B45-B46)) * (B48-B49-(B45^3-B46^3)*B42)</f>
        <v>3.2369036259716194E-4</v>
      </c>
      <c r="C41" s="21">
        <f t="shared" si="16"/>
        <v>2.9039756368537357E-4</v>
      </c>
      <c r="D41" s="21">
        <f t="shared" si="16"/>
        <v>3.0209060484114313E-4</v>
      </c>
      <c r="E41" s="21">
        <f t="shared" si="16"/>
        <v>3.0811618256502732E-4</v>
      </c>
      <c r="F41" s="21">
        <f t="shared" si="16"/>
        <v>2.8345111014424127E-4</v>
      </c>
      <c r="G41" s="21">
        <f t="shared" si="16"/>
        <v>2.7555931053419838E-4</v>
      </c>
      <c r="H41" s="21">
        <f t="shared" si="16"/>
        <v>3.2639827572997687E-4</v>
      </c>
      <c r="I41" s="21">
        <f t="shared" si="16"/>
        <v>2.4962714169469931E-4</v>
      </c>
      <c r="J41" s="21">
        <f t="shared" si="16"/>
        <v>2.4065794924668332E-4</v>
      </c>
      <c r="K41" s="21">
        <f t="shared" si="16"/>
        <v>2.3353481234243863E-4</v>
      </c>
      <c r="L41" s="21">
        <f t="shared" si="16"/>
        <v>2.2020650537164064E-4</v>
      </c>
      <c r="M41" s="21">
        <f t="shared" si="16"/>
        <v>2.1535598813426576E-4</v>
      </c>
      <c r="N41" s="21">
        <f t="shared" si="16"/>
        <v>2.0419092639248029E-4</v>
      </c>
      <c r="O41" s="21">
        <f t="shared" si="16"/>
        <v>1.9677756101605607E-4</v>
      </c>
      <c r="Q41" s="6">
        <v>21</v>
      </c>
      <c r="R41" s="6">
        <f t="shared" si="0"/>
        <v>-24662.045393564793</v>
      </c>
      <c r="S41" s="23">
        <f t="shared" si="1"/>
        <v>27536.358022020315</v>
      </c>
      <c r="T41" s="23">
        <f t="shared" si="2"/>
        <v>11939</v>
      </c>
    </row>
    <row r="42" spans="1:20" x14ac:dyDescent="0.25">
      <c r="A42" s="22" t="s">
        <v>129</v>
      </c>
      <c r="B42" s="21">
        <f t="shared" ref="B42:O42" si="17">B44/B43</f>
        <v>9.9696400490113887E-8</v>
      </c>
      <c r="C42" s="21">
        <f t="shared" si="17"/>
        <v>1.9816472388480117E-7</v>
      </c>
      <c r="D42" s="21">
        <f t="shared" si="17"/>
        <v>1.290498779639527E-7</v>
      </c>
      <c r="E42" s="21">
        <f t="shared" si="17"/>
        <v>6.6809268440139554E-8</v>
      </c>
      <c r="F42" s="21">
        <f t="shared" si="17"/>
        <v>6.3688073169006903E-8</v>
      </c>
      <c r="G42" s="21">
        <f t="shared" si="17"/>
        <v>6.0407646864634219E-8</v>
      </c>
      <c r="H42" s="21">
        <f t="shared" si="17"/>
        <v>-1.3106542091279431E-7</v>
      </c>
      <c r="I42" s="21">
        <f t="shared" si="17"/>
        <v>1.5133173989742482E-7</v>
      </c>
      <c r="J42" s="21">
        <f t="shared" si="17"/>
        <v>1.3225986297939688E-7</v>
      </c>
      <c r="K42" s="21">
        <f t="shared" si="17"/>
        <v>9.1979802372499524E-8</v>
      </c>
      <c r="L42" s="21">
        <f t="shared" si="17"/>
        <v>1.2428768529502012E-7</v>
      </c>
      <c r="M42" s="21">
        <f t="shared" si="17"/>
        <v>1.2045100219605711E-7</v>
      </c>
      <c r="N42" s="21">
        <f t="shared" si="17"/>
        <v>1.2774142755701683E-7</v>
      </c>
      <c r="O42" s="21">
        <f t="shared" si="17"/>
        <v>1.1622938178494944E-7</v>
      </c>
      <c r="Q42" s="6">
        <v>22.5</v>
      </c>
      <c r="R42" s="6">
        <f t="shared" si="0"/>
        <v>-24474.523469305084</v>
      </c>
      <c r="S42" s="23">
        <f t="shared" si="1"/>
        <v>27494.498852146975</v>
      </c>
      <c r="T42" s="23">
        <f t="shared" si="2"/>
        <v>11166</v>
      </c>
    </row>
    <row r="43" spans="1:20" x14ac:dyDescent="0.25">
      <c r="A43" s="22" t="s">
        <v>181</v>
      </c>
      <c r="B43" s="21">
        <f t="shared" ref="B43:O43" si="18">(B46-B47)/(B45-B46) * (B46^3-B45^3) + (B46^3-B47^3)</f>
        <v>-30.104738556010204</v>
      </c>
      <c r="C43" s="21">
        <f t="shared" si="18"/>
        <v>-31.02400216252056</v>
      </c>
      <c r="D43" s="21">
        <f t="shared" si="18"/>
        <v>-32.55731297257978</v>
      </c>
      <c r="E43" s="21">
        <f t="shared" si="18"/>
        <v>-35.030960262858912</v>
      </c>
      <c r="F43" s="21">
        <f t="shared" si="18"/>
        <v>-41.433405254861214</v>
      </c>
      <c r="G43" s="21">
        <f t="shared" si="18"/>
        <v>-44.060928150420523</v>
      </c>
      <c r="H43" s="21">
        <f t="shared" si="18"/>
        <v>-45.761485263656311</v>
      </c>
      <c r="I43" s="21">
        <f t="shared" si="18"/>
        <v>-43.86528643585109</v>
      </c>
      <c r="J43" s="21">
        <f t="shared" si="18"/>
        <v>-48.670118552459428</v>
      </c>
      <c r="K43" s="21">
        <f t="shared" si="18"/>
        <v>-56.254373559194732</v>
      </c>
      <c r="L43" s="21">
        <f t="shared" si="18"/>
        <v>-57.940216799328198</v>
      </c>
      <c r="M43" s="21">
        <f t="shared" si="18"/>
        <v>-60.811966426430331</v>
      </c>
      <c r="N43" s="21">
        <f t="shared" si="18"/>
        <v>-65.521322018152659</v>
      </c>
      <c r="O43" s="21">
        <f t="shared" si="18"/>
        <v>-71.987096930791608</v>
      </c>
      <c r="Q43" s="6">
        <v>24</v>
      </c>
      <c r="R43" s="6">
        <f t="shared" si="0"/>
        <v>-24288.894749732492</v>
      </c>
      <c r="S43" s="23">
        <f t="shared" si="1"/>
        <v>27453.314816415445</v>
      </c>
      <c r="T43" s="23">
        <f t="shared" si="2"/>
        <v>10449</v>
      </c>
    </row>
    <row r="44" spans="1:20" x14ac:dyDescent="0.25">
      <c r="A44" s="22" t="s">
        <v>182</v>
      </c>
      <c r="B44" s="21">
        <f t="shared" ref="B44:O44" si="19">B49 - B50 - ( (B46-B47)/(B45-B46) ) * (B48-B49)</f>
        <v>-3.0013340717301661E-6</v>
      </c>
      <c r="C44" s="21">
        <f t="shared" si="19"/>
        <v>-6.1478628223373614E-6</v>
      </c>
      <c r="D44" s="21">
        <f t="shared" si="19"/>
        <v>-4.201517265945635E-6</v>
      </c>
      <c r="E44" s="21">
        <f t="shared" si="19"/>
        <v>-2.3403928279172028E-6</v>
      </c>
      <c r="F44" s="21">
        <f t="shared" si="19"/>
        <v>-2.6388137455127161E-6</v>
      </c>
      <c r="G44" s="21">
        <f t="shared" si="19"/>
        <v>-2.6616169882386239E-6</v>
      </c>
      <c r="H44" s="21">
        <f t="shared" si="19"/>
        <v>5.9977483276757492E-6</v>
      </c>
      <c r="I44" s="21">
        <f t="shared" si="19"/>
        <v>-6.6382101174362537E-6</v>
      </c>
      <c r="J44" s="21">
        <f t="shared" si="19"/>
        <v>-6.437103210939286E-6</v>
      </c>
      <c r="K44" s="21">
        <f t="shared" si="19"/>
        <v>-5.1742661625634942E-6</v>
      </c>
      <c r="L44" s="21">
        <f t="shared" si="19"/>
        <v>-7.2012554314801404E-6</v>
      </c>
      <c r="M44" s="21">
        <f t="shared" si="19"/>
        <v>-7.3248623015765104E-6</v>
      </c>
      <c r="N44" s="21">
        <f t="shared" si="19"/>
        <v>-8.3697872100218194E-6</v>
      </c>
      <c r="O44" s="21">
        <f t="shared" si="19"/>
        <v>-8.3670157727591394E-6</v>
      </c>
      <c r="Q44" s="6">
        <v>25.5</v>
      </c>
      <c r="R44" s="6">
        <f t="shared" si="0"/>
        <v>-24105.130708407749</v>
      </c>
      <c r="S44" s="23">
        <f t="shared" si="1"/>
        <v>27412.793071587497</v>
      </c>
      <c r="T44" s="23">
        <f t="shared" si="2"/>
        <v>9784</v>
      </c>
    </row>
    <row r="45" spans="1:20" x14ac:dyDescent="0.25">
      <c r="A45" s="22" t="s">
        <v>178</v>
      </c>
      <c r="B45" s="21">
        <f t="shared" ref="B45:O45" si="20">LN(B$28)</f>
        <v>10.681205634546343</v>
      </c>
      <c r="C45" s="21">
        <f t="shared" si="20"/>
        <v>10.697701041830877</v>
      </c>
      <c r="D45" s="21">
        <f t="shared" si="20"/>
        <v>10.735853049472523</v>
      </c>
      <c r="E45" s="21">
        <f t="shared" si="20"/>
        <v>10.793783324133198</v>
      </c>
      <c r="F45" s="21">
        <f t="shared" si="20"/>
        <v>10.926280148482137</v>
      </c>
      <c r="G45" s="21">
        <f t="shared" si="20"/>
        <v>10.977602209603837</v>
      </c>
      <c r="H45" s="21">
        <f t="shared" si="20"/>
        <v>11.027280139734536</v>
      </c>
      <c r="I45" s="21">
        <f t="shared" si="20"/>
        <v>10.966386304046374</v>
      </c>
      <c r="J45" s="21">
        <f t="shared" si="20"/>
        <v>11.056430185749285</v>
      </c>
      <c r="K45" s="21">
        <f t="shared" si="20"/>
        <v>11.191369426669171</v>
      </c>
      <c r="L45" s="21">
        <f t="shared" si="20"/>
        <v>11.215193056664946</v>
      </c>
      <c r="M45" s="21">
        <f t="shared" si="20"/>
        <v>11.261703889521222</v>
      </c>
      <c r="N45" s="21">
        <f t="shared" si="20"/>
        <v>11.333559536001907</v>
      </c>
      <c r="O45" s="21">
        <f t="shared" si="20"/>
        <v>11.430706223698319</v>
      </c>
      <c r="Q45" s="6">
        <v>27</v>
      </c>
      <c r="R45" s="6">
        <f t="shared" si="0"/>
        <v>-23923.203389135218</v>
      </c>
      <c r="S45" s="23">
        <f t="shared" si="1"/>
        <v>27372.921062024103</v>
      </c>
      <c r="T45" s="23">
        <f t="shared" si="2"/>
        <v>9166</v>
      </c>
    </row>
    <row r="46" spans="1:20" x14ac:dyDescent="0.25">
      <c r="A46" s="22" t="s">
        <v>179</v>
      </c>
      <c r="B46" s="21">
        <f t="shared" ref="B46:O46" si="21">LN(B$32)</f>
        <v>9.8974191771345215</v>
      </c>
      <c r="C46" s="21">
        <f t="shared" si="21"/>
        <v>9.9098671595001679</v>
      </c>
      <c r="D46" s="21">
        <f t="shared" si="21"/>
        <v>9.9248086342398114</v>
      </c>
      <c r="E46" s="21">
        <f t="shared" si="21"/>
        <v>9.9489388154400462</v>
      </c>
      <c r="F46" s="21">
        <f t="shared" si="21"/>
        <v>10.01126514470956</v>
      </c>
      <c r="G46" s="21">
        <f t="shared" si="21"/>
        <v>10.035261151145571</v>
      </c>
      <c r="H46" s="21">
        <f t="shared" si="21"/>
        <v>10.04211842070535</v>
      </c>
      <c r="I46" s="21">
        <f t="shared" si="21"/>
        <v>10.037100191860048</v>
      </c>
      <c r="J46" s="21">
        <f t="shared" si="21"/>
        <v>10.079120121179287</v>
      </c>
      <c r="K46" s="21">
        <f t="shared" si="21"/>
        <v>10.140099989797301</v>
      </c>
      <c r="L46" s="21">
        <f t="shared" si="21"/>
        <v>10.155374039382549</v>
      </c>
      <c r="M46" s="21">
        <f t="shared" si="21"/>
        <v>10.177552329028725</v>
      </c>
      <c r="N46" s="21">
        <f t="shared" si="21"/>
        <v>10.213652480789968</v>
      </c>
      <c r="O46" s="21">
        <f t="shared" si="21"/>
        <v>10.259552310349166</v>
      </c>
      <c r="Q46" s="6">
        <v>28.5</v>
      </c>
      <c r="R46" s="6">
        <f t="shared" si="0"/>
        <v>-23743.085391784844</v>
      </c>
      <c r="S46" s="23">
        <f t="shared" si="1"/>
        <v>27333.686512227301</v>
      </c>
      <c r="T46" s="23">
        <f t="shared" si="2"/>
        <v>8593</v>
      </c>
    </row>
    <row r="47" spans="1:20" x14ac:dyDescent="0.25">
      <c r="A47" s="22" t="s">
        <v>180</v>
      </c>
      <c r="B47" s="21">
        <f t="shared" ref="B47:O47" si="22">LN(B$36)</f>
        <v>9.2103403719761836</v>
      </c>
      <c r="C47" s="21">
        <f t="shared" si="22"/>
        <v>9.2103403719761836</v>
      </c>
      <c r="D47" s="21">
        <f t="shared" si="22"/>
        <v>9.2103403719761836</v>
      </c>
      <c r="E47" s="21">
        <f t="shared" si="22"/>
        <v>9.2103403719761836</v>
      </c>
      <c r="F47" s="21">
        <f t="shared" si="22"/>
        <v>9.2103403719761836</v>
      </c>
      <c r="G47" s="21">
        <f t="shared" si="22"/>
        <v>9.2103403719761836</v>
      </c>
      <c r="H47" s="21">
        <f t="shared" si="22"/>
        <v>9.2103403719761836</v>
      </c>
      <c r="I47" s="21">
        <f t="shared" si="22"/>
        <v>9.2103403719761836</v>
      </c>
      <c r="J47" s="21">
        <f t="shared" si="22"/>
        <v>9.2103403719761836</v>
      </c>
      <c r="K47" s="21">
        <f t="shared" si="22"/>
        <v>9.2103403719761836</v>
      </c>
      <c r="L47" s="21">
        <f t="shared" si="22"/>
        <v>9.2103403719761836</v>
      </c>
      <c r="M47" s="21">
        <f t="shared" si="22"/>
        <v>9.2103403719761836</v>
      </c>
      <c r="N47" s="21">
        <f t="shared" si="22"/>
        <v>9.2103403719761836</v>
      </c>
      <c r="O47" s="21">
        <f t="shared" si="22"/>
        <v>9.2103403719761836</v>
      </c>
      <c r="Q47" s="6">
        <v>30</v>
      </c>
      <c r="R47" s="6">
        <f t="shared" si="0"/>
        <v>-23564.749858534924</v>
      </c>
      <c r="S47" s="23">
        <f t="shared" si="1"/>
        <v>27295.077419603531</v>
      </c>
      <c r="T47" s="23">
        <f t="shared" si="2"/>
        <v>8059</v>
      </c>
    </row>
    <row r="48" spans="1:20" x14ac:dyDescent="0.25">
      <c r="A48" s="22" t="s">
        <v>175</v>
      </c>
      <c r="B48" s="21">
        <f t="shared" ref="B48:O48" si="23">1/(MID($A$28,3,3)+273.15)</f>
        <v>3.8737168312996321E-3</v>
      </c>
      <c r="C48" s="21">
        <f t="shared" si="23"/>
        <v>3.8737168312996321E-3</v>
      </c>
      <c r="D48" s="21">
        <f t="shared" si="23"/>
        <v>3.8737168312996321E-3</v>
      </c>
      <c r="E48" s="21">
        <f t="shared" si="23"/>
        <v>3.8737168312996321E-3</v>
      </c>
      <c r="F48" s="21">
        <f t="shared" si="23"/>
        <v>3.8737168312996321E-3</v>
      </c>
      <c r="G48" s="21">
        <f t="shared" si="23"/>
        <v>3.8737168312996321E-3</v>
      </c>
      <c r="H48" s="21">
        <f t="shared" si="23"/>
        <v>3.8737168312996321E-3</v>
      </c>
      <c r="I48" s="21">
        <f t="shared" si="23"/>
        <v>3.8737168312996321E-3</v>
      </c>
      <c r="J48" s="21">
        <f t="shared" si="23"/>
        <v>3.8737168312996321E-3</v>
      </c>
      <c r="K48" s="21">
        <f t="shared" si="23"/>
        <v>3.8737168312996321E-3</v>
      </c>
      <c r="L48" s="21">
        <f t="shared" si="23"/>
        <v>3.8737168312996321E-3</v>
      </c>
      <c r="M48" s="21">
        <f t="shared" si="23"/>
        <v>3.8737168312996321E-3</v>
      </c>
      <c r="N48" s="21">
        <f t="shared" si="23"/>
        <v>3.8737168312996321E-3</v>
      </c>
      <c r="O48" s="21">
        <f t="shared" si="23"/>
        <v>3.8737168312996321E-3</v>
      </c>
      <c r="Q48" s="6">
        <v>31.5</v>
      </c>
      <c r="R48" s="6">
        <f t="shared" si="0"/>
        <v>-23388.170460521338</v>
      </c>
      <c r="S48" s="23">
        <f t="shared" si="1"/>
        <v>27257.082047440821</v>
      </c>
      <c r="T48" s="23">
        <f t="shared" si="2"/>
        <v>7563</v>
      </c>
    </row>
    <row r="49" spans="1:15" x14ac:dyDescent="0.25">
      <c r="A49" s="22" t="s">
        <v>176</v>
      </c>
      <c r="B49" s="21">
        <f t="shared" ref="B49:O49" si="24">1/(MID($A$32,3,3)+273.15)</f>
        <v>3.5951824555096176E-3</v>
      </c>
      <c r="C49" s="21">
        <f t="shared" si="24"/>
        <v>3.5951824555096176E-3</v>
      </c>
      <c r="D49" s="21">
        <f t="shared" si="24"/>
        <v>3.5951824555096176E-3</v>
      </c>
      <c r="E49" s="21">
        <f t="shared" si="24"/>
        <v>3.5951824555096176E-3</v>
      </c>
      <c r="F49" s="21">
        <f t="shared" si="24"/>
        <v>3.5951824555096176E-3</v>
      </c>
      <c r="G49" s="21">
        <f t="shared" si="24"/>
        <v>3.5951824555096176E-3</v>
      </c>
      <c r="H49" s="21">
        <f t="shared" si="24"/>
        <v>3.5951824555096176E-3</v>
      </c>
      <c r="I49" s="21">
        <f t="shared" si="24"/>
        <v>3.5951824555096176E-3</v>
      </c>
      <c r="J49" s="21">
        <f t="shared" si="24"/>
        <v>3.5951824555096176E-3</v>
      </c>
      <c r="K49" s="21">
        <f t="shared" si="24"/>
        <v>3.5951824555096176E-3</v>
      </c>
      <c r="L49" s="21">
        <f t="shared" si="24"/>
        <v>3.5951824555096176E-3</v>
      </c>
      <c r="M49" s="21">
        <f t="shared" si="24"/>
        <v>3.5951824555096176E-3</v>
      </c>
      <c r="N49" s="21">
        <f t="shared" si="24"/>
        <v>3.5951824555096176E-3</v>
      </c>
      <c r="O49" s="21">
        <f t="shared" si="24"/>
        <v>3.5951824555096176E-3</v>
      </c>
    </row>
    <row r="50" spans="1:15" x14ac:dyDescent="0.25">
      <c r="A50" s="20" t="s">
        <v>177</v>
      </c>
      <c r="B50" s="19">
        <f t="shared" ref="B50:O50" si="25">1/(MID($A$36,3,3)+273.15)</f>
        <v>3.3540164346805303E-3</v>
      </c>
      <c r="C50" s="19">
        <f t="shared" si="25"/>
        <v>3.3540164346805303E-3</v>
      </c>
      <c r="D50" s="19">
        <f t="shared" si="25"/>
        <v>3.3540164346805303E-3</v>
      </c>
      <c r="E50" s="19">
        <f t="shared" si="25"/>
        <v>3.3540164346805303E-3</v>
      </c>
      <c r="F50" s="19">
        <f t="shared" si="25"/>
        <v>3.3540164346805303E-3</v>
      </c>
      <c r="G50" s="19">
        <f t="shared" si="25"/>
        <v>3.3540164346805303E-3</v>
      </c>
      <c r="H50" s="19">
        <f t="shared" si="25"/>
        <v>3.3540164346805303E-3</v>
      </c>
      <c r="I50" s="19">
        <f t="shared" si="25"/>
        <v>3.3540164346805303E-3</v>
      </c>
      <c r="J50" s="19">
        <f t="shared" si="25"/>
        <v>3.3540164346805303E-3</v>
      </c>
      <c r="K50" s="19">
        <f t="shared" si="25"/>
        <v>3.3540164346805303E-3</v>
      </c>
      <c r="L50" s="19">
        <f t="shared" si="25"/>
        <v>3.3540164346805303E-3</v>
      </c>
      <c r="M50" s="19">
        <f t="shared" si="25"/>
        <v>3.3540164346805303E-3</v>
      </c>
      <c r="N50" s="19">
        <f t="shared" si="25"/>
        <v>3.3540164346805303E-3</v>
      </c>
      <c r="O50" s="19">
        <f t="shared" si="25"/>
        <v>3.3540164346805303E-3</v>
      </c>
    </row>
    <row r="51" spans="1:15" x14ac:dyDescent="0.25">
      <c r="A51" s="66" t="s">
        <v>211</v>
      </c>
      <c r="B51" s="66"/>
      <c r="C51" s="66"/>
      <c r="D51" s="66"/>
      <c r="E51" s="66"/>
      <c r="F51" s="66"/>
      <c r="G51" s="66"/>
      <c r="H51" s="66"/>
      <c r="I51" s="66"/>
      <c r="J51" s="66"/>
      <c r="K51" s="66"/>
      <c r="L51" s="66"/>
      <c r="M51" s="66"/>
      <c r="N51" s="66"/>
      <c r="O51" s="66"/>
    </row>
    <row r="52" spans="1:15" x14ac:dyDescent="0.25">
      <c r="A52" s="18">
        <v>-20</v>
      </c>
      <c r="B52" s="17">
        <f t="shared" ref="B52:O52" si="26">1 / (B$40 + B$41*LN($B2) + B$42*LN($B2)^3) - 273.15</f>
        <v>-32.904460967586488</v>
      </c>
      <c r="C52" s="17">
        <f t="shared" si="26"/>
        <v>-32.701812612330201</v>
      </c>
      <c r="D52" s="17">
        <f t="shared" si="26"/>
        <v>-31.302593781192741</v>
      </c>
      <c r="E52" s="17">
        <f t="shared" si="26"/>
        <v>-29.422154065286179</v>
      </c>
      <c r="F52" s="17">
        <f t="shared" si="26"/>
        <v>-25.907755292721191</v>
      </c>
      <c r="G52" s="17">
        <f t="shared" si="26"/>
        <v>-24.658631257330057</v>
      </c>
      <c r="H52" s="17">
        <f t="shared" si="26"/>
        <v>-23.120578482361395</v>
      </c>
      <c r="I52" s="17">
        <f t="shared" si="26"/>
        <v>-25.132436589912857</v>
      </c>
      <c r="J52" s="17">
        <f t="shared" si="26"/>
        <v>-23.001549231829841</v>
      </c>
      <c r="K52" s="17">
        <f t="shared" si="26"/>
        <v>-20.109656302868842</v>
      </c>
      <c r="L52" s="17">
        <f t="shared" si="26"/>
        <v>-19.685438963699198</v>
      </c>
      <c r="M52" s="17">
        <f t="shared" si="26"/>
        <v>-18.793826782888033</v>
      </c>
      <c r="N52" s="17">
        <f t="shared" si="26"/>
        <v>-17.491648005408678</v>
      </c>
      <c r="O52" s="17">
        <f t="shared" si="26"/>
        <v>-15.828948133232871</v>
      </c>
    </row>
    <row r="53" spans="1:15" x14ac:dyDescent="0.25">
      <c r="A53" s="16">
        <v>-15</v>
      </c>
      <c r="B53" s="15">
        <f t="shared" ref="B53:O53" si="27">1 / (B$40 + B$41*LN($B3) + B$42*LN($B3)^3) - 273.15</f>
        <v>-26.793758394085444</v>
      </c>
      <c r="C53" s="15">
        <f t="shared" si="27"/>
        <v>-26.499273498375544</v>
      </c>
      <c r="D53" s="15">
        <f t="shared" si="27"/>
        <v>-25.289186936231431</v>
      </c>
      <c r="E53" s="15">
        <f t="shared" si="27"/>
        <v>-23.633332155183069</v>
      </c>
      <c r="F53" s="15">
        <f t="shared" si="27"/>
        <v>-20.420686075489783</v>
      </c>
      <c r="G53" s="15">
        <f t="shared" si="27"/>
        <v>-19.283720420982661</v>
      </c>
      <c r="H53" s="15">
        <f t="shared" si="27"/>
        <v>-18.105946386552574</v>
      </c>
      <c r="I53" s="15">
        <f t="shared" si="27"/>
        <v>-19.610749021227349</v>
      </c>
      <c r="J53" s="15">
        <f t="shared" si="27"/>
        <v>-17.687623693314691</v>
      </c>
      <c r="K53" s="15">
        <f t="shared" si="27"/>
        <v>-15.101757295785717</v>
      </c>
      <c r="L53" s="15">
        <f t="shared" si="27"/>
        <v>-14.677035441296539</v>
      </c>
      <c r="M53" s="15">
        <f t="shared" si="27"/>
        <v>-13.871160090887201</v>
      </c>
      <c r="N53" s="15">
        <f t="shared" si="27"/>
        <v>-12.679610710122006</v>
      </c>
      <c r="O53" s="15">
        <f t="shared" si="27"/>
        <v>-11.185650881842037</v>
      </c>
    </row>
    <row r="54" spans="1:15" x14ac:dyDescent="0.25">
      <c r="A54" s="16">
        <v>-10</v>
      </c>
      <c r="B54" s="15">
        <f t="shared" ref="B54:O54" si="28">1 / (B$40 + B$41*LN($B4) + B$42*LN($B4)^3) - 273.15</f>
        <v>-20.595019169705722</v>
      </c>
      <c r="C54" s="15">
        <f t="shared" si="28"/>
        <v>-20.235358948115959</v>
      </c>
      <c r="D54" s="15">
        <f t="shared" si="28"/>
        <v>-19.206811498429204</v>
      </c>
      <c r="E54" s="15">
        <f t="shared" si="28"/>
        <v>-17.771960819091078</v>
      </c>
      <c r="F54" s="15">
        <f t="shared" si="28"/>
        <v>-14.882555560724029</v>
      </c>
      <c r="G54" s="15">
        <f t="shared" si="28"/>
        <v>-13.86430484480428</v>
      </c>
      <c r="H54" s="15">
        <f t="shared" si="28"/>
        <v>-12.999449692712176</v>
      </c>
      <c r="I54" s="15">
        <f t="shared" si="28"/>
        <v>-14.067613382312913</v>
      </c>
      <c r="J54" s="15">
        <f t="shared" si="28"/>
        <v>-12.359792951022087</v>
      </c>
      <c r="K54" s="15">
        <f t="shared" si="28"/>
        <v>-10.084196567519541</v>
      </c>
      <c r="L54" s="15">
        <f t="shared" si="28"/>
        <v>-9.6710877089308838</v>
      </c>
      <c r="M54" s="15">
        <f t="shared" si="28"/>
        <v>-8.9544970095963663</v>
      </c>
      <c r="N54" s="15">
        <f t="shared" si="28"/>
        <v>-7.8825346639339955</v>
      </c>
      <c r="O54" s="15">
        <f t="shared" si="28"/>
        <v>-6.5617839136987755</v>
      </c>
    </row>
    <row r="55" spans="1:15" x14ac:dyDescent="0.25">
      <c r="A55" s="16">
        <v>-5</v>
      </c>
      <c r="B55" s="15">
        <f t="shared" ref="B55:O55" si="29">1 / (B$40 + B$41*LN($B5) + B$42*LN($B5)^3) - 273.15</f>
        <v>-14.32142782202294</v>
      </c>
      <c r="C55" s="15">
        <f t="shared" si="29"/>
        <v>-13.924236372263181</v>
      </c>
      <c r="D55" s="15">
        <f t="shared" si="29"/>
        <v>-13.068950714422613</v>
      </c>
      <c r="E55" s="15">
        <f t="shared" si="29"/>
        <v>-11.85100458149094</v>
      </c>
      <c r="F55" s="15">
        <f t="shared" si="29"/>
        <v>-9.3061190313829911</v>
      </c>
      <c r="G55" s="15">
        <f t="shared" si="29"/>
        <v>-8.4129982110599144</v>
      </c>
      <c r="H55" s="15">
        <f t="shared" si="29"/>
        <v>-7.8132312689851346</v>
      </c>
      <c r="I55" s="15">
        <f t="shared" si="29"/>
        <v>-8.5161133001483336</v>
      </c>
      <c r="J55" s="15">
        <f t="shared" si="29"/>
        <v>-7.0306693335704153</v>
      </c>
      <c r="K55" s="15">
        <f t="shared" si="29"/>
        <v>-5.0688936965513562</v>
      </c>
      <c r="L55" s="15">
        <f t="shared" si="29"/>
        <v>-4.6794407881451434</v>
      </c>
      <c r="M55" s="15">
        <f t="shared" si="29"/>
        <v>-4.0554491800765504</v>
      </c>
      <c r="N55" s="15">
        <f t="shared" si="29"/>
        <v>-3.1116650299088064</v>
      </c>
      <c r="O55" s="15">
        <f t="shared" si="29"/>
        <v>-1.9681095957730577</v>
      </c>
    </row>
    <row r="56" spans="1:15" x14ac:dyDescent="0.25">
      <c r="A56" s="16">
        <v>0</v>
      </c>
      <c r="B56" s="15">
        <f t="shared" ref="B56:O56" si="30">1 / (B$40 + B$41*LN($B6) + B$42*LN($B6)^3) - 273.15</f>
        <v>-7.9732555707582264</v>
      </c>
      <c r="C56" s="15">
        <f t="shared" si="30"/>
        <v>-7.566905660639577</v>
      </c>
      <c r="D56" s="15">
        <f t="shared" si="30"/>
        <v>-6.8763547274860457</v>
      </c>
      <c r="E56" s="15">
        <f t="shared" si="30"/>
        <v>-5.8711875156733413</v>
      </c>
      <c r="F56" s="15">
        <f t="shared" si="30"/>
        <v>-3.6925028399720077</v>
      </c>
      <c r="G56" s="15">
        <f t="shared" si="30"/>
        <v>-2.9310131520530263</v>
      </c>
      <c r="H56" s="15">
        <f t="shared" si="30"/>
        <v>-2.5488064401729957</v>
      </c>
      <c r="I56" s="15">
        <f t="shared" si="30"/>
        <v>-2.9575560779536545</v>
      </c>
      <c r="J56" s="15">
        <f t="shared" si="30"/>
        <v>-1.7015224163820903</v>
      </c>
      <c r="K56" s="15">
        <f t="shared" si="30"/>
        <v>-5.707930020406593E-2</v>
      </c>
      <c r="L56" s="15">
        <f t="shared" si="30"/>
        <v>0.2967829203936958</v>
      </c>
      <c r="M56" s="15">
        <f t="shared" si="30"/>
        <v>0.82491740410341663</v>
      </c>
      <c r="N56" s="15">
        <f t="shared" si="30"/>
        <v>1.6320827899297683</v>
      </c>
      <c r="O56" s="15">
        <f t="shared" si="30"/>
        <v>2.5945833327056107</v>
      </c>
    </row>
    <row r="57" spans="1:15" x14ac:dyDescent="0.25">
      <c r="A57" s="16">
        <v>5</v>
      </c>
      <c r="B57" s="15">
        <f t="shared" ref="B57:O57" si="31">1 / (B$40 + B$41*LN($B7) + B$42*LN($B7)^3) - 273.15</f>
        <v>-1.5439459226157055</v>
      </c>
      <c r="C57" s="15">
        <f t="shared" si="31"/>
        <v>-1.1575473009654615</v>
      </c>
      <c r="D57" s="15">
        <f t="shared" si="31"/>
        <v>-0.62313647237124314</v>
      </c>
      <c r="E57" s="15">
        <f t="shared" si="31"/>
        <v>0.17317563192608532</v>
      </c>
      <c r="F57" s="15">
        <f t="shared" si="31"/>
        <v>1.96316218725201</v>
      </c>
      <c r="G57" s="15">
        <f t="shared" si="31"/>
        <v>2.5862876340674461</v>
      </c>
      <c r="H57" s="15">
        <f t="shared" si="31"/>
        <v>2.7980436542059692</v>
      </c>
      <c r="I57" s="15">
        <f t="shared" si="31"/>
        <v>2.6126794480226181</v>
      </c>
      <c r="J57" s="15">
        <f t="shared" si="31"/>
        <v>3.6320540754961712</v>
      </c>
      <c r="K57" s="15">
        <f t="shared" si="31"/>
        <v>4.9553452517310461</v>
      </c>
      <c r="L57" s="15">
        <f t="shared" si="31"/>
        <v>5.2617515285741092</v>
      </c>
      <c r="M57" s="15">
        <f t="shared" si="31"/>
        <v>5.6907224662804197</v>
      </c>
      <c r="N57" s="15">
        <f t="shared" si="31"/>
        <v>6.352830377541693</v>
      </c>
      <c r="O57" s="15">
        <f t="shared" si="31"/>
        <v>7.1303441493404875</v>
      </c>
    </row>
    <row r="58" spans="1:15" x14ac:dyDescent="0.25">
      <c r="A58" s="16">
        <v>10</v>
      </c>
      <c r="B58" s="15">
        <f t="shared" ref="B58:O58" si="32">1 / (B$40 + B$41*LN($B8) + B$42*LN($B8)^3) - 273.15</f>
        <v>4.9711680931150113</v>
      </c>
      <c r="C58" s="15">
        <f t="shared" si="32"/>
        <v>5.3076891133344475</v>
      </c>
      <c r="D58" s="15">
        <f t="shared" si="32"/>
        <v>5.6946882021934471</v>
      </c>
      <c r="E58" s="15">
        <f t="shared" si="32"/>
        <v>6.285944637669445</v>
      </c>
      <c r="F58" s="15">
        <f t="shared" si="32"/>
        <v>7.6639747188691558</v>
      </c>
      <c r="G58" s="15">
        <f t="shared" si="32"/>
        <v>8.1417966033663447</v>
      </c>
      <c r="H58" s="15">
        <f t="shared" si="32"/>
        <v>8.2300605374387032</v>
      </c>
      <c r="I58" s="15">
        <f t="shared" si="32"/>
        <v>8.1973954764735595</v>
      </c>
      <c r="J58" s="15">
        <f t="shared" si="32"/>
        <v>8.9727025395770283</v>
      </c>
      <c r="K58" s="15">
        <f t="shared" si="32"/>
        <v>9.9708055126683348</v>
      </c>
      <c r="L58" s="15">
        <f t="shared" si="32"/>
        <v>10.217948481598114</v>
      </c>
      <c r="M58" s="15">
        <f t="shared" si="32"/>
        <v>10.544424315062997</v>
      </c>
      <c r="N58" s="15">
        <f t="shared" si="32"/>
        <v>11.053064441404956</v>
      </c>
      <c r="O58" s="15">
        <f t="shared" si="32"/>
        <v>11.641634694094478</v>
      </c>
    </row>
    <row r="59" spans="1:15" x14ac:dyDescent="0.25">
      <c r="A59" s="16">
        <v>15</v>
      </c>
      <c r="B59" s="15">
        <f t="shared" ref="B59:O59" si="33">1 / (B$40 + B$41*LN($B9) + B$42*LN($B9)^3) - 273.15</f>
        <v>11.569516051005053</v>
      </c>
      <c r="C59" s="15">
        <f t="shared" si="33"/>
        <v>11.825455153988116</v>
      </c>
      <c r="D59" s="15">
        <f t="shared" si="33"/>
        <v>12.074064158175986</v>
      </c>
      <c r="E59" s="15">
        <f t="shared" si="33"/>
        <v>12.464168149119985</v>
      </c>
      <c r="F59" s="15">
        <f t="shared" si="33"/>
        <v>13.406663990611719</v>
      </c>
      <c r="G59" s="15">
        <f t="shared" si="33"/>
        <v>13.732195601961337</v>
      </c>
      <c r="H59" s="15">
        <f t="shared" si="33"/>
        <v>13.744000111551316</v>
      </c>
      <c r="I59" s="15">
        <f t="shared" si="33"/>
        <v>13.79315177248219</v>
      </c>
      <c r="J59" s="15">
        <f t="shared" si="33"/>
        <v>14.317090841259812</v>
      </c>
      <c r="K59" s="15">
        <f t="shared" si="33"/>
        <v>14.98611062299932</v>
      </c>
      <c r="L59" s="15">
        <f t="shared" si="33"/>
        <v>15.16230867932245</v>
      </c>
      <c r="M59" s="15">
        <f t="shared" si="33"/>
        <v>15.383046017762638</v>
      </c>
      <c r="N59" s="15">
        <f t="shared" si="33"/>
        <v>15.730007307790743</v>
      </c>
      <c r="O59" s="15">
        <f t="shared" si="33"/>
        <v>16.125859965828454</v>
      </c>
    </row>
    <row r="60" spans="1:15" x14ac:dyDescent="0.25">
      <c r="A60" s="16">
        <v>20</v>
      </c>
      <c r="B60" s="15">
        <f t="shared" ref="B60:O60" si="34">1 / (B$40 + B$41*LN($B10) + B$42*LN($B10)^3) - 273.15</f>
        <v>18.245215809594868</v>
      </c>
      <c r="C60" s="15">
        <f t="shared" si="34"/>
        <v>18.38921745744949</v>
      </c>
      <c r="D60" s="15">
        <f t="shared" si="34"/>
        <v>18.508779898790692</v>
      </c>
      <c r="E60" s="15">
        <f t="shared" si="34"/>
        <v>18.701817908624491</v>
      </c>
      <c r="F60" s="15">
        <f t="shared" si="34"/>
        <v>19.185149220936694</v>
      </c>
      <c r="G60" s="15">
        <f t="shared" si="34"/>
        <v>19.351448300036111</v>
      </c>
      <c r="H60" s="15">
        <f t="shared" si="34"/>
        <v>19.33385346894903</v>
      </c>
      <c r="I60" s="15">
        <f t="shared" si="34"/>
        <v>19.393870165101021</v>
      </c>
      <c r="J60" s="15">
        <f t="shared" si="34"/>
        <v>19.659386710589843</v>
      </c>
      <c r="K60" s="15">
        <f t="shared" si="34"/>
        <v>19.995731624636278</v>
      </c>
      <c r="L60" s="15">
        <f t="shared" si="34"/>
        <v>20.089503204442508</v>
      </c>
      <c r="M60" s="15">
        <f t="shared" si="34"/>
        <v>20.201405984453913</v>
      </c>
      <c r="N60" s="15">
        <f t="shared" si="34"/>
        <v>20.378779079469211</v>
      </c>
      <c r="O60" s="15">
        <f t="shared" si="34"/>
        <v>20.578421899130319</v>
      </c>
    </row>
    <row r="61" spans="1:15" x14ac:dyDescent="0.25">
      <c r="A61" s="16">
        <v>25</v>
      </c>
      <c r="B61" s="15">
        <f t="shared" ref="B61:O61" si="35">1 / (B$40 + B$41*LN($B11) + B$42*LN($B11)^3) - 273.15</f>
        <v>24.999999999999943</v>
      </c>
      <c r="C61" s="15">
        <f t="shared" si="35"/>
        <v>25</v>
      </c>
      <c r="D61" s="15">
        <f t="shared" si="35"/>
        <v>25</v>
      </c>
      <c r="E61" s="15">
        <f t="shared" si="35"/>
        <v>25</v>
      </c>
      <c r="F61" s="15">
        <f t="shared" si="35"/>
        <v>25</v>
      </c>
      <c r="G61" s="15">
        <f t="shared" si="35"/>
        <v>24.999999999999943</v>
      </c>
      <c r="H61" s="15">
        <f t="shared" si="35"/>
        <v>25</v>
      </c>
      <c r="I61" s="15">
        <f t="shared" si="35"/>
        <v>25</v>
      </c>
      <c r="J61" s="15">
        <f t="shared" si="35"/>
        <v>24.999999999999943</v>
      </c>
      <c r="K61" s="15">
        <f t="shared" si="35"/>
        <v>25</v>
      </c>
      <c r="L61" s="15">
        <f t="shared" si="35"/>
        <v>25</v>
      </c>
      <c r="M61" s="15">
        <f t="shared" si="35"/>
        <v>25</v>
      </c>
      <c r="N61" s="15">
        <f t="shared" si="35"/>
        <v>25</v>
      </c>
      <c r="O61" s="15">
        <f t="shared" si="35"/>
        <v>25</v>
      </c>
    </row>
    <row r="62" spans="1:15" x14ac:dyDescent="0.25">
      <c r="A62" s="16">
        <v>30</v>
      </c>
      <c r="B62" s="15">
        <f t="shared" ref="B62:O62" si="36">1 / (B$40 + B$41*LN($B12) + B$42*LN($B12)^3) - 273.15</f>
        <v>31.833976347220641</v>
      </c>
      <c r="C62" s="15">
        <f t="shared" si="36"/>
        <v>31.657229385120047</v>
      </c>
      <c r="D62" s="15">
        <f t="shared" si="36"/>
        <v>31.547314969978117</v>
      </c>
      <c r="E62" s="15">
        <f t="shared" si="36"/>
        <v>31.358292768899275</v>
      </c>
      <c r="F62" s="15">
        <f t="shared" si="36"/>
        <v>30.850368317424113</v>
      </c>
      <c r="G62" s="15">
        <f t="shared" si="36"/>
        <v>30.676918501895386</v>
      </c>
      <c r="H62" s="15">
        <f t="shared" si="36"/>
        <v>30.74149444065597</v>
      </c>
      <c r="I62" s="15">
        <f t="shared" si="36"/>
        <v>30.61062859582762</v>
      </c>
      <c r="J62" s="15">
        <f t="shared" si="36"/>
        <v>30.338041741537836</v>
      </c>
      <c r="K62" s="15">
        <f t="shared" si="36"/>
        <v>29.998028503432408</v>
      </c>
      <c r="L62" s="15">
        <f t="shared" si="36"/>
        <v>29.893073377158714</v>
      </c>
      <c r="M62" s="15">
        <f t="shared" si="36"/>
        <v>29.77815705102779</v>
      </c>
      <c r="N62" s="15">
        <f t="shared" si="36"/>
        <v>29.593166572328869</v>
      </c>
      <c r="O62" s="15">
        <f t="shared" si="36"/>
        <v>29.390196235194992</v>
      </c>
    </row>
    <row r="63" spans="1:15" x14ac:dyDescent="0.25">
      <c r="A63" s="16">
        <v>35</v>
      </c>
      <c r="B63" s="15">
        <f t="shared" ref="B63:O63" si="37">1 / (B$40 + B$41*LN($B13) + B$42*LN($B13)^3) - 273.15</f>
        <v>38.633650254330007</v>
      </c>
      <c r="C63" s="15">
        <f t="shared" si="37"/>
        <v>38.250445950249343</v>
      </c>
      <c r="D63" s="15">
        <f t="shared" si="37"/>
        <v>38.041974465229544</v>
      </c>
      <c r="E63" s="15">
        <f t="shared" si="37"/>
        <v>37.670921604921944</v>
      </c>
      <c r="F63" s="15">
        <f t="shared" si="37"/>
        <v>36.638970095779371</v>
      </c>
      <c r="G63" s="15">
        <f t="shared" si="37"/>
        <v>36.287849716443077</v>
      </c>
      <c r="H63" s="15">
        <f t="shared" si="37"/>
        <v>36.461794064562469</v>
      </c>
      <c r="I63" s="15">
        <f t="shared" si="37"/>
        <v>36.13310325189201</v>
      </c>
      <c r="J63" s="15">
        <f t="shared" si="37"/>
        <v>35.585510676252795</v>
      </c>
      <c r="K63" s="15">
        <f t="shared" si="37"/>
        <v>34.907462536395485</v>
      </c>
      <c r="L63" s="15">
        <f t="shared" si="37"/>
        <v>34.688520691947701</v>
      </c>
      <c r="M63" s="15">
        <f t="shared" si="37"/>
        <v>34.457679685160485</v>
      </c>
      <c r="N63" s="15">
        <f t="shared" si="37"/>
        <v>34.083455597596412</v>
      </c>
      <c r="O63" s="15">
        <f t="shared" si="37"/>
        <v>33.677686429903304</v>
      </c>
    </row>
    <row r="64" spans="1:15" x14ac:dyDescent="0.25">
      <c r="A64" s="16" t="s">
        <v>210</v>
      </c>
      <c r="B64" s="39">
        <f t="shared" ref="B64:O64" si="38">B52-$A52</f>
        <v>-12.904460967586488</v>
      </c>
      <c r="C64" s="39">
        <f t="shared" si="38"/>
        <v>-12.701812612330201</v>
      </c>
      <c r="D64" s="39">
        <f t="shared" si="38"/>
        <v>-11.302593781192741</v>
      </c>
      <c r="E64" s="39">
        <f t="shared" si="38"/>
        <v>-9.422154065286179</v>
      </c>
      <c r="F64" s="39">
        <f t="shared" si="38"/>
        <v>-5.9077552927211912</v>
      </c>
      <c r="G64" s="39">
        <f t="shared" si="38"/>
        <v>-4.6586312573300575</v>
      </c>
      <c r="H64" s="39">
        <f t="shared" si="38"/>
        <v>-3.1205784823613953</v>
      </c>
      <c r="I64" s="39">
        <f t="shared" si="38"/>
        <v>-5.1324365899128566</v>
      </c>
      <c r="J64" s="39">
        <f t="shared" si="38"/>
        <v>-3.0015492318298413</v>
      </c>
      <c r="K64" s="39">
        <f t="shared" si="38"/>
        <v>-0.1096563028688422</v>
      </c>
      <c r="L64" s="39">
        <f t="shared" si="38"/>
        <v>0.31456103630080179</v>
      </c>
      <c r="M64" s="39">
        <f t="shared" si="38"/>
        <v>1.2061732171119672</v>
      </c>
      <c r="N64" s="39">
        <f t="shared" si="38"/>
        <v>2.5083519945913224</v>
      </c>
      <c r="O64" s="39">
        <f t="shared" si="38"/>
        <v>4.1710518667671295</v>
      </c>
    </row>
    <row r="65" spans="1:15" x14ac:dyDescent="0.25">
      <c r="A65" s="16" t="s">
        <v>209</v>
      </c>
      <c r="B65" s="39">
        <f t="shared" ref="B65:O65" si="39">B53-$A53</f>
        <v>-11.793758394085444</v>
      </c>
      <c r="C65" s="39">
        <f t="shared" si="39"/>
        <v>-11.499273498375544</v>
      </c>
      <c r="D65" s="39">
        <f t="shared" si="39"/>
        <v>-10.289186936231431</v>
      </c>
      <c r="E65" s="39">
        <f t="shared" si="39"/>
        <v>-8.6333321551830693</v>
      </c>
      <c r="F65" s="39">
        <f t="shared" si="39"/>
        <v>-5.4206860754897832</v>
      </c>
      <c r="G65" s="39">
        <f t="shared" si="39"/>
        <v>-4.2837204209826609</v>
      </c>
      <c r="H65" s="39">
        <f t="shared" si="39"/>
        <v>-3.1059463865525743</v>
      </c>
      <c r="I65" s="39">
        <f t="shared" si="39"/>
        <v>-4.610749021227349</v>
      </c>
      <c r="J65" s="39">
        <f t="shared" si="39"/>
        <v>-2.6876236933146913</v>
      </c>
      <c r="K65" s="39">
        <f t="shared" si="39"/>
        <v>-0.10175729578571691</v>
      </c>
      <c r="L65" s="39">
        <f t="shared" si="39"/>
        <v>0.32296455870346108</v>
      </c>
      <c r="M65" s="39">
        <f t="shared" si="39"/>
        <v>1.1288399091127985</v>
      </c>
      <c r="N65" s="39">
        <f t="shared" si="39"/>
        <v>2.3203892898779941</v>
      </c>
      <c r="O65" s="39">
        <f t="shared" si="39"/>
        <v>3.8143491181579634</v>
      </c>
    </row>
    <row r="66" spans="1:15" x14ac:dyDescent="0.25">
      <c r="A66" s="16" t="s">
        <v>208</v>
      </c>
      <c r="B66" s="39">
        <f t="shared" ref="B66:O66" si="40">B54-$A54</f>
        <v>-10.595019169705722</v>
      </c>
      <c r="C66" s="39">
        <f t="shared" si="40"/>
        <v>-10.235358948115959</v>
      </c>
      <c r="D66" s="39">
        <f t="shared" si="40"/>
        <v>-9.2068114984292038</v>
      </c>
      <c r="E66" s="39">
        <f t="shared" si="40"/>
        <v>-7.7719608190910776</v>
      </c>
      <c r="F66" s="39">
        <f t="shared" si="40"/>
        <v>-4.882555560724029</v>
      </c>
      <c r="G66" s="39">
        <f t="shared" si="40"/>
        <v>-3.8643048448042805</v>
      </c>
      <c r="H66" s="39">
        <f t="shared" si="40"/>
        <v>-2.9994496927121759</v>
      </c>
      <c r="I66" s="39">
        <f t="shared" si="40"/>
        <v>-4.0676133823129135</v>
      </c>
      <c r="J66" s="39">
        <f t="shared" si="40"/>
        <v>-2.3597929510220865</v>
      </c>
      <c r="K66" s="39">
        <f t="shared" si="40"/>
        <v>-8.4196567519541077E-2</v>
      </c>
      <c r="L66" s="39">
        <f t="shared" si="40"/>
        <v>0.32891229106911624</v>
      </c>
      <c r="M66" s="39">
        <f t="shared" si="40"/>
        <v>1.0455029904036337</v>
      </c>
      <c r="N66" s="39">
        <f t="shared" si="40"/>
        <v>2.1174653360660045</v>
      </c>
      <c r="O66" s="39">
        <f t="shared" si="40"/>
        <v>3.4382160863012245</v>
      </c>
    </row>
    <row r="67" spans="1:15" x14ac:dyDescent="0.25">
      <c r="A67" s="16" t="s">
        <v>207</v>
      </c>
      <c r="B67" s="39">
        <f t="shared" ref="B67:O67" si="41">B55-$A55</f>
        <v>-9.3214278220229403</v>
      </c>
      <c r="C67" s="39">
        <f t="shared" si="41"/>
        <v>-8.9242363722631808</v>
      </c>
      <c r="D67" s="39">
        <f t="shared" si="41"/>
        <v>-8.0689507144226127</v>
      </c>
      <c r="E67" s="39">
        <f t="shared" si="41"/>
        <v>-6.8510045814909404</v>
      </c>
      <c r="F67" s="39">
        <f t="shared" si="41"/>
        <v>-4.3061190313829911</v>
      </c>
      <c r="G67" s="39">
        <f t="shared" si="41"/>
        <v>-3.4129982110599144</v>
      </c>
      <c r="H67" s="39">
        <f t="shared" si="41"/>
        <v>-2.8132312689851346</v>
      </c>
      <c r="I67" s="39">
        <f t="shared" si="41"/>
        <v>-3.5161133001483336</v>
      </c>
      <c r="J67" s="39">
        <f t="shared" si="41"/>
        <v>-2.0306693335704153</v>
      </c>
      <c r="K67" s="39">
        <f t="shared" si="41"/>
        <v>-6.8893696551356243E-2</v>
      </c>
      <c r="L67" s="39">
        <f t="shared" si="41"/>
        <v>0.32055921185485658</v>
      </c>
      <c r="M67" s="39">
        <f t="shared" si="41"/>
        <v>0.94455081992344958</v>
      </c>
      <c r="N67" s="39">
        <f t="shared" si="41"/>
        <v>1.8883349700911936</v>
      </c>
      <c r="O67" s="39">
        <f t="shared" si="41"/>
        <v>3.0318904042269423</v>
      </c>
    </row>
    <row r="68" spans="1:15" x14ac:dyDescent="0.25">
      <c r="A68" s="16" t="s">
        <v>206</v>
      </c>
      <c r="B68" s="39">
        <f t="shared" ref="B68:O68" si="42">B56-$A56</f>
        <v>-7.9732555707582264</v>
      </c>
      <c r="C68" s="39">
        <f t="shared" si="42"/>
        <v>-7.566905660639577</v>
      </c>
      <c r="D68" s="39">
        <f t="shared" si="42"/>
        <v>-6.8763547274860457</v>
      </c>
      <c r="E68" s="39">
        <f t="shared" si="42"/>
        <v>-5.8711875156733413</v>
      </c>
      <c r="F68" s="39">
        <f t="shared" si="42"/>
        <v>-3.6925028399720077</v>
      </c>
      <c r="G68" s="39">
        <f t="shared" si="42"/>
        <v>-2.9310131520530263</v>
      </c>
      <c r="H68" s="39">
        <f t="shared" si="42"/>
        <v>-2.5488064401729957</v>
      </c>
      <c r="I68" s="39">
        <f t="shared" si="42"/>
        <v>-2.9575560779536545</v>
      </c>
      <c r="J68" s="39">
        <f t="shared" si="42"/>
        <v>-1.7015224163820903</v>
      </c>
      <c r="K68" s="39">
        <f t="shared" si="42"/>
        <v>-5.707930020406593E-2</v>
      </c>
      <c r="L68" s="39">
        <f t="shared" si="42"/>
        <v>0.2967829203936958</v>
      </c>
      <c r="M68" s="39">
        <f t="shared" si="42"/>
        <v>0.82491740410341663</v>
      </c>
      <c r="N68" s="39">
        <f t="shared" si="42"/>
        <v>1.6320827899297683</v>
      </c>
      <c r="O68" s="39">
        <f t="shared" si="42"/>
        <v>2.5945833327056107</v>
      </c>
    </row>
    <row r="69" spans="1:15" x14ac:dyDescent="0.25">
      <c r="A69" s="16" t="s">
        <v>205</v>
      </c>
      <c r="B69" s="39">
        <f t="shared" ref="B69:O69" si="43">B57-$A57</f>
        <v>-6.5439459226157055</v>
      </c>
      <c r="C69" s="39">
        <f t="shared" si="43"/>
        <v>-6.1575473009654615</v>
      </c>
      <c r="D69" s="39">
        <f t="shared" si="43"/>
        <v>-5.6231364723712431</v>
      </c>
      <c r="E69" s="39">
        <f t="shared" si="43"/>
        <v>-4.8268243680739147</v>
      </c>
      <c r="F69" s="39">
        <f t="shared" si="43"/>
        <v>-3.03683781274799</v>
      </c>
      <c r="G69" s="39">
        <f t="shared" si="43"/>
        <v>-2.4137123659325539</v>
      </c>
      <c r="H69" s="39">
        <f t="shared" si="43"/>
        <v>-2.2019563457940308</v>
      </c>
      <c r="I69" s="39">
        <f t="shared" si="43"/>
        <v>-2.3873205519773819</v>
      </c>
      <c r="J69" s="39">
        <f t="shared" si="43"/>
        <v>-1.3679459245038288</v>
      </c>
      <c r="K69" s="39">
        <f t="shared" si="43"/>
        <v>-4.4654748268953881E-2</v>
      </c>
      <c r="L69" s="39">
        <f t="shared" si="43"/>
        <v>0.26175152857410922</v>
      </c>
      <c r="M69" s="39">
        <f t="shared" si="43"/>
        <v>0.69072246628041967</v>
      </c>
      <c r="N69" s="39">
        <f t="shared" si="43"/>
        <v>1.352830377541693</v>
      </c>
      <c r="O69" s="39">
        <f t="shared" si="43"/>
        <v>2.1303441493404875</v>
      </c>
    </row>
    <row r="70" spans="1:15" x14ac:dyDescent="0.25">
      <c r="A70" s="16" t="s">
        <v>204</v>
      </c>
      <c r="B70" s="39">
        <f t="shared" ref="B70:O70" si="44">B58-$A58</f>
        <v>-5.0288319068849887</v>
      </c>
      <c r="C70" s="39">
        <f t="shared" si="44"/>
        <v>-4.6923108866655525</v>
      </c>
      <c r="D70" s="39">
        <f t="shared" si="44"/>
        <v>-4.3053117978065529</v>
      </c>
      <c r="E70" s="39">
        <f t="shared" si="44"/>
        <v>-3.714055362330555</v>
      </c>
      <c r="F70" s="39">
        <f t="shared" si="44"/>
        <v>-2.3360252811308442</v>
      </c>
      <c r="G70" s="39">
        <f t="shared" si="44"/>
        <v>-1.8582033966336553</v>
      </c>
      <c r="H70" s="39">
        <f t="shared" si="44"/>
        <v>-1.7699394625612968</v>
      </c>
      <c r="I70" s="39">
        <f t="shared" si="44"/>
        <v>-1.8026045235264405</v>
      </c>
      <c r="J70" s="39">
        <f t="shared" si="44"/>
        <v>-1.0272974604229717</v>
      </c>
      <c r="K70" s="39">
        <f t="shared" si="44"/>
        <v>-2.9194487331665187E-2</v>
      </c>
      <c r="L70" s="39">
        <f t="shared" si="44"/>
        <v>0.21794848159811409</v>
      </c>
      <c r="M70" s="39">
        <f t="shared" si="44"/>
        <v>0.54442431506299727</v>
      </c>
      <c r="N70" s="39">
        <f t="shared" si="44"/>
        <v>1.0530644414049561</v>
      </c>
      <c r="O70" s="39">
        <f t="shared" si="44"/>
        <v>1.6416346940944777</v>
      </c>
    </row>
    <row r="71" spans="1:15" x14ac:dyDescent="0.25">
      <c r="A71" s="16" t="s">
        <v>203</v>
      </c>
      <c r="B71" s="39">
        <f t="shared" ref="B71:O71" si="45">B59-$A59</f>
        <v>-3.4304839489949472</v>
      </c>
      <c r="C71" s="39">
        <f t="shared" si="45"/>
        <v>-3.1745448460118837</v>
      </c>
      <c r="D71" s="39">
        <f t="shared" si="45"/>
        <v>-2.925935841824014</v>
      </c>
      <c r="E71" s="39">
        <f t="shared" si="45"/>
        <v>-2.5358318508800153</v>
      </c>
      <c r="F71" s="39">
        <f t="shared" si="45"/>
        <v>-1.5933360093882811</v>
      </c>
      <c r="G71" s="39">
        <f t="shared" si="45"/>
        <v>-1.2678043980386633</v>
      </c>
      <c r="H71" s="39">
        <f t="shared" si="45"/>
        <v>-1.2559998884486845</v>
      </c>
      <c r="I71" s="39">
        <f t="shared" si="45"/>
        <v>-1.2068482275178098</v>
      </c>
      <c r="J71" s="39">
        <f t="shared" si="45"/>
        <v>-0.68290915874018765</v>
      </c>
      <c r="K71" s="39">
        <f t="shared" si="45"/>
        <v>-1.388937700068027E-2</v>
      </c>
      <c r="L71" s="39">
        <f t="shared" si="45"/>
        <v>0.16230867932245019</v>
      </c>
      <c r="M71" s="39">
        <f t="shared" si="45"/>
        <v>0.3830460177626378</v>
      </c>
      <c r="N71" s="39">
        <f t="shared" si="45"/>
        <v>0.73000730779074274</v>
      </c>
      <c r="O71" s="39">
        <f t="shared" si="45"/>
        <v>1.1258599658284538</v>
      </c>
    </row>
    <row r="72" spans="1:15" x14ac:dyDescent="0.25">
      <c r="A72" s="16" t="s">
        <v>202</v>
      </c>
      <c r="B72" s="39">
        <f t="shared" ref="B72:O72" si="46">B60-$A60</f>
        <v>-1.7547841904051324</v>
      </c>
      <c r="C72" s="39">
        <f t="shared" si="46"/>
        <v>-1.6107825425505098</v>
      </c>
      <c r="D72" s="39">
        <f t="shared" si="46"/>
        <v>-1.4912201012093078</v>
      </c>
      <c r="E72" s="39">
        <f t="shared" si="46"/>
        <v>-1.2981820913755087</v>
      </c>
      <c r="F72" s="39">
        <f t="shared" si="46"/>
        <v>-0.81485077906330616</v>
      </c>
      <c r="G72" s="39">
        <f t="shared" si="46"/>
        <v>-0.64855169996388895</v>
      </c>
      <c r="H72" s="39">
        <f t="shared" si="46"/>
        <v>-0.66614653105096977</v>
      </c>
      <c r="I72" s="39">
        <f t="shared" si="46"/>
        <v>-0.60612983489897942</v>
      </c>
      <c r="J72" s="39">
        <f t="shared" si="46"/>
        <v>-0.34061328941015745</v>
      </c>
      <c r="K72" s="39">
        <f t="shared" si="46"/>
        <v>-4.2683753637220434E-3</v>
      </c>
      <c r="L72" s="39">
        <f t="shared" si="46"/>
        <v>8.9503204442507922E-2</v>
      </c>
      <c r="M72" s="39">
        <f t="shared" si="46"/>
        <v>0.20140598445391333</v>
      </c>
      <c r="N72" s="39">
        <f t="shared" si="46"/>
        <v>0.37877907946921141</v>
      </c>
      <c r="O72" s="39">
        <f t="shared" si="46"/>
        <v>0.57842189913031916</v>
      </c>
    </row>
    <row r="73" spans="1:15" x14ac:dyDescent="0.25">
      <c r="A73" s="16" t="s">
        <v>201</v>
      </c>
      <c r="B73" s="39">
        <f t="shared" ref="B73:O73" si="47">B61-$A61</f>
        <v>-5.6843418860808015E-14</v>
      </c>
      <c r="C73" s="39">
        <f t="shared" si="47"/>
        <v>0</v>
      </c>
      <c r="D73" s="39">
        <f t="shared" si="47"/>
        <v>0</v>
      </c>
      <c r="E73" s="39">
        <f t="shared" si="47"/>
        <v>0</v>
      </c>
      <c r="F73" s="39">
        <f t="shared" si="47"/>
        <v>0</v>
      </c>
      <c r="G73" s="39">
        <f t="shared" si="47"/>
        <v>-5.6843418860808015E-14</v>
      </c>
      <c r="H73" s="39">
        <f t="shared" si="47"/>
        <v>0</v>
      </c>
      <c r="I73" s="39">
        <f t="shared" si="47"/>
        <v>0</v>
      </c>
      <c r="J73" s="39">
        <f t="shared" si="47"/>
        <v>-5.6843418860808015E-14</v>
      </c>
      <c r="K73" s="39">
        <f t="shared" si="47"/>
        <v>0</v>
      </c>
      <c r="L73" s="39">
        <f t="shared" si="47"/>
        <v>0</v>
      </c>
      <c r="M73" s="39">
        <f t="shared" si="47"/>
        <v>0</v>
      </c>
      <c r="N73" s="39">
        <f t="shared" si="47"/>
        <v>0</v>
      </c>
      <c r="O73" s="39">
        <f t="shared" si="47"/>
        <v>0</v>
      </c>
    </row>
    <row r="74" spans="1:15" x14ac:dyDescent="0.25">
      <c r="A74" s="16" t="s">
        <v>200</v>
      </c>
      <c r="B74" s="39">
        <f t="shared" ref="B74:O74" si="48">B62-$A62</f>
        <v>1.8339763472206414</v>
      </c>
      <c r="C74" s="39">
        <f t="shared" si="48"/>
        <v>1.657229385120047</v>
      </c>
      <c r="D74" s="39">
        <f t="shared" si="48"/>
        <v>1.5473149699781175</v>
      </c>
      <c r="E74" s="39">
        <f t="shared" si="48"/>
        <v>1.3582927688992754</v>
      </c>
      <c r="F74" s="39">
        <f t="shared" si="48"/>
        <v>0.85036831742411323</v>
      </c>
      <c r="G74" s="39">
        <f t="shared" si="48"/>
        <v>0.67691850189538627</v>
      </c>
      <c r="H74" s="39">
        <f t="shared" si="48"/>
        <v>0.74149444065596981</v>
      </c>
      <c r="I74" s="39">
        <f t="shared" si="48"/>
        <v>0.6106285958276203</v>
      </c>
      <c r="J74" s="39">
        <f t="shared" si="48"/>
        <v>0.33804174153783606</v>
      </c>
      <c r="K74" s="39">
        <f t="shared" si="48"/>
        <v>-1.9714965675916574E-3</v>
      </c>
      <c r="L74" s="39">
        <f t="shared" si="48"/>
        <v>-0.10692662284128573</v>
      </c>
      <c r="M74" s="39">
        <f t="shared" si="48"/>
        <v>-0.2218429489722098</v>
      </c>
      <c r="N74" s="39">
        <f t="shared" si="48"/>
        <v>-0.40683342767113118</v>
      </c>
      <c r="O74" s="39">
        <f t="shared" si="48"/>
        <v>-0.60980376480500809</v>
      </c>
    </row>
    <row r="75" spans="1:15" x14ac:dyDescent="0.25">
      <c r="A75" s="16" t="s">
        <v>199</v>
      </c>
      <c r="B75" s="39">
        <f t="shared" ref="B75:O75" si="49">B63-$A63</f>
        <v>3.6336502543300071</v>
      </c>
      <c r="C75" s="39">
        <f t="shared" si="49"/>
        <v>3.2504459502493432</v>
      </c>
      <c r="D75" s="39">
        <f t="shared" si="49"/>
        <v>3.0419744652295435</v>
      </c>
      <c r="E75" s="39">
        <f t="shared" si="49"/>
        <v>2.6709216049219435</v>
      </c>
      <c r="F75" s="39">
        <f t="shared" si="49"/>
        <v>1.6389700957793707</v>
      </c>
      <c r="G75" s="39">
        <f t="shared" si="49"/>
        <v>1.2878497164430769</v>
      </c>
      <c r="H75" s="39">
        <f t="shared" si="49"/>
        <v>1.4617940645624685</v>
      </c>
      <c r="I75" s="39">
        <f t="shared" si="49"/>
        <v>1.1331032518920097</v>
      </c>
      <c r="J75" s="39">
        <f t="shared" si="49"/>
        <v>0.58551067625279529</v>
      </c>
      <c r="K75" s="39">
        <f t="shared" si="49"/>
        <v>-9.2537463604514869E-2</v>
      </c>
      <c r="L75" s="39">
        <f t="shared" si="49"/>
        <v>-0.31147930805229862</v>
      </c>
      <c r="M75" s="39">
        <f t="shared" si="49"/>
        <v>-0.54232031483951459</v>
      </c>
      <c r="N75" s="39">
        <f t="shared" si="49"/>
        <v>-0.91654440240358781</v>
      </c>
      <c r="O75" s="39">
        <f t="shared" si="49"/>
        <v>-1.3223135700966964</v>
      </c>
    </row>
    <row r="76" spans="1:15" x14ac:dyDescent="0.25">
      <c r="A76" s="16" t="s">
        <v>198</v>
      </c>
      <c r="B76" s="39">
        <f t="shared" ref="B76:O77" si="50">MEDIAN(B64:B75)</f>
        <v>-5.7863889147503471</v>
      </c>
      <c r="C76" s="39">
        <f t="shared" si="50"/>
        <v>-5.424929093815507</v>
      </c>
      <c r="D76" s="39">
        <f t="shared" si="50"/>
        <v>-4.964224135088898</v>
      </c>
      <c r="E76" s="39">
        <f t="shared" si="50"/>
        <v>-4.2704398652022348</v>
      </c>
      <c r="F76" s="39">
        <f t="shared" si="50"/>
        <v>-2.6864315469394171</v>
      </c>
      <c r="G76" s="39">
        <f t="shared" si="50"/>
        <v>-2.1359578812831046</v>
      </c>
      <c r="H76" s="39">
        <f t="shared" si="50"/>
        <v>-1.9859479041776638</v>
      </c>
      <c r="I76" s="39">
        <f t="shared" si="50"/>
        <v>-2.0949625377519112</v>
      </c>
      <c r="J76" s="39">
        <f t="shared" si="50"/>
        <v>-1.1976216924634002</v>
      </c>
      <c r="K76" s="39">
        <f t="shared" si="50"/>
        <v>-5.0867024236509906E-2</v>
      </c>
      <c r="L76" s="39">
        <f t="shared" si="50"/>
        <v>0.23985000508611165</v>
      </c>
      <c r="M76" s="39">
        <f t="shared" si="50"/>
        <v>0.61757339067170847</v>
      </c>
      <c r="N76" s="39">
        <f t="shared" si="50"/>
        <v>1.2029474094733246</v>
      </c>
      <c r="O76" s="39">
        <f t="shared" si="50"/>
        <v>1.8859894217174826</v>
      </c>
    </row>
    <row r="77" spans="1:15" x14ac:dyDescent="0.25">
      <c r="A77" s="14" t="s">
        <v>197</v>
      </c>
      <c r="B77" s="40">
        <f t="shared" si="50"/>
        <v>-5.4076104108176679</v>
      </c>
      <c r="C77" s="40">
        <f t="shared" si="50"/>
        <v>-5.0586199902405298</v>
      </c>
      <c r="D77" s="40">
        <f t="shared" si="50"/>
        <v>-4.6347679664477255</v>
      </c>
      <c r="E77" s="40">
        <f t="shared" si="50"/>
        <v>-3.9922476137663949</v>
      </c>
      <c r="F77" s="40">
        <f t="shared" si="50"/>
        <v>-2.5112284140351306</v>
      </c>
      <c r="G77" s="40">
        <f t="shared" si="50"/>
        <v>-1.99708063895838</v>
      </c>
      <c r="H77" s="40">
        <f t="shared" si="50"/>
        <v>-1.8779436833694803</v>
      </c>
      <c r="I77" s="40">
        <f t="shared" si="50"/>
        <v>-1.9487835306391759</v>
      </c>
      <c r="J77" s="40">
        <f t="shared" si="50"/>
        <v>-1.1124595764431859</v>
      </c>
      <c r="K77" s="40">
        <f t="shared" si="50"/>
        <v>-4.7760886252731893E-2</v>
      </c>
      <c r="L77" s="40">
        <f t="shared" si="50"/>
        <v>0.22889924334211287</v>
      </c>
      <c r="M77" s="40">
        <f t="shared" si="50"/>
        <v>0.58099885286735287</v>
      </c>
      <c r="N77" s="40">
        <f t="shared" si="50"/>
        <v>1.1280059254391404</v>
      </c>
      <c r="O77" s="40">
        <f t="shared" si="50"/>
        <v>1.7638120579059802</v>
      </c>
    </row>
  </sheetData>
  <mergeCells count="3">
    <mergeCell ref="A51:O51"/>
    <mergeCell ref="A39:O39"/>
    <mergeCell ref="A16:O16"/>
  </mergeCells>
  <conditionalFormatting sqref="B64:O77">
    <cfRule type="expression" dxfId="238" priority="4">
      <formula>ABS(B64)&lt;=0.5</formula>
    </cfRule>
    <cfRule type="expression" dxfId="237" priority="5">
      <formula>ABS(B64)&lt;=1</formula>
    </cfRule>
    <cfRule type="expression" dxfId="236" priority="6">
      <formula>ABS(B64)&gt;1</formula>
    </cfRule>
  </conditionalFormatting>
  <conditionalFormatting sqref="E2:E13">
    <cfRule type="expression" dxfId="235" priority="1">
      <formula>ABS(E2)&lt;=0.5</formula>
    </cfRule>
    <cfRule type="expression" dxfId="234" priority="2">
      <formula>ABS(E2)&lt;=1</formula>
    </cfRule>
    <cfRule type="expression" dxfId="233" priority="3">
      <formula>ABS(E2)&gt;1</formula>
    </cfRule>
  </conditionalFormatting>
  <pageMargins left="0.7" right="0.7" top="0.75" bottom="0.75" header="0.3" footer="0.3"/>
  <pageSetup paperSize="9" scale="2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8" r:id="rId4" name="Button 6">
              <controlPr defaultSize="0" print="0" autoFill="0" autoPict="0" macro="[0]!CreateNewNTCSensorType">
                <anchor moveWithCells="1" sizeWithCells="1">
                  <from>
                    <xdr:col>7</xdr:col>
                    <xdr:colOff>38100</xdr:colOff>
                    <xdr:row>1</xdr:row>
                    <xdr:rowOff>57150</xdr:rowOff>
                  </from>
                  <to>
                    <xdr:col>7</xdr:col>
                    <xdr:colOff>752475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80C6E-7E9D-4DE4-96CF-E233487B7D20}">
  <sheetPr codeName="Feuil3"/>
  <dimension ref="A1:P73"/>
  <sheetViews>
    <sheetView workbookViewId="0">
      <selection sqref="A1:P73"/>
    </sheetView>
  </sheetViews>
  <sheetFormatPr baseColWidth="10" defaultRowHeight="15" x14ac:dyDescent="0.25"/>
  <cols>
    <col min="1" max="1" width="21.5703125" bestFit="1" customWidth="1"/>
    <col min="2" max="2" width="16.140625" bestFit="1" customWidth="1"/>
    <col min="3" max="3" width="15.140625" bestFit="1" customWidth="1"/>
    <col min="4" max="4" width="9.7109375" bestFit="1" customWidth="1"/>
    <col min="5" max="6" width="13.5703125" bestFit="1" customWidth="1"/>
    <col min="7" max="7" width="12.42578125" bestFit="1" customWidth="1"/>
    <col min="8" max="8" width="11.42578125" bestFit="1" customWidth="1"/>
    <col min="9" max="9" width="13" bestFit="1" customWidth="1"/>
    <col min="10" max="10" width="11.42578125" bestFit="1" customWidth="1"/>
    <col min="11" max="11" width="13" bestFit="1" customWidth="1"/>
    <col min="12" max="12" width="5.85546875" bestFit="1" customWidth="1"/>
    <col min="13" max="13" width="6.85546875" bestFit="1" customWidth="1"/>
    <col min="14" max="14" width="15.7109375" bestFit="1" customWidth="1"/>
    <col min="15" max="15" width="12.85546875" bestFit="1" customWidth="1"/>
    <col min="16" max="16" width="12.5703125" bestFit="1" customWidth="1"/>
    <col min="17" max="17" width="12.7109375" bestFit="1" customWidth="1"/>
    <col min="18" max="18" width="21.5703125" bestFit="1" customWidth="1"/>
    <col min="19" max="19" width="12.7109375" bestFit="1" customWidth="1"/>
    <col min="20" max="20" width="21.5703125" bestFit="1" customWidth="1"/>
    <col min="21" max="21" width="12.7109375" bestFit="1" customWidth="1"/>
    <col min="22" max="22" width="21.5703125" bestFit="1" customWidth="1"/>
    <col min="23" max="23" width="12.7109375" bestFit="1" customWidth="1"/>
    <col min="24" max="24" width="26.5703125" bestFit="1" customWidth="1"/>
    <col min="25" max="25" width="17.7109375" bestFit="1" customWidth="1"/>
  </cols>
  <sheetData>
    <row r="1" spans="1:16" x14ac:dyDescent="0.25">
      <c r="A1" s="52" t="s">
        <v>240</v>
      </c>
      <c r="B1" s="52" t="s">
        <v>238</v>
      </c>
    </row>
    <row r="2" spans="1:16" x14ac:dyDescent="0.25">
      <c r="A2" s="52" t="s">
        <v>241</v>
      </c>
      <c r="B2" t="s">
        <v>222</v>
      </c>
      <c r="C2" t="s">
        <v>270</v>
      </c>
      <c r="D2" t="s">
        <v>262</v>
      </c>
      <c r="E2" t="s">
        <v>150</v>
      </c>
      <c r="F2" t="s">
        <v>154</v>
      </c>
      <c r="G2" t="s">
        <v>223</v>
      </c>
      <c r="H2" t="s">
        <v>256</v>
      </c>
      <c r="I2" t="s">
        <v>141</v>
      </c>
      <c r="J2" t="s">
        <v>220</v>
      </c>
      <c r="K2" t="s">
        <v>121</v>
      </c>
      <c r="L2" t="s">
        <v>268</v>
      </c>
      <c r="M2" t="s">
        <v>257</v>
      </c>
      <c r="N2" t="s">
        <v>275</v>
      </c>
      <c r="O2" t="s">
        <v>239</v>
      </c>
      <c r="P2" t="s">
        <v>237</v>
      </c>
    </row>
    <row r="3" spans="1:16" x14ac:dyDescent="0.25">
      <c r="A3" s="37">
        <v>0</v>
      </c>
      <c r="L3">
        <v>1</v>
      </c>
      <c r="P3">
        <v>1</v>
      </c>
    </row>
    <row r="4" spans="1:16" x14ac:dyDescent="0.25">
      <c r="A4" s="37">
        <v>0.55999999999999994</v>
      </c>
      <c r="L4">
        <v>17</v>
      </c>
      <c r="P4">
        <v>17</v>
      </c>
    </row>
    <row r="5" spans="1:16" x14ac:dyDescent="0.25">
      <c r="A5" s="37">
        <v>0.62000000000000011</v>
      </c>
      <c r="L5">
        <v>13</v>
      </c>
      <c r="P5">
        <v>13</v>
      </c>
    </row>
    <row r="6" spans="1:16" x14ac:dyDescent="0.25">
      <c r="A6" s="37">
        <v>0.68</v>
      </c>
      <c r="L6">
        <v>1</v>
      </c>
      <c r="P6">
        <v>1</v>
      </c>
    </row>
    <row r="7" spans="1:16" x14ac:dyDescent="0.25">
      <c r="A7" s="37">
        <v>3</v>
      </c>
      <c r="N7">
        <v>10</v>
      </c>
      <c r="P7">
        <v>10</v>
      </c>
    </row>
    <row r="8" spans="1:16" x14ac:dyDescent="0.25">
      <c r="A8" s="37">
        <v>3.3</v>
      </c>
      <c r="N8">
        <v>21</v>
      </c>
      <c r="P8">
        <v>21</v>
      </c>
    </row>
    <row r="9" spans="1:16" x14ac:dyDescent="0.25">
      <c r="A9" s="37">
        <v>5.6</v>
      </c>
      <c r="M9">
        <v>19</v>
      </c>
      <c r="P9">
        <v>19</v>
      </c>
    </row>
    <row r="10" spans="1:16" x14ac:dyDescent="0.25">
      <c r="A10" s="37">
        <v>6.2</v>
      </c>
      <c r="E10">
        <v>6</v>
      </c>
      <c r="M10">
        <v>12</v>
      </c>
      <c r="P10">
        <v>18</v>
      </c>
    </row>
    <row r="11" spans="1:16" x14ac:dyDescent="0.25">
      <c r="A11" s="37">
        <v>6.8</v>
      </c>
      <c r="E11">
        <v>21</v>
      </c>
      <c r="P11">
        <v>21</v>
      </c>
    </row>
    <row r="12" spans="1:16" x14ac:dyDescent="0.25">
      <c r="A12" s="37">
        <v>7.5</v>
      </c>
      <c r="E12">
        <v>4</v>
      </c>
      <c r="F12">
        <v>1</v>
      </c>
      <c r="P12">
        <v>5</v>
      </c>
    </row>
    <row r="13" spans="1:16" x14ac:dyDescent="0.25">
      <c r="A13" s="37">
        <v>8.1999999999999993</v>
      </c>
      <c r="F13">
        <v>22</v>
      </c>
      <c r="P13">
        <v>22</v>
      </c>
    </row>
    <row r="14" spans="1:16" x14ac:dyDescent="0.25">
      <c r="A14" s="37">
        <v>9.1</v>
      </c>
      <c r="F14">
        <v>8</v>
      </c>
      <c r="P14">
        <v>8</v>
      </c>
    </row>
    <row r="15" spans="1:16" x14ac:dyDescent="0.25">
      <c r="A15" s="37">
        <v>20</v>
      </c>
      <c r="B15">
        <v>27</v>
      </c>
      <c r="C15">
        <v>1</v>
      </c>
      <c r="D15">
        <v>9</v>
      </c>
      <c r="P15">
        <v>37</v>
      </c>
    </row>
    <row r="16" spans="1:16" x14ac:dyDescent="0.25">
      <c r="A16" s="37">
        <v>22</v>
      </c>
      <c r="B16">
        <v>4</v>
      </c>
      <c r="C16">
        <v>1</v>
      </c>
      <c r="D16">
        <v>22</v>
      </c>
      <c r="P16">
        <v>27</v>
      </c>
    </row>
    <row r="17" spans="1:16" x14ac:dyDescent="0.25">
      <c r="A17" s="37">
        <v>24</v>
      </c>
      <c r="C17">
        <v>2</v>
      </c>
      <c r="P17">
        <v>2</v>
      </c>
    </row>
    <row r="18" spans="1:16" x14ac:dyDescent="0.25">
      <c r="A18" s="37">
        <v>27</v>
      </c>
      <c r="C18">
        <v>2</v>
      </c>
      <c r="O18">
        <v>1</v>
      </c>
      <c r="P18">
        <v>3</v>
      </c>
    </row>
    <row r="19" spans="1:16" x14ac:dyDescent="0.25">
      <c r="A19" s="37">
        <v>30</v>
      </c>
      <c r="C19">
        <v>2</v>
      </c>
      <c r="O19">
        <v>4</v>
      </c>
      <c r="P19">
        <v>6</v>
      </c>
    </row>
    <row r="20" spans="1:16" x14ac:dyDescent="0.25">
      <c r="A20" s="37">
        <v>33</v>
      </c>
      <c r="C20">
        <v>2</v>
      </c>
      <c r="O20">
        <v>7</v>
      </c>
      <c r="P20">
        <v>9</v>
      </c>
    </row>
    <row r="21" spans="1:16" x14ac:dyDescent="0.25">
      <c r="A21" s="37">
        <v>36</v>
      </c>
      <c r="C21">
        <v>1</v>
      </c>
      <c r="O21">
        <v>12</v>
      </c>
      <c r="P21">
        <v>13</v>
      </c>
    </row>
    <row r="22" spans="1:16" x14ac:dyDescent="0.25">
      <c r="A22" s="37">
        <v>39</v>
      </c>
      <c r="C22">
        <v>2</v>
      </c>
      <c r="O22">
        <v>7</v>
      </c>
      <c r="P22">
        <v>9</v>
      </c>
    </row>
    <row r="23" spans="1:16" x14ac:dyDescent="0.25">
      <c r="A23" s="37">
        <v>43</v>
      </c>
      <c r="C23">
        <v>1</v>
      </c>
      <c r="H23">
        <v>1</v>
      </c>
      <c r="P23">
        <v>2</v>
      </c>
    </row>
    <row r="24" spans="1:16" x14ac:dyDescent="0.25">
      <c r="A24" s="37">
        <v>47</v>
      </c>
      <c r="C24">
        <v>2</v>
      </c>
      <c r="P24">
        <v>2</v>
      </c>
    </row>
    <row r="25" spans="1:16" x14ac:dyDescent="0.25">
      <c r="A25" s="37">
        <v>51</v>
      </c>
      <c r="C25">
        <v>2</v>
      </c>
      <c r="H25">
        <v>2</v>
      </c>
      <c r="P25">
        <v>4</v>
      </c>
    </row>
    <row r="26" spans="1:16" x14ac:dyDescent="0.25">
      <c r="A26" s="37">
        <v>56</v>
      </c>
      <c r="C26">
        <v>1</v>
      </c>
      <c r="H26">
        <v>2</v>
      </c>
      <c r="P26">
        <v>3</v>
      </c>
    </row>
    <row r="27" spans="1:16" x14ac:dyDescent="0.25">
      <c r="A27" s="37">
        <v>62</v>
      </c>
      <c r="C27">
        <v>2</v>
      </c>
      <c r="H27">
        <v>1</v>
      </c>
      <c r="P27">
        <v>3</v>
      </c>
    </row>
    <row r="28" spans="1:16" x14ac:dyDescent="0.25">
      <c r="A28" s="37">
        <v>68</v>
      </c>
      <c r="C28">
        <v>2</v>
      </c>
      <c r="H28">
        <v>1</v>
      </c>
      <c r="K28">
        <v>2</v>
      </c>
      <c r="P28">
        <v>5</v>
      </c>
    </row>
    <row r="29" spans="1:16" x14ac:dyDescent="0.25">
      <c r="A29" s="37">
        <v>75</v>
      </c>
      <c r="C29">
        <v>1</v>
      </c>
      <c r="H29">
        <v>2</v>
      </c>
      <c r="P29">
        <v>3</v>
      </c>
    </row>
    <row r="30" spans="1:16" x14ac:dyDescent="0.25">
      <c r="A30" s="37">
        <v>82</v>
      </c>
      <c r="C30">
        <v>2</v>
      </c>
      <c r="H30">
        <v>1</v>
      </c>
      <c r="K30">
        <v>2</v>
      </c>
      <c r="P30">
        <v>5</v>
      </c>
    </row>
    <row r="31" spans="1:16" x14ac:dyDescent="0.25">
      <c r="A31" s="37">
        <v>91</v>
      </c>
      <c r="C31">
        <v>2</v>
      </c>
      <c r="H31">
        <v>2</v>
      </c>
      <c r="J31">
        <v>2</v>
      </c>
      <c r="P31">
        <v>6</v>
      </c>
    </row>
    <row r="32" spans="1:16" x14ac:dyDescent="0.25">
      <c r="A32" s="37">
        <v>100</v>
      </c>
      <c r="C32">
        <v>2</v>
      </c>
      <c r="I32">
        <v>2</v>
      </c>
      <c r="J32">
        <v>1</v>
      </c>
      <c r="K32">
        <v>2</v>
      </c>
      <c r="P32">
        <v>7</v>
      </c>
    </row>
    <row r="33" spans="1:16" x14ac:dyDescent="0.25">
      <c r="A33" s="37">
        <v>110.00000000000001</v>
      </c>
      <c r="C33">
        <v>1</v>
      </c>
      <c r="H33">
        <v>3</v>
      </c>
      <c r="J33">
        <v>2</v>
      </c>
      <c r="P33">
        <v>6</v>
      </c>
    </row>
    <row r="34" spans="1:16" x14ac:dyDescent="0.25">
      <c r="A34" s="37">
        <v>120</v>
      </c>
      <c r="I34">
        <v>2</v>
      </c>
      <c r="J34">
        <v>1</v>
      </c>
      <c r="K34">
        <v>2</v>
      </c>
      <c r="P34">
        <v>5</v>
      </c>
    </row>
    <row r="35" spans="1:16" x14ac:dyDescent="0.25">
      <c r="A35" s="37">
        <v>130</v>
      </c>
      <c r="H35">
        <v>2</v>
      </c>
      <c r="I35">
        <v>2</v>
      </c>
      <c r="J35">
        <v>2</v>
      </c>
      <c r="P35">
        <v>6</v>
      </c>
    </row>
    <row r="36" spans="1:16" x14ac:dyDescent="0.25">
      <c r="A36" s="37">
        <v>150</v>
      </c>
      <c r="H36">
        <v>1</v>
      </c>
      <c r="I36">
        <v>1</v>
      </c>
      <c r="J36">
        <v>1</v>
      </c>
      <c r="K36">
        <v>2</v>
      </c>
      <c r="P36">
        <v>5</v>
      </c>
    </row>
    <row r="37" spans="1:16" x14ac:dyDescent="0.25">
      <c r="A37" s="37">
        <v>160</v>
      </c>
      <c r="H37">
        <v>1</v>
      </c>
      <c r="I37">
        <v>1</v>
      </c>
      <c r="J37">
        <v>1</v>
      </c>
      <c r="K37">
        <v>1</v>
      </c>
      <c r="P37">
        <v>4</v>
      </c>
    </row>
    <row r="38" spans="1:16" x14ac:dyDescent="0.25">
      <c r="A38" s="37">
        <v>180</v>
      </c>
      <c r="H38">
        <v>1</v>
      </c>
      <c r="I38">
        <v>3</v>
      </c>
      <c r="J38">
        <v>2</v>
      </c>
      <c r="K38">
        <v>1</v>
      </c>
      <c r="P38">
        <v>7</v>
      </c>
    </row>
    <row r="39" spans="1:16" x14ac:dyDescent="0.25">
      <c r="A39" s="37">
        <v>200</v>
      </c>
      <c r="H39">
        <v>2</v>
      </c>
      <c r="J39">
        <v>2</v>
      </c>
      <c r="K39">
        <v>1</v>
      </c>
      <c r="P39">
        <v>5</v>
      </c>
    </row>
    <row r="40" spans="1:16" x14ac:dyDescent="0.25">
      <c r="A40" s="37">
        <v>220.00000000000003</v>
      </c>
      <c r="H40">
        <v>2</v>
      </c>
      <c r="I40">
        <v>2</v>
      </c>
      <c r="K40">
        <v>2</v>
      </c>
      <c r="P40">
        <v>6</v>
      </c>
    </row>
    <row r="41" spans="1:16" x14ac:dyDescent="0.25">
      <c r="A41" s="37">
        <v>240</v>
      </c>
      <c r="C41">
        <v>1</v>
      </c>
      <c r="I41">
        <v>1</v>
      </c>
      <c r="J41">
        <v>2</v>
      </c>
      <c r="P41">
        <v>4</v>
      </c>
    </row>
    <row r="42" spans="1:16" x14ac:dyDescent="0.25">
      <c r="A42" s="37">
        <v>270</v>
      </c>
      <c r="H42">
        <v>2</v>
      </c>
      <c r="I42">
        <v>2</v>
      </c>
      <c r="J42">
        <v>2</v>
      </c>
      <c r="K42">
        <v>2</v>
      </c>
      <c r="P42">
        <v>8</v>
      </c>
    </row>
    <row r="43" spans="1:16" x14ac:dyDescent="0.25">
      <c r="A43" s="37">
        <v>300</v>
      </c>
      <c r="H43">
        <v>1</v>
      </c>
      <c r="I43">
        <v>1</v>
      </c>
      <c r="J43">
        <v>1</v>
      </c>
      <c r="K43">
        <v>1</v>
      </c>
      <c r="P43">
        <v>4</v>
      </c>
    </row>
    <row r="44" spans="1:16" x14ac:dyDescent="0.25">
      <c r="A44" s="37">
        <v>330</v>
      </c>
      <c r="H44">
        <v>1</v>
      </c>
      <c r="I44">
        <v>1</v>
      </c>
      <c r="J44">
        <v>1</v>
      </c>
      <c r="K44">
        <v>1</v>
      </c>
      <c r="P44">
        <v>4</v>
      </c>
    </row>
    <row r="45" spans="1:16" x14ac:dyDescent="0.25">
      <c r="A45" s="37">
        <v>360</v>
      </c>
      <c r="H45">
        <v>1</v>
      </c>
      <c r="I45">
        <v>1</v>
      </c>
      <c r="J45">
        <v>1</v>
      </c>
      <c r="K45">
        <v>2</v>
      </c>
      <c r="N45">
        <v>1</v>
      </c>
      <c r="P45">
        <v>6</v>
      </c>
    </row>
    <row r="46" spans="1:16" x14ac:dyDescent="0.25">
      <c r="A46" s="37">
        <v>390</v>
      </c>
      <c r="H46">
        <v>1</v>
      </c>
      <c r="I46">
        <v>2</v>
      </c>
      <c r="J46">
        <v>2</v>
      </c>
      <c r="P46">
        <v>5</v>
      </c>
    </row>
    <row r="47" spans="1:16" x14ac:dyDescent="0.25">
      <c r="A47" s="37">
        <v>430</v>
      </c>
      <c r="H47">
        <v>1</v>
      </c>
      <c r="K47">
        <v>2</v>
      </c>
      <c r="P47">
        <v>3</v>
      </c>
    </row>
    <row r="48" spans="1:16" x14ac:dyDescent="0.25">
      <c r="A48" s="37">
        <v>470</v>
      </c>
      <c r="I48">
        <v>2</v>
      </c>
      <c r="J48">
        <v>2</v>
      </c>
      <c r="K48">
        <v>1</v>
      </c>
      <c r="P48">
        <v>5</v>
      </c>
    </row>
    <row r="49" spans="1:16" x14ac:dyDescent="0.25">
      <c r="A49" s="37">
        <v>509.99999999999994</v>
      </c>
      <c r="G49">
        <v>2</v>
      </c>
      <c r="I49">
        <v>1</v>
      </c>
      <c r="J49">
        <v>1</v>
      </c>
      <c r="K49">
        <v>1</v>
      </c>
      <c r="P49">
        <v>5</v>
      </c>
    </row>
    <row r="50" spans="1:16" x14ac:dyDescent="0.25">
      <c r="A50" s="37">
        <v>560</v>
      </c>
      <c r="G50">
        <v>1</v>
      </c>
      <c r="I50">
        <v>1</v>
      </c>
      <c r="J50">
        <v>1</v>
      </c>
      <c r="K50">
        <v>1</v>
      </c>
      <c r="P50">
        <v>4</v>
      </c>
    </row>
    <row r="51" spans="1:16" x14ac:dyDescent="0.25">
      <c r="A51" s="37">
        <v>620</v>
      </c>
      <c r="G51">
        <v>1</v>
      </c>
      <c r="I51">
        <v>1</v>
      </c>
      <c r="J51">
        <v>1</v>
      </c>
      <c r="K51">
        <v>2</v>
      </c>
      <c r="P51">
        <v>5</v>
      </c>
    </row>
    <row r="52" spans="1:16" x14ac:dyDescent="0.25">
      <c r="A52" s="37">
        <v>680</v>
      </c>
      <c r="G52">
        <v>1</v>
      </c>
      <c r="H52">
        <v>1</v>
      </c>
      <c r="I52">
        <v>1</v>
      </c>
      <c r="J52">
        <v>2</v>
      </c>
      <c r="K52">
        <v>1</v>
      </c>
      <c r="P52">
        <v>6</v>
      </c>
    </row>
    <row r="53" spans="1:16" x14ac:dyDescent="0.25">
      <c r="A53" s="37">
        <v>750</v>
      </c>
      <c r="G53">
        <v>2</v>
      </c>
      <c r="I53">
        <v>2</v>
      </c>
      <c r="K53">
        <v>2</v>
      </c>
      <c r="P53">
        <v>6</v>
      </c>
    </row>
    <row r="54" spans="1:16" x14ac:dyDescent="0.25">
      <c r="A54" s="37">
        <v>819.99999999999989</v>
      </c>
      <c r="E54">
        <v>1</v>
      </c>
      <c r="F54">
        <v>1</v>
      </c>
      <c r="G54">
        <v>1</v>
      </c>
      <c r="J54">
        <v>1</v>
      </c>
      <c r="M54">
        <v>1</v>
      </c>
      <c r="O54">
        <v>1</v>
      </c>
      <c r="P54">
        <v>6</v>
      </c>
    </row>
    <row r="55" spans="1:16" x14ac:dyDescent="0.25">
      <c r="A55" s="37">
        <v>910</v>
      </c>
      <c r="G55">
        <v>1</v>
      </c>
      <c r="I55">
        <v>2</v>
      </c>
      <c r="P55">
        <v>3</v>
      </c>
    </row>
    <row r="56" spans="1:16" x14ac:dyDescent="0.25">
      <c r="A56" s="37">
        <v>1000</v>
      </c>
      <c r="G56">
        <v>2</v>
      </c>
      <c r="P56">
        <v>2</v>
      </c>
    </row>
    <row r="57" spans="1:16" x14ac:dyDescent="0.25">
      <c r="A57" s="37">
        <v>1200</v>
      </c>
      <c r="G57">
        <v>2</v>
      </c>
      <c r="P57">
        <v>2</v>
      </c>
    </row>
    <row r="58" spans="1:16" x14ac:dyDescent="0.25">
      <c r="A58" s="37">
        <v>1300</v>
      </c>
      <c r="B58">
        <v>1</v>
      </c>
      <c r="D58">
        <v>1</v>
      </c>
      <c r="G58">
        <v>1</v>
      </c>
      <c r="P58">
        <v>3</v>
      </c>
    </row>
    <row r="59" spans="1:16" x14ac:dyDescent="0.25">
      <c r="A59" s="37">
        <v>1500</v>
      </c>
      <c r="G59">
        <v>2</v>
      </c>
      <c r="J59">
        <v>1</v>
      </c>
      <c r="P59">
        <v>3</v>
      </c>
    </row>
    <row r="60" spans="1:16" x14ac:dyDescent="0.25">
      <c r="A60" s="37">
        <v>1600</v>
      </c>
      <c r="I60">
        <v>1</v>
      </c>
      <c r="K60">
        <v>1</v>
      </c>
      <c r="P60">
        <v>2</v>
      </c>
    </row>
    <row r="61" spans="1:16" x14ac:dyDescent="0.25">
      <c r="A61" s="37">
        <v>1800</v>
      </c>
      <c r="G61">
        <v>2</v>
      </c>
      <c r="P61">
        <v>2</v>
      </c>
    </row>
    <row r="62" spans="1:16" x14ac:dyDescent="0.25">
      <c r="A62" s="37">
        <v>2000</v>
      </c>
      <c r="G62">
        <v>1</v>
      </c>
      <c r="P62">
        <v>1</v>
      </c>
    </row>
    <row r="63" spans="1:16" x14ac:dyDescent="0.25">
      <c r="A63" s="37">
        <v>2200</v>
      </c>
      <c r="G63">
        <v>1</v>
      </c>
      <c r="P63">
        <v>1</v>
      </c>
    </row>
    <row r="64" spans="1:16" x14ac:dyDescent="0.25">
      <c r="A64" s="37">
        <v>2400</v>
      </c>
      <c r="G64">
        <v>1</v>
      </c>
      <c r="P64">
        <v>1</v>
      </c>
    </row>
    <row r="65" spans="1:16" x14ac:dyDescent="0.25">
      <c r="A65" s="37">
        <v>2700</v>
      </c>
      <c r="G65">
        <v>2</v>
      </c>
      <c r="P65">
        <v>2</v>
      </c>
    </row>
    <row r="66" spans="1:16" x14ac:dyDescent="0.25">
      <c r="A66" s="37">
        <v>3000</v>
      </c>
      <c r="G66">
        <v>1</v>
      </c>
      <c r="P66">
        <v>1</v>
      </c>
    </row>
    <row r="67" spans="1:16" x14ac:dyDescent="0.25">
      <c r="A67" s="37">
        <v>3600</v>
      </c>
      <c r="G67">
        <v>2</v>
      </c>
      <c r="P67">
        <v>2</v>
      </c>
    </row>
    <row r="68" spans="1:16" x14ac:dyDescent="0.25">
      <c r="A68" s="37">
        <v>3900</v>
      </c>
      <c r="G68">
        <v>1</v>
      </c>
      <c r="P68">
        <v>1</v>
      </c>
    </row>
    <row r="69" spans="1:16" x14ac:dyDescent="0.25">
      <c r="A69" s="37">
        <v>4300</v>
      </c>
      <c r="G69">
        <v>1</v>
      </c>
      <c r="P69">
        <v>1</v>
      </c>
    </row>
    <row r="70" spans="1:16" x14ac:dyDescent="0.25">
      <c r="A70" s="37">
        <v>5100</v>
      </c>
      <c r="G70">
        <v>2</v>
      </c>
      <c r="P70">
        <v>2</v>
      </c>
    </row>
    <row r="71" spans="1:16" x14ac:dyDescent="0.25">
      <c r="A71" s="37">
        <v>6200</v>
      </c>
      <c r="G71">
        <v>1</v>
      </c>
      <c r="P71">
        <v>1</v>
      </c>
    </row>
    <row r="72" spans="1:16" x14ac:dyDescent="0.25">
      <c r="A72" s="37">
        <v>7500</v>
      </c>
      <c r="G72">
        <v>1</v>
      </c>
      <c r="P72">
        <v>1</v>
      </c>
    </row>
    <row r="73" spans="1:16" x14ac:dyDescent="0.25">
      <c r="A73" s="37" t="s">
        <v>237</v>
      </c>
      <c r="B73">
        <v>32</v>
      </c>
      <c r="C73">
        <v>32</v>
      </c>
      <c r="D73">
        <v>32</v>
      </c>
      <c r="E73">
        <v>32</v>
      </c>
      <c r="F73">
        <v>32</v>
      </c>
      <c r="G73">
        <v>32</v>
      </c>
      <c r="H73">
        <v>32</v>
      </c>
      <c r="I73">
        <v>32</v>
      </c>
      <c r="J73">
        <v>32</v>
      </c>
      <c r="K73">
        <v>32</v>
      </c>
      <c r="L73">
        <v>32</v>
      </c>
      <c r="M73">
        <v>32</v>
      </c>
      <c r="N73">
        <v>32</v>
      </c>
      <c r="O73">
        <v>32</v>
      </c>
      <c r="P73">
        <v>448</v>
      </c>
    </row>
  </sheetData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EA674-6803-457B-8D4A-8D1ED591EDFD}">
  <sheetPr codeName="Feuil15"/>
  <dimension ref="A1:E57"/>
  <sheetViews>
    <sheetView topLeftCell="A13" zoomScaleNormal="100" workbookViewId="0">
      <selection activeCell="E39" sqref="E39"/>
    </sheetView>
  </sheetViews>
  <sheetFormatPr baseColWidth="10" defaultRowHeight="15" x14ac:dyDescent="0.25"/>
  <cols>
    <col min="1" max="1" width="7.7109375" customWidth="1"/>
    <col min="2" max="4" width="15.7109375" customWidth="1"/>
    <col min="5" max="5" width="29.7109375" customWidth="1"/>
  </cols>
  <sheetData>
    <row r="1" spans="1:5" x14ac:dyDescent="0.25">
      <c r="A1" t="s">
        <v>144</v>
      </c>
      <c r="B1" t="s">
        <v>249</v>
      </c>
      <c r="C1" t="s">
        <v>250</v>
      </c>
      <c r="D1" t="s">
        <v>251</v>
      </c>
      <c r="E1" t="s">
        <v>248</v>
      </c>
    </row>
    <row r="2" spans="1:5" x14ac:dyDescent="0.25">
      <c r="A2">
        <v>6.2</v>
      </c>
      <c r="B2">
        <v>50</v>
      </c>
      <c r="D2">
        <f>TableMouserOrder[[#This Row],[Qté requise]]-TableMouserOrder[[#This Row],[Stock]]</f>
        <v>50</v>
      </c>
      <c r="E2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MFR-25FTE52-6R2,50</v>
      </c>
    </row>
    <row r="3" spans="1:5" x14ac:dyDescent="0.25">
      <c r="A3">
        <v>6.8</v>
      </c>
      <c r="B3">
        <v>150</v>
      </c>
      <c r="D3">
        <f>TableMouserOrder[[#This Row],[Qté requise]]-TableMouserOrder[[#This Row],[Stock]]</f>
        <v>150</v>
      </c>
      <c r="E3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MFR-25FTE52-6R8,150</v>
      </c>
    </row>
    <row r="4" spans="1:5" x14ac:dyDescent="0.25">
      <c r="A4">
        <v>7.5</v>
      </c>
      <c r="B4">
        <v>50</v>
      </c>
      <c r="D4">
        <f>TableMouserOrder[[#This Row],[Qté requise]]-TableMouserOrder[[#This Row],[Stock]]</f>
        <v>50</v>
      </c>
      <c r="E4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MFR-25FTE52-7R5,50</v>
      </c>
    </row>
    <row r="5" spans="1:5" x14ac:dyDescent="0.25">
      <c r="A5">
        <v>8.1999999999999993</v>
      </c>
      <c r="B5">
        <v>150</v>
      </c>
      <c r="D5">
        <f>TableMouserOrder[[#This Row],[Qté requise]]-TableMouserOrder[[#This Row],[Stock]]</f>
        <v>150</v>
      </c>
      <c r="E5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MFR-25FTE52-8R2,150</v>
      </c>
    </row>
    <row r="6" spans="1:5" x14ac:dyDescent="0.25">
      <c r="A6">
        <v>9.1</v>
      </c>
      <c r="B6">
        <v>50</v>
      </c>
      <c r="D6">
        <f>TableMouserOrder[[#This Row],[Qté requise]]-TableMouserOrder[[#This Row],[Stock]]</f>
        <v>50</v>
      </c>
      <c r="E6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MFR-25FTE52-9R1,50</v>
      </c>
    </row>
    <row r="7" spans="1:5" x14ac:dyDescent="0.25">
      <c r="A7">
        <v>20</v>
      </c>
      <c r="B7">
        <v>300</v>
      </c>
      <c r="D7">
        <f>TableMouserOrder[[#This Row],[Qté requise]]-TableMouserOrder[[#This Row],[Stock]]</f>
        <v>300</v>
      </c>
      <c r="E7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MFR-25FTE52-20R,300</v>
      </c>
    </row>
    <row r="8" spans="1:5" x14ac:dyDescent="0.25">
      <c r="A8">
        <v>22</v>
      </c>
      <c r="B8">
        <v>50</v>
      </c>
      <c r="D8">
        <f>TableMouserOrder[[#This Row],[Qté requise]]-TableMouserOrder[[#This Row],[Stock]]</f>
        <v>50</v>
      </c>
      <c r="E8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MFR-25FTE52-22R,50</v>
      </c>
    </row>
    <row r="9" spans="1:5" x14ac:dyDescent="0.25">
      <c r="A9">
        <v>27</v>
      </c>
      <c r="B9">
        <v>0</v>
      </c>
      <c r="D9">
        <f>TableMouserOrder[[#This Row],[Qté requise]]-TableMouserOrder[[#This Row],[Stock]]</f>
        <v>0</v>
      </c>
      <c r="E9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MFR-25FTE52-27R,0</v>
      </c>
    </row>
    <row r="10" spans="1:5" x14ac:dyDescent="0.25">
      <c r="A10">
        <v>30</v>
      </c>
      <c r="B10">
        <v>50</v>
      </c>
      <c r="D10">
        <f>TableMouserOrder[[#This Row],[Qté requise]]-TableMouserOrder[[#This Row],[Stock]]</f>
        <v>50</v>
      </c>
      <c r="E10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MFR-25FTE52-30R,50</v>
      </c>
    </row>
    <row r="11" spans="1:5" x14ac:dyDescent="0.25">
      <c r="A11">
        <v>33</v>
      </c>
      <c r="B11">
        <v>50</v>
      </c>
      <c r="D11">
        <f>TableMouserOrder[[#This Row],[Qté requise]]-TableMouserOrder[[#This Row],[Stock]]</f>
        <v>50</v>
      </c>
      <c r="E11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MFR-25FTE52-33R,50</v>
      </c>
    </row>
    <row r="12" spans="1:5" x14ac:dyDescent="0.25">
      <c r="A12">
        <v>36</v>
      </c>
      <c r="B12">
        <v>150</v>
      </c>
      <c r="D12">
        <f>TableMouserOrder[[#This Row],[Qté requise]]-TableMouserOrder[[#This Row],[Stock]]</f>
        <v>150</v>
      </c>
      <c r="E12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MFR-25FTE52-36R,150</v>
      </c>
    </row>
    <row r="13" spans="1:5" x14ac:dyDescent="0.25">
      <c r="A13">
        <v>39</v>
      </c>
      <c r="B13">
        <v>50</v>
      </c>
      <c r="D13">
        <f>TableMouserOrder[[#This Row],[Qté requise]]-TableMouserOrder[[#This Row],[Stock]]</f>
        <v>50</v>
      </c>
      <c r="E13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MFR-25FTE52-39R,50</v>
      </c>
    </row>
    <row r="14" spans="1:5" x14ac:dyDescent="0.25">
      <c r="A14">
        <v>68</v>
      </c>
      <c r="B14">
        <v>0</v>
      </c>
      <c r="D14">
        <f>TableMouserOrder[[#This Row],[Qté requise]]-TableMouserOrder[[#This Row],[Stock]]</f>
        <v>0</v>
      </c>
      <c r="E14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MFR-25FTE52-68R,0</v>
      </c>
    </row>
    <row r="15" spans="1:5" x14ac:dyDescent="0.25">
      <c r="A15">
        <v>82</v>
      </c>
      <c r="B15">
        <v>0</v>
      </c>
      <c r="D15">
        <f>TableMouserOrder[[#This Row],[Qté requise]]-TableMouserOrder[[#This Row],[Stock]]</f>
        <v>0</v>
      </c>
      <c r="E15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MFR-25FTE52-82R,0</v>
      </c>
    </row>
    <row r="16" spans="1:5" x14ac:dyDescent="0.25">
      <c r="A16">
        <v>91</v>
      </c>
      <c r="B16">
        <v>0</v>
      </c>
      <c r="D16">
        <f>TableMouserOrder[[#This Row],[Qté requise]]-TableMouserOrder[[#This Row],[Stock]]</f>
        <v>0</v>
      </c>
      <c r="E16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MFR-25FTE52-91R,0</v>
      </c>
    </row>
    <row r="17" spans="1:5" x14ac:dyDescent="0.25">
      <c r="A17">
        <v>100</v>
      </c>
      <c r="B17">
        <v>100</v>
      </c>
      <c r="D17">
        <f>TableMouserOrder[[#This Row],[Qté requise]]-TableMouserOrder[[#This Row],[Stock]]</f>
        <v>100</v>
      </c>
      <c r="E17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MFR-25FTE52-100R,100</v>
      </c>
    </row>
    <row r="18" spans="1:5" x14ac:dyDescent="0.25">
      <c r="A18">
        <v>110.00000000000001</v>
      </c>
      <c r="B18">
        <v>50</v>
      </c>
      <c r="D18">
        <f>TableMouserOrder[[#This Row],[Qté requise]]-TableMouserOrder[[#This Row],[Stock]]</f>
        <v>50</v>
      </c>
      <c r="E18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MFR-25FTE52-110R,50</v>
      </c>
    </row>
    <row r="19" spans="1:5" x14ac:dyDescent="0.25">
      <c r="A19">
        <v>120</v>
      </c>
      <c r="B19">
        <v>100</v>
      </c>
      <c r="D19">
        <f>TableMouserOrder[[#This Row],[Qté requise]]-TableMouserOrder[[#This Row],[Stock]]</f>
        <v>100</v>
      </c>
      <c r="E19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MFR-25FTE52-120R,100</v>
      </c>
    </row>
    <row r="20" spans="1:5" x14ac:dyDescent="0.25">
      <c r="A20">
        <v>130</v>
      </c>
      <c r="B20">
        <v>50</v>
      </c>
      <c r="D20">
        <f>TableMouserOrder[[#This Row],[Qté requise]]-TableMouserOrder[[#This Row],[Stock]]</f>
        <v>50</v>
      </c>
      <c r="E20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MFR-25FTE52-130R,50</v>
      </c>
    </row>
    <row r="21" spans="1:5" x14ac:dyDescent="0.25">
      <c r="A21">
        <v>150</v>
      </c>
      <c r="B21">
        <v>50</v>
      </c>
      <c r="D21">
        <f>TableMouserOrder[[#This Row],[Qté requise]]-TableMouserOrder[[#This Row],[Stock]]</f>
        <v>50</v>
      </c>
      <c r="E21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MFR-25FTE52-150R,50</v>
      </c>
    </row>
    <row r="22" spans="1:5" x14ac:dyDescent="0.25">
      <c r="A22">
        <v>160</v>
      </c>
      <c r="B22">
        <v>50</v>
      </c>
      <c r="D22">
        <f>TableMouserOrder[[#This Row],[Qté requise]]-TableMouserOrder[[#This Row],[Stock]]</f>
        <v>50</v>
      </c>
      <c r="E22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MFR-25FTE52-160R,50</v>
      </c>
    </row>
    <row r="23" spans="1:5" x14ac:dyDescent="0.25">
      <c r="A23">
        <v>180</v>
      </c>
      <c r="B23">
        <v>50</v>
      </c>
      <c r="D23">
        <f>TableMouserOrder[[#This Row],[Qté requise]]-TableMouserOrder[[#This Row],[Stock]]</f>
        <v>50</v>
      </c>
      <c r="E23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MFR-25FTE52-180R,50</v>
      </c>
    </row>
    <row r="24" spans="1:5" x14ac:dyDescent="0.25">
      <c r="A24">
        <v>200</v>
      </c>
      <c r="B24">
        <v>50</v>
      </c>
      <c r="D24">
        <f>TableMouserOrder[[#This Row],[Qté requise]]-TableMouserOrder[[#This Row],[Stock]]</f>
        <v>50</v>
      </c>
      <c r="E24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MFR-25FTE52-200R,50</v>
      </c>
    </row>
    <row r="25" spans="1:5" x14ac:dyDescent="0.25">
      <c r="A25">
        <v>220.00000000000003</v>
      </c>
      <c r="B25">
        <v>50</v>
      </c>
      <c r="D25">
        <f>TableMouserOrder[[#This Row],[Qté requise]]-TableMouserOrder[[#This Row],[Stock]]</f>
        <v>50</v>
      </c>
      <c r="E25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MFR-25FTE52-220R,50</v>
      </c>
    </row>
    <row r="26" spans="1:5" x14ac:dyDescent="0.25">
      <c r="A26">
        <v>240</v>
      </c>
      <c r="B26">
        <v>50</v>
      </c>
      <c r="D26">
        <f>TableMouserOrder[[#This Row],[Qté requise]]-TableMouserOrder[[#This Row],[Stock]]</f>
        <v>50</v>
      </c>
      <c r="E26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MFR-25FTE52-240R,50</v>
      </c>
    </row>
    <row r="27" spans="1:5" x14ac:dyDescent="0.25">
      <c r="A27">
        <v>270</v>
      </c>
      <c r="B27">
        <v>100</v>
      </c>
      <c r="D27">
        <f>TableMouserOrder[[#This Row],[Qté requise]]-TableMouserOrder[[#This Row],[Stock]]</f>
        <v>100</v>
      </c>
      <c r="E27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MFR-25FTE52-270R,100</v>
      </c>
    </row>
    <row r="28" spans="1:5" x14ac:dyDescent="0.25">
      <c r="A28">
        <v>300</v>
      </c>
      <c r="B28">
        <v>50</v>
      </c>
      <c r="D28">
        <f>TableMouserOrder[[#This Row],[Qté requise]]-TableMouserOrder[[#This Row],[Stock]]</f>
        <v>50</v>
      </c>
      <c r="E28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MFR-25FTE52-300R,50</v>
      </c>
    </row>
    <row r="29" spans="1:5" x14ac:dyDescent="0.25">
      <c r="A29">
        <v>330</v>
      </c>
      <c r="B29">
        <v>50</v>
      </c>
      <c r="D29">
        <f>TableMouserOrder[[#This Row],[Qté requise]]-TableMouserOrder[[#This Row],[Stock]]</f>
        <v>50</v>
      </c>
      <c r="E29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MFR-25FTE52-330R,50</v>
      </c>
    </row>
    <row r="30" spans="1:5" x14ac:dyDescent="0.25">
      <c r="A30">
        <v>360</v>
      </c>
      <c r="B30">
        <v>50</v>
      </c>
      <c r="D30">
        <f>TableMouserOrder[[#This Row],[Qté requise]]-TableMouserOrder[[#This Row],[Stock]]</f>
        <v>50</v>
      </c>
      <c r="E30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MFR-25FTE52-360R,50</v>
      </c>
    </row>
    <row r="31" spans="1:5" x14ac:dyDescent="0.25">
      <c r="A31">
        <v>390</v>
      </c>
      <c r="B31">
        <v>50</v>
      </c>
      <c r="D31">
        <f>TableMouserOrder[[#This Row],[Qté requise]]-TableMouserOrder[[#This Row],[Stock]]</f>
        <v>50</v>
      </c>
      <c r="E31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MFR-25FTE52-390R,50</v>
      </c>
    </row>
    <row r="32" spans="1:5" x14ac:dyDescent="0.25">
      <c r="A32">
        <v>430</v>
      </c>
      <c r="B32">
        <v>50</v>
      </c>
      <c r="D32">
        <f>TableMouserOrder[[#This Row],[Qté requise]]-TableMouserOrder[[#This Row],[Stock]]</f>
        <v>50</v>
      </c>
      <c r="E32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MFR-25FTE52-430R,50</v>
      </c>
    </row>
    <row r="33" spans="1:5" x14ac:dyDescent="0.25">
      <c r="A33">
        <v>470</v>
      </c>
      <c r="B33">
        <v>100</v>
      </c>
      <c r="D33">
        <f>TableMouserOrder[[#This Row],[Qté requise]]-TableMouserOrder[[#This Row],[Stock]]</f>
        <v>100</v>
      </c>
      <c r="E33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MFR-25FTE52-470R,100</v>
      </c>
    </row>
    <row r="34" spans="1:5" x14ac:dyDescent="0.25">
      <c r="A34">
        <v>509.99999999999994</v>
      </c>
      <c r="B34">
        <v>50</v>
      </c>
      <c r="D34">
        <f>TableMouserOrder[[#This Row],[Qté requise]]-TableMouserOrder[[#This Row],[Stock]]</f>
        <v>50</v>
      </c>
      <c r="E34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MFR-25FTE52-510R,50</v>
      </c>
    </row>
    <row r="35" spans="1:5" x14ac:dyDescent="0.25">
      <c r="A35">
        <v>560</v>
      </c>
      <c r="B35">
        <v>50</v>
      </c>
      <c r="D35">
        <f>TableMouserOrder[[#This Row],[Qté requise]]-TableMouserOrder[[#This Row],[Stock]]</f>
        <v>50</v>
      </c>
      <c r="E35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MFR-25FTE52-560R,50</v>
      </c>
    </row>
    <row r="36" spans="1:5" x14ac:dyDescent="0.25">
      <c r="A36">
        <v>620</v>
      </c>
      <c r="B36">
        <v>100</v>
      </c>
      <c r="D36">
        <f>TableMouserOrder[[#This Row],[Qté requise]]-TableMouserOrder[[#This Row],[Stock]]</f>
        <v>100</v>
      </c>
      <c r="E36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MFR-25FTE52-620R,100</v>
      </c>
    </row>
    <row r="37" spans="1:5" x14ac:dyDescent="0.25">
      <c r="A37">
        <v>680</v>
      </c>
      <c r="B37">
        <v>100</v>
      </c>
      <c r="D37">
        <f>TableMouserOrder[[#This Row],[Qté requise]]-TableMouserOrder[[#This Row],[Stock]]</f>
        <v>100</v>
      </c>
      <c r="E37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MFR-25FTE52-680R,100</v>
      </c>
    </row>
    <row r="38" spans="1:5" x14ac:dyDescent="0.25">
      <c r="A38">
        <v>750</v>
      </c>
      <c r="B38">
        <v>100</v>
      </c>
      <c r="D38">
        <f>TableMouserOrder[[#This Row],[Qté requise]]-TableMouserOrder[[#This Row],[Stock]]</f>
        <v>100</v>
      </c>
      <c r="E38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MFR-25FTE52-750R,100</v>
      </c>
    </row>
    <row r="39" spans="1:5" x14ac:dyDescent="0.25">
      <c r="A39">
        <v>819.99999999999989</v>
      </c>
      <c r="B39">
        <v>100</v>
      </c>
      <c r="D39">
        <f>TableMouserOrder[[#This Row],[Qté requise]]-TableMouserOrder[[#This Row],[Stock]]</f>
        <v>100</v>
      </c>
      <c r="E39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MFR-25FTE52-820R,100</v>
      </c>
    </row>
    <row r="40" spans="1:5" x14ac:dyDescent="0.25">
      <c r="A40">
        <v>910</v>
      </c>
      <c r="B40">
        <v>50</v>
      </c>
      <c r="D40">
        <f>TableMouserOrder[[#This Row],[Qté requise]]-TableMouserOrder[[#This Row],[Stock]]</f>
        <v>50</v>
      </c>
      <c r="E40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MFR-25FTE52-910R,50</v>
      </c>
    </row>
    <row r="41" spans="1:5" x14ac:dyDescent="0.25">
      <c r="A41">
        <v>1000</v>
      </c>
      <c r="B41">
        <v>50</v>
      </c>
      <c r="D41">
        <f>TableMouserOrder[[#This Row],[Qté requise]]-TableMouserOrder[[#This Row],[Stock]]</f>
        <v>50</v>
      </c>
      <c r="E41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MFR-25FTE52-1K,50</v>
      </c>
    </row>
    <row r="42" spans="1:5" x14ac:dyDescent="0.25">
      <c r="A42">
        <v>1200</v>
      </c>
      <c r="B42">
        <v>50</v>
      </c>
      <c r="D42">
        <f>TableMouserOrder[[#This Row],[Qté requise]]-TableMouserOrder[[#This Row],[Stock]]</f>
        <v>50</v>
      </c>
      <c r="E42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MFR-25FTE52-1K2,50</v>
      </c>
    </row>
    <row r="43" spans="1:5" x14ac:dyDescent="0.25">
      <c r="A43">
        <v>1300</v>
      </c>
      <c r="B43">
        <v>50</v>
      </c>
      <c r="D43">
        <f>TableMouserOrder[[#This Row],[Qté requise]]-TableMouserOrder[[#This Row],[Stock]]</f>
        <v>50</v>
      </c>
      <c r="E43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MFR-25FTE52-1K3,50</v>
      </c>
    </row>
    <row r="44" spans="1:5" x14ac:dyDescent="0.25">
      <c r="A44">
        <v>1500</v>
      </c>
      <c r="B44">
        <v>50</v>
      </c>
      <c r="D44">
        <f>TableMouserOrder[[#This Row],[Qté requise]]-TableMouserOrder[[#This Row],[Stock]]</f>
        <v>50</v>
      </c>
      <c r="E44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MFR-25FTE52-1K5,50</v>
      </c>
    </row>
    <row r="45" spans="1:5" x14ac:dyDescent="0.25">
      <c r="A45">
        <v>1600</v>
      </c>
      <c r="B45">
        <v>50</v>
      </c>
      <c r="D45">
        <f>TableMouserOrder[[#This Row],[Qté requise]]-TableMouserOrder[[#This Row],[Stock]]</f>
        <v>50</v>
      </c>
      <c r="E45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MFR-25FTE52-1K6,50</v>
      </c>
    </row>
    <row r="46" spans="1:5" x14ac:dyDescent="0.25">
      <c r="A46">
        <v>1800</v>
      </c>
      <c r="B46">
        <v>50</v>
      </c>
      <c r="D46">
        <f>TableMouserOrder[[#This Row],[Qté requise]]-TableMouserOrder[[#This Row],[Stock]]</f>
        <v>50</v>
      </c>
      <c r="E46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MFR-25FTE52-1K8,50</v>
      </c>
    </row>
    <row r="47" spans="1:5" x14ac:dyDescent="0.25">
      <c r="A47">
        <v>2000</v>
      </c>
      <c r="B47">
        <v>0</v>
      </c>
      <c r="D47">
        <f>TableMouserOrder[[#This Row],[Qté requise]]-TableMouserOrder[[#This Row],[Stock]]</f>
        <v>0</v>
      </c>
      <c r="E47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MFR-25FTE52-2K,0</v>
      </c>
    </row>
    <row r="48" spans="1:5" x14ac:dyDescent="0.25">
      <c r="A48">
        <v>2200</v>
      </c>
      <c r="B48">
        <v>0</v>
      </c>
      <c r="D48">
        <f>TableMouserOrder[[#This Row],[Qté requise]]-TableMouserOrder[[#This Row],[Stock]]</f>
        <v>0</v>
      </c>
      <c r="E48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MFR-25FTE52-2K2,0</v>
      </c>
    </row>
    <row r="49" spans="1:5" x14ac:dyDescent="0.25">
      <c r="A49">
        <v>2400</v>
      </c>
      <c r="B49">
        <v>0</v>
      </c>
      <c r="D49">
        <f>TableMouserOrder[[#This Row],[Qté requise]]-TableMouserOrder[[#This Row],[Stock]]</f>
        <v>0</v>
      </c>
      <c r="E49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MFR-25FTE52-2K4,0</v>
      </c>
    </row>
    <row r="50" spans="1:5" x14ac:dyDescent="0.25">
      <c r="A50">
        <v>2700</v>
      </c>
      <c r="B50">
        <v>50</v>
      </c>
      <c r="D50">
        <f>TableMouserOrder[[#This Row],[Qté requise]]-TableMouserOrder[[#This Row],[Stock]]</f>
        <v>50</v>
      </c>
      <c r="E50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MFR-25FTE52-2K7,50</v>
      </c>
    </row>
    <row r="51" spans="1:5" x14ac:dyDescent="0.25">
      <c r="A51">
        <v>3000</v>
      </c>
      <c r="B51">
        <v>0</v>
      </c>
      <c r="D51">
        <f>TableMouserOrder[[#This Row],[Qté requise]]-TableMouserOrder[[#This Row],[Stock]]</f>
        <v>0</v>
      </c>
      <c r="E51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MFR-25FTE52-3K,0</v>
      </c>
    </row>
    <row r="52" spans="1:5" x14ac:dyDescent="0.25">
      <c r="A52">
        <v>3600</v>
      </c>
      <c r="B52">
        <v>50</v>
      </c>
      <c r="D52">
        <f>TableMouserOrder[[#This Row],[Qté requise]]-TableMouserOrder[[#This Row],[Stock]]</f>
        <v>50</v>
      </c>
      <c r="E52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MFR-25FTE52-3K6,50</v>
      </c>
    </row>
    <row r="53" spans="1:5" x14ac:dyDescent="0.25">
      <c r="A53">
        <v>3900</v>
      </c>
      <c r="B53">
        <v>0</v>
      </c>
      <c r="D53">
        <f>TableMouserOrder[[#This Row],[Qté requise]]-TableMouserOrder[[#This Row],[Stock]]</f>
        <v>0</v>
      </c>
      <c r="E53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MFR-25FTE52-3K9,0</v>
      </c>
    </row>
    <row r="54" spans="1:5" x14ac:dyDescent="0.25">
      <c r="A54">
        <v>4300</v>
      </c>
      <c r="B54">
        <v>0</v>
      </c>
      <c r="D54">
        <f>TableMouserOrder[[#This Row],[Qté requise]]-TableMouserOrder[[#This Row],[Stock]]</f>
        <v>0</v>
      </c>
      <c r="E54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MFR-25FTE52-4K3,0</v>
      </c>
    </row>
    <row r="55" spans="1:5" x14ac:dyDescent="0.25">
      <c r="A55">
        <v>5100</v>
      </c>
      <c r="B55">
        <v>50</v>
      </c>
      <c r="D55">
        <f>TableMouserOrder[[#This Row],[Qté requise]]-TableMouserOrder[[#This Row],[Stock]]</f>
        <v>50</v>
      </c>
      <c r="E55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MFR-25FTE52-5K1,50</v>
      </c>
    </row>
    <row r="56" spans="1:5" x14ac:dyDescent="0.25">
      <c r="A56">
        <v>6200</v>
      </c>
      <c r="B56">
        <v>0</v>
      </c>
      <c r="D56">
        <f>TableMouserOrder[[#This Row],[Qté requise]]-TableMouserOrder[[#This Row],[Stock]]</f>
        <v>0</v>
      </c>
      <c r="E56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MFR-25FTE52-6K2,0</v>
      </c>
    </row>
    <row r="57" spans="1:5" x14ac:dyDescent="0.25">
      <c r="A57">
        <v>7500</v>
      </c>
      <c r="B57">
        <v>0</v>
      </c>
      <c r="D57">
        <f>TableMouserOrder[[#This Row],[Qté requise]]-TableMouserOrder[[#This Row],[Stock]]</f>
        <v>0</v>
      </c>
      <c r="E57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MFR-25FTE52-7K5,0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MouserOrder">
                <anchor moveWithCells="1" sizeWithCells="1">
                  <from>
                    <xdr:col>6</xdr:col>
                    <xdr:colOff>104775</xdr:colOff>
                    <xdr:row>0</xdr:row>
                    <xdr:rowOff>66675</xdr:rowOff>
                  </from>
                  <to>
                    <xdr:col>7</xdr:col>
                    <xdr:colOff>695325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59066-B3B0-4172-B0AD-F943E40DD0C7}">
  <sheetPr codeName="Feuil18"/>
  <dimension ref="A1:E13"/>
  <sheetViews>
    <sheetView workbookViewId="0">
      <selection activeCell="D17" sqref="D17"/>
    </sheetView>
  </sheetViews>
  <sheetFormatPr baseColWidth="10" defaultRowHeight="15" x14ac:dyDescent="0.25"/>
  <cols>
    <col min="2" max="2" width="19.42578125" customWidth="1"/>
  </cols>
  <sheetData>
    <row r="1" spans="1:5" ht="18.75" x14ac:dyDescent="0.3">
      <c r="A1" s="65" t="s">
        <v>253</v>
      </c>
      <c r="B1" s="65"/>
      <c r="C1" s="65"/>
      <c r="D1" s="65"/>
      <c r="E1" s="11" t="s">
        <v>252</v>
      </c>
    </row>
    <row r="2" spans="1:5" x14ac:dyDescent="0.25">
      <c r="A2" t="s">
        <v>144</v>
      </c>
      <c r="B2" t="s">
        <v>254</v>
      </c>
      <c r="C2" t="s">
        <v>161</v>
      </c>
      <c r="D2" t="s">
        <v>159</v>
      </c>
    </row>
    <row r="3" spans="1:5" x14ac:dyDescent="0.25">
      <c r="A3">
        <v>400</v>
      </c>
      <c r="B3" t="s">
        <v>169</v>
      </c>
      <c r="C3" cm="1">
        <f t="array" ref="C3">_xlfn.SWITCH(LEFT(RIGHT(B3,3)),"X",15,"Y",10,"Z",5,"?")</f>
        <v>5</v>
      </c>
      <c r="D3">
        <v>6</v>
      </c>
    </row>
    <row r="4" spans="1:5" x14ac:dyDescent="0.25">
      <c r="A4">
        <v>750</v>
      </c>
      <c r="B4" t="s">
        <v>170</v>
      </c>
      <c r="C4" cm="1">
        <f t="array" ref="C4">_xlfn.SWITCH(LEFT(RIGHT(B4,3)),"X",15,"Y",10,"Z",5,"?")</f>
        <v>5</v>
      </c>
      <c r="D4">
        <v>5</v>
      </c>
    </row>
    <row r="5" spans="1:5" x14ac:dyDescent="0.25">
      <c r="A5">
        <v>5110</v>
      </c>
      <c r="B5" t="s">
        <v>162</v>
      </c>
      <c r="C5" cm="1">
        <f t="array" ref="C5">_xlfn.SWITCH(LEFT(RIGHT(B5,3)),"X",15,"Y",10,"Z",5,"?")</f>
        <v>5</v>
      </c>
      <c r="D5">
        <v>3</v>
      </c>
    </row>
    <row r="6" spans="1:5" x14ac:dyDescent="0.25">
      <c r="A6">
        <v>5360</v>
      </c>
      <c r="B6" t="s">
        <v>163</v>
      </c>
      <c r="C6" cm="1">
        <f t="array" ref="C6">_xlfn.SWITCH(LEFT(RIGHT(B6,3)),"X",15,"Y",10,"Z",5,"?")</f>
        <v>5</v>
      </c>
      <c r="D6">
        <v>3</v>
      </c>
    </row>
    <row r="7" spans="1:5" x14ac:dyDescent="0.25">
      <c r="A7">
        <v>5970</v>
      </c>
      <c r="B7" t="s">
        <v>164</v>
      </c>
      <c r="C7" cm="1">
        <f t="array" ref="C7">_xlfn.SWITCH(LEFT(RIGHT(B7,3)),"X",15,"Y",10,"Z",5,"?")</f>
        <v>5</v>
      </c>
      <c r="D7">
        <v>4</v>
      </c>
    </row>
    <row r="8" spans="1:5" x14ac:dyDescent="0.25">
      <c r="A8">
        <v>7000</v>
      </c>
      <c r="B8" t="s">
        <v>165</v>
      </c>
      <c r="C8" cm="1">
        <f t="array" ref="C8">_xlfn.SWITCH(LEFT(RIGHT(B8,3)),"X",15,"Y",10,"Z",5,"?")</f>
        <v>10</v>
      </c>
      <c r="D8">
        <v>5</v>
      </c>
    </row>
    <row r="9" spans="1:5" x14ac:dyDescent="0.25">
      <c r="A9">
        <v>7500</v>
      </c>
      <c r="B9" t="s">
        <v>168</v>
      </c>
      <c r="C9" cm="1">
        <f t="array" ref="C9">_xlfn.SWITCH(LEFT(RIGHT(B9,3)),"X",15,"Y",10,"Z",5,"?")</f>
        <v>10</v>
      </c>
      <c r="D9">
        <v>3</v>
      </c>
    </row>
    <row r="10" spans="1:5" x14ac:dyDescent="0.25">
      <c r="A10">
        <v>7680</v>
      </c>
      <c r="B10" t="s">
        <v>166</v>
      </c>
      <c r="C10" cm="1">
        <f t="array" ref="C10">_xlfn.SWITCH(LEFT(RIGHT(B10,3)),"X",15,"Y",10,"Z",5,"?")</f>
        <v>5</v>
      </c>
      <c r="D10">
        <v>4</v>
      </c>
    </row>
    <row r="11" spans="1:5" x14ac:dyDescent="0.25">
      <c r="A11">
        <v>8000</v>
      </c>
      <c r="B11" t="s">
        <v>160</v>
      </c>
      <c r="C11" cm="1">
        <f t="array" ref="C11">_xlfn.SWITCH(LEFT(RIGHT(B11,3)),"X",15,"Y",10,"Z",5,"?")</f>
        <v>10</v>
      </c>
      <c r="D11">
        <v>4</v>
      </c>
    </row>
    <row r="12" spans="1:5" x14ac:dyDescent="0.25">
      <c r="A12">
        <v>8660</v>
      </c>
      <c r="B12" t="s">
        <v>167</v>
      </c>
      <c r="C12" cm="1">
        <f t="array" ref="C12">_xlfn.SWITCH(LEFT(RIGHT(B12,3)),"X",15,"Y",10,"Z",5,"?")</f>
        <v>5</v>
      </c>
      <c r="D12">
        <v>5</v>
      </c>
    </row>
    <row r="13" spans="1:5" x14ac:dyDescent="0.25">
      <c r="A13">
        <v>10000</v>
      </c>
      <c r="B13" t="s">
        <v>171</v>
      </c>
      <c r="C13" cm="1">
        <f t="array" ref="C13">_xlfn.SWITCH(LEFT(RIGHT(B13,3)),"X",15,"Y",10,"Z",5,"?")</f>
        <v>5</v>
      </c>
      <c r="D13">
        <v>8</v>
      </c>
    </row>
  </sheetData>
  <mergeCells count="1">
    <mergeCell ref="A1:D1"/>
  </mergeCells>
  <hyperlinks>
    <hyperlink ref="E1" r:id="rId1" xr:uid="{B1DCD844-C3BE-41B4-B88E-11E299B2199A}"/>
  </hyperlinks>
  <pageMargins left="0.7" right="0.7" top="0.75" bottom="0.75" header="0.3" footer="0.3"/>
  <pageSetup paperSize="9" orientation="portrait" r:id="rId2"/>
  <legacyDrawing r:id="rId3"/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9D727-F690-4530-9111-90914550123C}">
  <sheetPr codeName="Feuil4"/>
  <dimension ref="A1:Q34"/>
  <sheetViews>
    <sheetView workbookViewId="0">
      <selection activeCell="Q33" sqref="Q33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2">
        <f>ROUND(C3-G3,0)</f>
        <v>148</v>
      </c>
      <c r="P2" s="7" t="s">
        <v>113</v>
      </c>
    </row>
    <row r="3" spans="1:16" x14ac:dyDescent="0.25">
      <c r="A3" t="s">
        <v>17</v>
      </c>
      <c r="B3" s="8">
        <v>-15</v>
      </c>
      <c r="C3" s="9">
        <f>data_DeDietrich_AF40[[#This Row],[θ]]*13.5+1650.9</f>
        <v>1448.4</v>
      </c>
      <c r="D3" s="9" cm="1">
        <f t="array" aca="1" ref="D3" ca="1">INDIRECT(RefCell_Rpot)+SUM($G$3:G3)</f>
        <v>1448</v>
      </c>
      <c r="E3" s="9">
        <f ca="1">data_DeDietrich_AF40[[#This Row],[Rpcb]]-data_DeDietrich_AF40[[#This Row],[Rsonde]]</f>
        <v>-0.40000000000009095</v>
      </c>
      <c r="F3" s="4">
        <f ca="1">data_DeDietrich_AF40[[#This Row],[Diff R]]/data_DeDietrich_AF40[[#This Row],[Rsonde]]</f>
        <v>-2.7616680475013182E-4</v>
      </c>
      <c r="G3" s="9">
        <f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1300</v>
      </c>
      <c r="H3" s="9" cm="1">
        <f t="array" ref="H3">MAX(IF(ResValuesR24&lt;=ROUND(data_DeDietrich_AF40[[#This Row],[Rsonde]],2)-IF(data_DeDietrich_AF40[[#This Row],[Rsonde]]=MIN(data_DeDietrich_AF40[Rsonde]),100,$D2),ResValuesR24))</f>
        <v>1300</v>
      </c>
      <c r="I3" s="9">
        <f>ROUND(data_DeDietrich_AF40[[#This Row],[RaddLow]]+(IF(data_DeDietrich_AF40[[#This Row],[Rsonde]]=MIN(data_DeDietrich_AF40[Rsonde]),0,$D2)-data_DeDietrich_AF40[[#This Row],[Rsonde]]),2)</f>
        <v>-148.4</v>
      </c>
      <c r="J3" s="9" cm="1">
        <f t="array" ref="J3">MIN(IF(ResValuesR24&gt;=ROUND(data_DeDietrich_AF40[[#This Row],[Rsonde]],2)-IF(data_DeDietrich_AF40[[#This Row],[Rsonde]]=MIN(data_DeDietrich_AF40[Rsonde]),100,$D2),ResValuesR24))</f>
        <v>1500</v>
      </c>
      <c r="K3" s="9">
        <f>ROUND(data_DeDietrich_AF40[[#This Row],[RaddHigh]]+(IF(data_DeDietrich_AF40[[#This Row],[Rsonde]]=MIN(data_DeDietrich_AF40[Rsonde]),0,$D2)-data_DeDietrich_AF40[[#This Row],[Rsonde]]),2)</f>
        <v>51.6</v>
      </c>
      <c r="L3" s="2" cm="1">
        <f t="array" aca="1" ref="L3" ca="1">IF(INDIRECT(RefCell_R77),(data_DeDietrich_AF40[[#This Row],[Rpcb]]*INDIRECT(RefCell_R77))/(data_DeDietrich_AF40[[#This Row],[Rpcb]]+INDIRECT(RefCell_R77)),data_DeDietrich_AF40[[#This Row],[Rpcb]])</f>
        <v>1448</v>
      </c>
      <c r="N3" t="s">
        <v>112</v>
      </c>
      <c r="P3" s="7" t="s">
        <v>113</v>
      </c>
    </row>
    <row r="4" spans="1:16" x14ac:dyDescent="0.25">
      <c r="A4" t="s">
        <v>18</v>
      </c>
      <c r="B4" s="8">
        <v>-13.5</v>
      </c>
      <c r="C4" s="9">
        <f>data_DeDietrich_AF40[[#This Row],[θ]]*13.5+1650.9</f>
        <v>1468.65</v>
      </c>
      <c r="D4" s="9" cm="1">
        <f t="array" aca="1" ref="D4" ca="1">INDIRECT(RefCell_Rpot)+SUM($G$3:G4)</f>
        <v>1468</v>
      </c>
      <c r="E4" s="9">
        <f ca="1">data_DeDietrich_AF40[[#This Row],[Rpcb]]-data_DeDietrich_AF40[[#This Row],[Rsonde]]</f>
        <v>-0.65000000000009095</v>
      </c>
      <c r="F4" s="4">
        <f ca="1">data_DeDietrich_AF40[[#This Row],[Diff R]]/data_DeDietrich_AF40[[#This Row],[Rsonde]]</f>
        <v>-4.4258332482217743E-4</v>
      </c>
      <c r="G4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4" s="9" cm="1">
        <f t="array" aca="1" ref="H4" ca="1">MAX(IF(ResValuesR24&lt;=ROUND(data_DeDietrich_AF40[[#This Row],[Rsonde]],2)-IF(data_DeDietrich_AF40[[#This Row],[Rsonde]]=MIN(data_DeDietrich_AF40[Rsonde]),100,$D3),ResValuesR24))</f>
        <v>20</v>
      </c>
      <c r="I4" s="9">
        <f ca="1">ROUND(data_DeDietrich_AF40[[#This Row],[RaddLow]]+(IF(data_DeDietrich_AF40[[#This Row],[Rsonde]]=MIN(data_DeDietrich_AF40[Rsonde]),0,$D3)-data_DeDietrich_AF40[[#This Row],[Rsonde]]),2)</f>
        <v>-0.65</v>
      </c>
      <c r="J4" s="9" cm="1">
        <f t="array" aca="1" ref="J4" ca="1">MIN(IF(ResValuesR24&gt;=ROUND(data_DeDietrich_AF40[[#This Row],[Rsonde]],2)-IF(data_DeDietrich_AF40[[#This Row],[Rsonde]]=MIN(data_DeDietrich_AF40[Rsonde]),100,$D3),ResValuesR24))</f>
        <v>22</v>
      </c>
      <c r="K4" s="9">
        <f ca="1">ROUND(data_DeDietrich_AF40[[#This Row],[RaddHigh]]+(IF(data_DeDietrich_AF40[[#This Row],[Rsonde]]=MIN(data_DeDietrich_AF40[Rsonde]),0,$D3)-data_DeDietrich_AF40[[#This Row],[Rsonde]]),2)</f>
        <v>1.35</v>
      </c>
      <c r="L4" s="2" cm="1">
        <f t="array" aca="1" ref="L4" ca="1">IF(INDIRECT(RefCell_R77),(data_DeDietrich_AF40[[#This Row],[Rpcb]]*INDIRECT(RefCell_R77))/(data_DeDietrich_AF40[[#This Row],[Rpcb]]+INDIRECT(RefCell_R77)),data_DeDietrich_AF40[[#This Row],[Rpcb]])</f>
        <v>1468</v>
      </c>
    </row>
    <row r="5" spans="1:16" x14ac:dyDescent="0.25">
      <c r="A5" t="s">
        <v>19</v>
      </c>
      <c r="B5" s="8">
        <v>-12</v>
      </c>
      <c r="C5" s="9">
        <f>data_DeDietrich_AF40[[#This Row],[θ]]*13.5+1650.9</f>
        <v>1488.9</v>
      </c>
      <c r="D5" s="9" cm="1">
        <f t="array" aca="1" ref="D5" ca="1">INDIRECT(RefCell_Rpot)+SUM($G$3:G5)</f>
        <v>1488</v>
      </c>
      <c r="E5" s="9">
        <f ca="1">data_DeDietrich_AF40[[#This Row],[Rpcb]]-data_DeDietrich_AF40[[#This Row],[Rsonde]]</f>
        <v>-0.90000000000009095</v>
      </c>
      <c r="F5" s="4">
        <f ca="1">data_DeDietrich_AF40[[#This Row],[Diff R]]/data_DeDietrich_AF40[[#This Row],[Rsonde]]</f>
        <v>-6.0447310094706886E-4</v>
      </c>
      <c r="G5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5" s="9" cm="1">
        <f t="array" aca="1" ref="H5" ca="1">MAX(IF(ResValuesR24&lt;=ROUND(data_DeDietrich_AF40[[#This Row],[Rsonde]],2)-IF(data_DeDietrich_AF40[[#This Row],[Rsonde]]=MIN(data_DeDietrich_AF40[Rsonde]),100,$D4),ResValuesR24))</f>
        <v>20</v>
      </c>
      <c r="I5" s="9">
        <f ca="1">ROUND(data_DeDietrich_AF40[[#This Row],[RaddLow]]+(IF(data_DeDietrich_AF40[[#This Row],[Rsonde]]=MIN(data_DeDietrich_AF40[Rsonde]),0,$D4)-data_DeDietrich_AF40[[#This Row],[Rsonde]]),2)</f>
        <v>-0.9</v>
      </c>
      <c r="J5" s="9" cm="1">
        <f t="array" aca="1" ref="J5" ca="1">MIN(IF(ResValuesR24&gt;=ROUND(data_DeDietrich_AF40[[#This Row],[Rsonde]],2)-IF(data_DeDietrich_AF40[[#This Row],[Rsonde]]=MIN(data_DeDietrich_AF40[Rsonde]),100,$D4),ResValuesR24))</f>
        <v>22</v>
      </c>
      <c r="K5" s="9">
        <f ca="1">ROUND(data_DeDietrich_AF40[[#This Row],[RaddHigh]]+(IF(data_DeDietrich_AF40[[#This Row],[Rsonde]]=MIN(data_DeDietrich_AF40[Rsonde]),0,$D4)-data_DeDietrich_AF40[[#This Row],[Rsonde]]),2)</f>
        <v>1.1000000000000001</v>
      </c>
      <c r="L5" s="2" cm="1">
        <f t="array" aca="1" ref="L5" ca="1">IF(INDIRECT(RefCell_R77),(data_DeDietrich_AF40[[#This Row],[Rpcb]]*INDIRECT(RefCell_R77))/(data_DeDietrich_AF40[[#This Row],[Rpcb]]+INDIRECT(RefCell_R77)),data_DeDietrich_AF40[[#This Row],[Rpcb]])</f>
        <v>1488</v>
      </c>
      <c r="N5" s="1" t="s">
        <v>215</v>
      </c>
    </row>
    <row r="6" spans="1:16" x14ac:dyDescent="0.25">
      <c r="A6" t="s">
        <v>20</v>
      </c>
      <c r="B6" s="8">
        <v>-10.5</v>
      </c>
      <c r="C6" s="9">
        <f>data_DeDietrich_AF40[[#This Row],[θ]]*13.5+1650.9</f>
        <v>1509.15</v>
      </c>
      <c r="D6" s="9" cm="1">
        <f t="array" aca="1" ref="D6" ca="1">INDIRECT(RefCell_Rpot)+SUM($G$3:G6)</f>
        <v>1510</v>
      </c>
      <c r="E6" s="9">
        <f ca="1">data_DeDietrich_AF40[[#This Row],[Rpcb]]-data_DeDietrich_AF40[[#This Row],[Rsonde]]</f>
        <v>0.84999999999990905</v>
      </c>
      <c r="F6" s="4">
        <f ca="1">data_DeDietrich_AF40[[#This Row],[Diff R]]/data_DeDietrich_AF40[[#This Row],[Rsonde]]</f>
        <v>5.6323095782388028E-4</v>
      </c>
      <c r="G6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22</v>
      </c>
      <c r="H6" s="9" cm="1">
        <f t="array" aca="1" ref="H6" ca="1">MAX(IF(ResValuesR24&lt;=ROUND(data_DeDietrich_AF40[[#This Row],[Rsonde]],2)-IF(data_DeDietrich_AF40[[#This Row],[Rsonde]]=MIN(data_DeDietrich_AF40[Rsonde]),100,$D5),ResValuesR24))</f>
        <v>20</v>
      </c>
      <c r="I6" s="9">
        <f ca="1">ROUND(data_DeDietrich_AF40[[#This Row],[RaddLow]]+(IF(data_DeDietrich_AF40[[#This Row],[Rsonde]]=MIN(data_DeDietrich_AF40[Rsonde]),0,$D5)-data_DeDietrich_AF40[[#This Row],[Rsonde]]),2)</f>
        <v>-1.1499999999999999</v>
      </c>
      <c r="J6" s="9" cm="1">
        <f t="array" aca="1" ref="J6" ca="1">MIN(IF(ResValuesR24&gt;=ROUND(data_DeDietrich_AF40[[#This Row],[Rsonde]],2)-IF(data_DeDietrich_AF40[[#This Row],[Rsonde]]=MIN(data_DeDietrich_AF40[Rsonde]),100,$D5),ResValuesR24))</f>
        <v>22</v>
      </c>
      <c r="K6" s="9">
        <f ca="1">ROUND(data_DeDietrich_AF40[[#This Row],[RaddHigh]]+(IF(data_DeDietrich_AF40[[#This Row],[Rsonde]]=MIN(data_DeDietrich_AF40[Rsonde]),0,$D5)-data_DeDietrich_AF40[[#This Row],[Rsonde]]),2)</f>
        <v>0.85</v>
      </c>
      <c r="L6" s="2" cm="1">
        <f t="array" aca="1" ref="L6" ca="1">IF(INDIRECT(RefCell_R77),(data_DeDietrich_AF40[[#This Row],[Rpcb]]*INDIRECT(RefCell_R77))/(data_DeDietrich_AF40[[#This Row],[Rpcb]]+INDIRECT(RefCell_R77)),data_DeDietrich_AF40[[#This Row],[Rpcb]])</f>
        <v>1510</v>
      </c>
      <c r="N6" s="35" t="s">
        <v>131</v>
      </c>
      <c r="O6">
        <f t="shared" ref="O6" si="0">O14 - O11*O7 - O11^3*O8</f>
        <v>1.3237123928496073E-2</v>
      </c>
    </row>
    <row r="7" spans="1:16" x14ac:dyDescent="0.25">
      <c r="A7" t="s">
        <v>21</v>
      </c>
      <c r="B7" s="8">
        <v>-9</v>
      </c>
      <c r="C7" s="9">
        <f>data_DeDietrich_AF40[[#This Row],[θ]]*13.5+1650.9</f>
        <v>1529.4</v>
      </c>
      <c r="D7" s="9" cm="1">
        <f t="array" aca="1" ref="D7" ca="1">INDIRECT(RefCell_Rpot)+SUM($G$3:G7)</f>
        <v>1530</v>
      </c>
      <c r="E7" s="9">
        <f ca="1">data_DeDietrich_AF40[[#This Row],[Rpcb]]-data_DeDietrich_AF40[[#This Row],[Rsonde]]</f>
        <v>0.59999999999990905</v>
      </c>
      <c r="F7" s="4">
        <f ca="1">data_DeDietrich_AF40[[#This Row],[Diff R]]/data_DeDietrich_AF40[[#This Row],[Rsonde]]</f>
        <v>3.9231071008232577E-4</v>
      </c>
      <c r="G7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7" s="9" cm="1">
        <f t="array" aca="1" ref="H7" ca="1">MAX(IF(ResValuesR24&lt;=ROUND(data_DeDietrich_AF40[[#This Row],[Rsonde]],2)-IF(data_DeDietrich_AF40[[#This Row],[Rsonde]]=MIN(data_DeDietrich_AF40[Rsonde]),100,$D6),ResValuesR24))</f>
        <v>18</v>
      </c>
      <c r="I7" s="9">
        <f ca="1">ROUND(data_DeDietrich_AF40[[#This Row],[RaddLow]]+(IF(data_DeDietrich_AF40[[#This Row],[Rsonde]]=MIN(data_DeDietrich_AF40[Rsonde]),0,$D6)-data_DeDietrich_AF40[[#This Row],[Rsonde]]),2)</f>
        <v>-1.4</v>
      </c>
      <c r="J7" s="9" cm="1">
        <f t="array" aca="1" ref="J7" ca="1">MIN(IF(ResValuesR24&gt;=ROUND(data_DeDietrich_AF40[[#This Row],[Rsonde]],2)-IF(data_DeDietrich_AF40[[#This Row],[Rsonde]]=MIN(data_DeDietrich_AF40[Rsonde]),100,$D6),ResValuesR24))</f>
        <v>20</v>
      </c>
      <c r="K7" s="9">
        <f ca="1">ROUND(data_DeDietrich_AF40[[#This Row],[RaddHigh]]+(IF(data_DeDietrich_AF40[[#This Row],[Rsonde]]=MIN(data_DeDietrich_AF40[Rsonde]),0,$D6)-data_DeDietrich_AF40[[#This Row],[Rsonde]]),2)</f>
        <v>0.6</v>
      </c>
      <c r="L7" s="2" cm="1">
        <f t="array" aca="1" ref="L7" ca="1">IF(INDIRECT(RefCell_R77),(data_DeDietrich_AF40[[#This Row],[Rpcb]]*INDIRECT(RefCell_R77))/(data_DeDietrich_AF40[[#This Row],[Rpcb]]+INDIRECT(RefCell_R77)),data_DeDietrich_AF40[[#This Row],[Rpcb]])</f>
        <v>1530</v>
      </c>
      <c r="N7" s="35" t="s">
        <v>130</v>
      </c>
      <c r="O7">
        <f t="shared" ref="O7" si="1">(1/(O11-O12)) * (O14-O15-(O11^3-O12^3)*O8)</f>
        <v>-1.1208023273136644E-3</v>
      </c>
    </row>
    <row r="8" spans="1:16" x14ac:dyDescent="0.25">
      <c r="A8" t="s">
        <v>22</v>
      </c>
      <c r="B8" s="8">
        <v>-7.5</v>
      </c>
      <c r="C8" s="9">
        <f>data_DeDietrich_AF40[[#This Row],[θ]]*13.5+1650.9</f>
        <v>1549.65</v>
      </c>
      <c r="D8" s="9" cm="1">
        <f t="array" aca="1" ref="D8" ca="1">INDIRECT(RefCell_Rpot)+SUM($G$3:G8)</f>
        <v>1550</v>
      </c>
      <c r="E8" s="9">
        <f ca="1">data_DeDietrich_AF40[[#This Row],[Rpcb]]-data_DeDietrich_AF40[[#This Row],[Rsonde]]</f>
        <v>0.34999999999990905</v>
      </c>
      <c r="F8" s="4">
        <f ca="1">data_DeDietrich_AF40[[#This Row],[Diff R]]/data_DeDietrich_AF40[[#This Row],[Rsonde]]</f>
        <v>2.2585745168257932E-4</v>
      </c>
      <c r="G8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8" s="9" cm="1">
        <f t="array" aca="1" ref="H8" ca="1">MAX(IF(ResValuesR24&lt;=ROUND(data_DeDietrich_AF40[[#This Row],[Rsonde]],2)-IF(data_DeDietrich_AF40[[#This Row],[Rsonde]]=MIN(data_DeDietrich_AF40[Rsonde]),100,$D7),ResValuesR24))</f>
        <v>18</v>
      </c>
      <c r="I8" s="9">
        <f ca="1">ROUND(data_DeDietrich_AF40[[#This Row],[RaddLow]]+(IF(data_DeDietrich_AF40[[#This Row],[Rsonde]]=MIN(data_DeDietrich_AF40[Rsonde]),0,$D7)-data_DeDietrich_AF40[[#This Row],[Rsonde]]),2)</f>
        <v>-1.65</v>
      </c>
      <c r="J8" s="9" cm="1">
        <f t="array" aca="1" ref="J8" ca="1">MIN(IF(ResValuesR24&gt;=ROUND(data_DeDietrich_AF40[[#This Row],[Rsonde]],2)-IF(data_DeDietrich_AF40[[#This Row],[Rsonde]]=MIN(data_DeDietrich_AF40[Rsonde]),100,$D7),ResValuesR24))</f>
        <v>20</v>
      </c>
      <c r="K8" s="9">
        <f ca="1">ROUND(data_DeDietrich_AF40[[#This Row],[RaddHigh]]+(IF(data_DeDietrich_AF40[[#This Row],[Rsonde]]=MIN(data_DeDietrich_AF40[Rsonde]),0,$D7)-data_DeDietrich_AF40[[#This Row],[Rsonde]]),2)</f>
        <v>0.35</v>
      </c>
      <c r="L8" s="2" cm="1">
        <f t="array" aca="1" ref="L8" ca="1">IF(INDIRECT(RefCell_R77),(data_DeDietrich_AF40[[#This Row],[Rpcb]]*INDIRECT(RefCell_R77))/(data_DeDietrich_AF40[[#This Row],[Rpcb]]+INDIRECT(RefCell_R77)),data_DeDietrich_AF40[[#This Row],[Rpcb]])</f>
        <v>1550</v>
      </c>
      <c r="N8" s="35" t="s">
        <v>129</v>
      </c>
      <c r="O8">
        <f t="shared" ref="O8" si="2">O10/O9</f>
        <v>-3.127957435967674E-6</v>
      </c>
    </row>
    <row r="9" spans="1:16" x14ac:dyDescent="0.25">
      <c r="A9" t="s">
        <v>23</v>
      </c>
      <c r="B9" s="8">
        <v>-6</v>
      </c>
      <c r="C9" s="9">
        <f>data_DeDietrich_AF40[[#This Row],[θ]]*13.5+1650.9</f>
        <v>1569.9</v>
      </c>
      <c r="D9" s="9" cm="1">
        <f t="array" aca="1" ref="D9" ca="1">INDIRECT(RefCell_Rpot)+SUM($G$3:G9)</f>
        <v>1570</v>
      </c>
      <c r="E9" s="9">
        <f ca="1">data_DeDietrich_AF40[[#This Row],[Rpcb]]-data_DeDietrich_AF40[[#This Row],[Rsonde]]</f>
        <v>9.9999999999909051E-2</v>
      </c>
      <c r="F9" s="4">
        <f ca="1">data_DeDietrich_AF40[[#This Row],[Diff R]]/data_DeDietrich_AF40[[#This Row],[Rsonde]]</f>
        <v>6.3698324734001556E-5</v>
      </c>
      <c r="G9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9" s="9" cm="1">
        <f t="array" aca="1" ref="H9" ca="1">MAX(IF(ResValuesR24&lt;=ROUND(data_DeDietrich_AF40[[#This Row],[Rsonde]],2)-IF(data_DeDietrich_AF40[[#This Row],[Rsonde]]=MIN(data_DeDietrich_AF40[Rsonde]),100,$D8),ResValuesR24))</f>
        <v>18</v>
      </c>
      <c r="I9" s="9">
        <f ca="1">ROUND(data_DeDietrich_AF40[[#This Row],[RaddLow]]+(IF(data_DeDietrich_AF40[[#This Row],[Rsonde]]=MIN(data_DeDietrich_AF40[Rsonde]),0,$D8)-data_DeDietrich_AF40[[#This Row],[Rsonde]]),2)</f>
        <v>-1.9</v>
      </c>
      <c r="J9" s="9" cm="1">
        <f t="array" aca="1" ref="J9" ca="1">MIN(IF(ResValuesR24&gt;=ROUND(data_DeDietrich_AF40[[#This Row],[Rsonde]],2)-IF(data_DeDietrich_AF40[[#This Row],[Rsonde]]=MIN(data_DeDietrich_AF40[Rsonde]),100,$D8),ResValuesR24))</f>
        <v>20</v>
      </c>
      <c r="K9" s="9">
        <f ca="1">ROUND(data_DeDietrich_AF40[[#This Row],[RaddHigh]]+(IF(data_DeDietrich_AF40[[#This Row],[Rsonde]]=MIN(data_DeDietrich_AF40[Rsonde]),0,$D8)-data_DeDietrich_AF40[[#This Row],[Rsonde]]),2)</f>
        <v>0.1</v>
      </c>
      <c r="L9" s="2" cm="1">
        <f t="array" aca="1" ref="L9" ca="1">IF(INDIRECT(RefCell_R77),(data_DeDietrich_AF40[[#This Row],[Rpcb]]*INDIRECT(RefCell_R77))/(data_DeDietrich_AF40[[#This Row],[Rpcb]]+INDIRECT(RefCell_R77)),data_DeDietrich_AF40[[#This Row],[Rpcb]])</f>
        <v>1570</v>
      </c>
      <c r="N9" s="3" t="s">
        <v>181</v>
      </c>
      <c r="O9">
        <f t="shared" ref="O9" si="3">(O12-O13)/(O11-O12) * (O12^3-O11^3) + (O12^3-O13^3)</f>
        <v>-1.1190168027764358</v>
      </c>
    </row>
    <row r="10" spans="1:16" x14ac:dyDescent="0.25">
      <c r="A10" t="s">
        <v>24</v>
      </c>
      <c r="B10" s="8">
        <v>-4.5</v>
      </c>
      <c r="C10" s="9">
        <f>data_DeDietrich_AF40[[#This Row],[θ]]*13.5+1650.9</f>
        <v>1590.15</v>
      </c>
      <c r="D10" s="9" cm="1">
        <f t="array" aca="1" ref="D10" ca="1">INDIRECT(RefCell_Rpot)+SUM($G$3:G10)</f>
        <v>1590</v>
      </c>
      <c r="E10" s="9">
        <f ca="1">data_DeDietrich_AF40[[#This Row],[Rpcb]]-data_DeDietrich_AF40[[#This Row],[Rsonde]]</f>
        <v>-0.15000000000009095</v>
      </c>
      <c r="F10" s="4">
        <f ca="1">data_DeDietrich_AF40[[#This Row],[Diff R]]/data_DeDietrich_AF40[[#This Row],[Rsonde]]</f>
        <v>-9.4330723516706562E-5</v>
      </c>
      <c r="G10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0" s="9" cm="1">
        <f t="array" aca="1" ref="H10" ca="1">MAX(IF(ResValuesR24&lt;=ROUND(data_DeDietrich_AF40[[#This Row],[Rsonde]],2)-IF(data_DeDietrich_AF40[[#This Row],[Rsonde]]=MIN(data_DeDietrich_AF40[Rsonde]),100,$D9),ResValuesR24))</f>
        <v>20</v>
      </c>
      <c r="I10" s="9">
        <f ca="1">ROUND(data_DeDietrich_AF40[[#This Row],[RaddLow]]+(IF(data_DeDietrich_AF40[[#This Row],[Rsonde]]=MIN(data_DeDietrich_AF40[Rsonde]),0,$D9)-data_DeDietrich_AF40[[#This Row],[Rsonde]]),2)</f>
        <v>-0.15</v>
      </c>
      <c r="J10" s="9" cm="1">
        <f t="array" aca="1" ref="J10" ca="1">MIN(IF(ResValuesR24&gt;=ROUND(data_DeDietrich_AF40[[#This Row],[Rsonde]],2)-IF(data_DeDietrich_AF40[[#This Row],[Rsonde]]=MIN(data_DeDietrich_AF40[Rsonde]),100,$D9),ResValuesR24))</f>
        <v>22</v>
      </c>
      <c r="K10" s="9">
        <f ca="1">ROUND(data_DeDietrich_AF40[[#This Row],[RaddHigh]]+(IF(data_DeDietrich_AF40[[#This Row],[Rsonde]]=MIN(data_DeDietrich_AF40[Rsonde]),0,$D9)-data_DeDietrich_AF40[[#This Row],[Rsonde]]),2)</f>
        <v>1.85</v>
      </c>
      <c r="L10" s="2" cm="1">
        <f t="array" aca="1" ref="L10" ca="1">IF(INDIRECT(RefCell_R77),(data_DeDietrich_AF40[[#This Row],[Rpcb]]*INDIRECT(RefCell_R77))/(data_DeDietrich_AF40[[#This Row],[Rpcb]]+INDIRECT(RefCell_R77)),data_DeDietrich_AF40[[#This Row],[Rpcb]])</f>
        <v>1590</v>
      </c>
      <c r="N10" s="3" t="s">
        <v>182</v>
      </c>
      <c r="O10">
        <f t="shared" ref="O10" si="4">O15 - O16 - ( (O12-O13)/(O11-O12) ) * (O14-O15)</f>
        <v>3.5002369292173245E-6</v>
      </c>
    </row>
    <row r="11" spans="1:16" x14ac:dyDescent="0.25">
      <c r="A11" t="s">
        <v>25</v>
      </c>
      <c r="B11" s="8">
        <v>-3</v>
      </c>
      <c r="C11" s="9">
        <f>data_DeDietrich_AF40[[#This Row],[θ]]*13.5+1650.9</f>
        <v>1610.4</v>
      </c>
      <c r="D11" s="9" cm="1">
        <f t="array" aca="1" ref="D11" ca="1">INDIRECT(RefCell_Rpot)+SUM($G$3:G11)</f>
        <v>1610</v>
      </c>
      <c r="E11" s="9">
        <f ca="1">data_DeDietrich_AF40[[#This Row],[Rpcb]]-data_DeDietrich_AF40[[#This Row],[Rsonde]]</f>
        <v>-0.40000000000009095</v>
      </c>
      <c r="F11" s="4">
        <f ca="1">data_DeDietrich_AF40[[#This Row],[Diff R]]/data_DeDietrich_AF40[[#This Row],[Rsonde]]</f>
        <v>-2.4838549428719012E-4</v>
      </c>
      <c r="G11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1" s="9" cm="1">
        <f t="array" aca="1" ref="H11" ca="1">MAX(IF(ResValuesR24&lt;=ROUND(data_DeDietrich_AF40[[#This Row],[Rsonde]],2)-IF(data_DeDietrich_AF40[[#This Row],[Rsonde]]=MIN(data_DeDietrich_AF40[Rsonde]),100,$D10),ResValuesR24))</f>
        <v>20</v>
      </c>
      <c r="I11" s="9">
        <f ca="1">ROUND(data_DeDietrich_AF40[[#This Row],[RaddLow]]+(IF(data_DeDietrich_AF40[[#This Row],[Rsonde]]=MIN(data_DeDietrich_AF40[Rsonde]),0,$D10)-data_DeDietrich_AF40[[#This Row],[Rsonde]]),2)</f>
        <v>-0.4</v>
      </c>
      <c r="J11" s="9" cm="1">
        <f t="array" aca="1" ref="J11" ca="1">MIN(IF(ResValuesR24&gt;=ROUND(data_DeDietrich_AF40[[#This Row],[Rsonde]],2)-IF(data_DeDietrich_AF40[[#This Row],[Rsonde]]=MIN(data_DeDietrich_AF40[Rsonde]),100,$D10),ResValuesR24))</f>
        <v>22</v>
      </c>
      <c r="K11" s="9">
        <f ca="1">ROUND(data_DeDietrich_AF40[[#This Row],[RaddHigh]]+(IF(data_DeDietrich_AF40[[#This Row],[Rsonde]]=MIN(data_DeDietrich_AF40[Rsonde]),0,$D10)-data_DeDietrich_AF40[[#This Row],[Rsonde]]),2)</f>
        <v>1.6</v>
      </c>
      <c r="L11" s="2" cm="1">
        <f t="array" aca="1" ref="L11" ca="1">IF(INDIRECT(RefCell_R77),(data_DeDietrich_AF40[[#This Row],[Rpcb]]*INDIRECT(RefCell_R77))/(data_DeDietrich_AF40[[#This Row],[Rpcb]]+INDIRECT(RefCell_R77)),data_DeDietrich_AF40[[#This Row],[Rpcb]])</f>
        <v>1610</v>
      </c>
      <c r="N11" s="3" t="s">
        <v>178</v>
      </c>
      <c r="O11">
        <f>LN(C3)</f>
        <v>7.2782147778914865</v>
      </c>
    </row>
    <row r="12" spans="1:16" x14ac:dyDescent="0.25">
      <c r="A12" t="s">
        <v>26</v>
      </c>
      <c r="B12" s="8">
        <v>-1.5</v>
      </c>
      <c r="C12" s="9">
        <f>data_DeDietrich_AF40[[#This Row],[θ]]*13.5+1650.9</f>
        <v>1630.65</v>
      </c>
      <c r="D12" s="9" cm="1">
        <f t="array" aca="1" ref="D12" ca="1">INDIRECT(RefCell_Rpot)+SUM($G$3:G12)</f>
        <v>1630</v>
      </c>
      <c r="E12" s="9">
        <f ca="1">data_DeDietrich_AF40[[#This Row],[Rpcb]]-data_DeDietrich_AF40[[#This Row],[Rsonde]]</f>
        <v>-0.65000000000009095</v>
      </c>
      <c r="F12" s="4">
        <f ca="1">data_DeDietrich_AF40[[#This Row],[Diff R]]/data_DeDietrich_AF40[[#This Row],[Rsonde]]</f>
        <v>-3.9861404961217362E-4</v>
      </c>
      <c r="G12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2" s="9" cm="1">
        <f t="array" aca="1" ref="H12" ca="1">MAX(IF(ResValuesR24&lt;=ROUND(data_DeDietrich_AF40[[#This Row],[Rsonde]],2)-IF(data_DeDietrich_AF40[[#This Row],[Rsonde]]=MIN(data_DeDietrich_AF40[Rsonde]),100,$D11),ResValuesR24))</f>
        <v>20</v>
      </c>
      <c r="I12" s="9">
        <f ca="1">ROUND(data_DeDietrich_AF40[[#This Row],[RaddLow]]+(IF(data_DeDietrich_AF40[[#This Row],[Rsonde]]=MIN(data_DeDietrich_AF40[Rsonde]),0,$D11)-data_DeDietrich_AF40[[#This Row],[Rsonde]]),2)</f>
        <v>-0.65</v>
      </c>
      <c r="J12" s="9" cm="1">
        <f t="array" aca="1" ref="J12" ca="1">MIN(IF(ResValuesR24&gt;=ROUND(data_DeDietrich_AF40[[#This Row],[Rsonde]],2)-IF(data_DeDietrich_AF40[[#This Row],[Rsonde]]=MIN(data_DeDietrich_AF40[Rsonde]),100,$D11),ResValuesR24))</f>
        <v>22</v>
      </c>
      <c r="K12" s="9">
        <f ca="1">ROUND(data_DeDietrich_AF40[[#This Row],[RaddHigh]]+(IF(data_DeDietrich_AF40[[#This Row],[Rsonde]]=MIN(data_DeDietrich_AF40[Rsonde]),0,$D11)-data_DeDietrich_AF40[[#This Row],[Rsonde]]),2)</f>
        <v>1.35</v>
      </c>
      <c r="L12" s="2" cm="1">
        <f t="array" aca="1" ref="L12" ca="1">IF(INDIRECT(RefCell_R77),(data_DeDietrich_AF40[[#This Row],[Rpcb]]*INDIRECT(RefCell_R77))/(data_DeDietrich_AF40[[#This Row],[Rpcb]]+INDIRECT(RefCell_R77)),data_DeDietrich_AF40[[#This Row],[Rpcb]])</f>
        <v>1630</v>
      </c>
      <c r="N12" s="3" t="s">
        <v>179</v>
      </c>
      <c r="O12">
        <f>LN(C17)</f>
        <v>7.4569743507349973</v>
      </c>
    </row>
    <row r="13" spans="1:16" x14ac:dyDescent="0.25">
      <c r="A13" t="s">
        <v>27</v>
      </c>
      <c r="B13" s="8">
        <v>0</v>
      </c>
      <c r="C13" s="9">
        <f>data_DeDietrich_AF40[[#This Row],[θ]]*13.5+1650.9</f>
        <v>1650.9</v>
      </c>
      <c r="D13" s="9" cm="1">
        <f t="array" aca="1" ref="D13" ca="1">INDIRECT(RefCell_Rpot)+SUM($G$3:G13)</f>
        <v>1650</v>
      </c>
      <c r="E13" s="9">
        <f ca="1">data_DeDietrich_AF40[[#This Row],[Rpcb]]-data_DeDietrich_AF40[[#This Row],[Rsonde]]</f>
        <v>-0.90000000000009095</v>
      </c>
      <c r="F13" s="4">
        <f ca="1">data_DeDietrich_AF40[[#This Row],[Diff R]]/data_DeDietrich_AF40[[#This Row],[Rsonde]]</f>
        <v>-5.451571869889702E-4</v>
      </c>
      <c r="G13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3" s="9" cm="1">
        <f t="array" aca="1" ref="H13" ca="1">MAX(IF(ResValuesR24&lt;=ROUND(data_DeDietrich_AF40[[#This Row],[Rsonde]],2)-IF(data_DeDietrich_AF40[[#This Row],[Rsonde]]=MIN(data_DeDietrich_AF40[Rsonde]),100,$D12),ResValuesR24))</f>
        <v>20</v>
      </c>
      <c r="I13" s="9">
        <f ca="1">ROUND(data_DeDietrich_AF40[[#This Row],[RaddLow]]+(IF(data_DeDietrich_AF40[[#This Row],[Rsonde]]=MIN(data_DeDietrich_AF40[Rsonde]),0,$D12)-data_DeDietrich_AF40[[#This Row],[Rsonde]]),2)</f>
        <v>-0.9</v>
      </c>
      <c r="J13" s="9" cm="1">
        <f t="array" aca="1" ref="J13" ca="1">MIN(IF(ResValuesR24&gt;=ROUND(data_DeDietrich_AF40[[#This Row],[Rsonde]],2)-IF(data_DeDietrich_AF40[[#This Row],[Rsonde]]=MIN(data_DeDietrich_AF40[Rsonde]),100,$D12),ResValuesR24))</f>
        <v>22</v>
      </c>
      <c r="K13" s="9">
        <f ca="1">ROUND(data_DeDietrich_AF40[[#This Row],[RaddHigh]]+(IF(data_DeDietrich_AF40[[#This Row],[Rsonde]]=MIN(data_DeDietrich_AF40[Rsonde]),0,$D12)-data_DeDietrich_AF40[[#This Row],[Rsonde]]),2)</f>
        <v>1.1000000000000001</v>
      </c>
      <c r="L13" s="2" cm="1">
        <f t="array" aca="1" ref="L13" ca="1">IF(INDIRECT(RefCell_R77),(data_DeDietrich_AF40[[#This Row],[Rpcb]]*INDIRECT(RefCell_R77))/(data_DeDietrich_AF40[[#This Row],[Rpcb]]+INDIRECT(RefCell_R77)),data_DeDietrich_AF40[[#This Row],[Rpcb]])</f>
        <v>1650</v>
      </c>
      <c r="N13" s="3" t="s">
        <v>180</v>
      </c>
      <c r="O13">
        <f>LN(C31)</f>
        <v>7.6085729658463022</v>
      </c>
    </row>
    <row r="14" spans="1:16" x14ac:dyDescent="0.25">
      <c r="A14" t="s">
        <v>28</v>
      </c>
      <c r="B14" s="8">
        <v>1.5</v>
      </c>
      <c r="C14" s="9">
        <f>data_DeDietrich_AF40[[#This Row],[θ]]*13.5+1650.9</f>
        <v>1671.15</v>
      </c>
      <c r="D14" s="9" cm="1">
        <f t="array" aca="1" ref="D14" ca="1">INDIRECT(RefCell_Rpot)+SUM($G$3:G14)</f>
        <v>1672</v>
      </c>
      <c r="E14" s="9">
        <f ca="1">data_DeDietrich_AF40[[#This Row],[Rpcb]]-data_DeDietrich_AF40[[#This Row],[Rsonde]]</f>
        <v>0.84999999999990905</v>
      </c>
      <c r="F14" s="4">
        <f ca="1">data_DeDietrich_AF40[[#This Row],[Diff R]]/data_DeDietrich_AF40[[#This Row],[Rsonde]]</f>
        <v>5.0863178051037254E-4</v>
      </c>
      <c r="G14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22</v>
      </c>
      <c r="H14" s="9" cm="1">
        <f t="array" aca="1" ref="H14" ca="1">MAX(IF(ResValuesR24&lt;=ROUND(data_DeDietrich_AF40[[#This Row],[Rsonde]],2)-IF(data_DeDietrich_AF40[[#This Row],[Rsonde]]=MIN(data_DeDietrich_AF40[Rsonde]),100,$D13),ResValuesR24))</f>
        <v>20</v>
      </c>
      <c r="I14" s="9">
        <f ca="1">ROUND(data_DeDietrich_AF40[[#This Row],[RaddLow]]+(IF(data_DeDietrich_AF40[[#This Row],[Rsonde]]=MIN(data_DeDietrich_AF40[Rsonde]),0,$D13)-data_DeDietrich_AF40[[#This Row],[Rsonde]]),2)</f>
        <v>-1.1499999999999999</v>
      </c>
      <c r="J14" s="9" cm="1">
        <f t="array" aca="1" ref="J14" ca="1">MIN(IF(ResValuesR24&gt;=ROUND(data_DeDietrich_AF40[[#This Row],[Rsonde]],2)-IF(data_DeDietrich_AF40[[#This Row],[Rsonde]]=MIN(data_DeDietrich_AF40[Rsonde]),100,$D13),ResValuesR24))</f>
        <v>22</v>
      </c>
      <c r="K14" s="9">
        <f ca="1">ROUND(data_DeDietrich_AF40[[#This Row],[RaddHigh]]+(IF(data_DeDietrich_AF40[[#This Row],[Rsonde]]=MIN(data_DeDietrich_AF40[Rsonde]),0,$D13)-data_DeDietrich_AF40[[#This Row],[Rsonde]]),2)</f>
        <v>0.85</v>
      </c>
      <c r="L14" s="2" cm="1">
        <f t="array" aca="1" ref="L14" ca="1">IF(INDIRECT(RefCell_R77),(data_DeDietrich_AF40[[#This Row],[Rpcb]]*INDIRECT(RefCell_R77))/(data_DeDietrich_AF40[[#This Row],[Rpcb]]+INDIRECT(RefCell_R77)),data_DeDietrich_AF40[[#This Row],[Rpcb]])</f>
        <v>1672</v>
      </c>
      <c r="N14" s="3" t="s">
        <v>175</v>
      </c>
      <c r="O14">
        <f>1/(B3+273.15)</f>
        <v>3.8737168312996321E-3</v>
      </c>
    </row>
    <row r="15" spans="1:16" x14ac:dyDescent="0.25">
      <c r="A15" t="s">
        <v>29</v>
      </c>
      <c r="B15" s="8">
        <v>3</v>
      </c>
      <c r="C15" s="9">
        <f>data_DeDietrich_AF40[[#This Row],[θ]]*13.5+1650.9</f>
        <v>1691.4</v>
      </c>
      <c r="D15" s="9" cm="1">
        <f t="array" aca="1" ref="D15" ca="1">INDIRECT(RefCell_Rpot)+SUM($G$3:G15)</f>
        <v>1692</v>
      </c>
      <c r="E15" s="9">
        <f ca="1">data_DeDietrich_AF40[[#This Row],[Rpcb]]-data_DeDietrich_AF40[[#This Row],[Rsonde]]</f>
        <v>0.59999999999990905</v>
      </c>
      <c r="F15" s="4">
        <f ca="1">data_DeDietrich_AF40[[#This Row],[Diff R]]/data_DeDietrich_AF40[[#This Row],[Rsonde]]</f>
        <v>3.5473572188714025E-4</v>
      </c>
      <c r="G15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5" s="9" cm="1">
        <f t="array" aca="1" ref="H15" ca="1">MAX(IF(ResValuesR24&lt;=ROUND(data_DeDietrich_AF40[[#This Row],[Rsonde]],2)-IF(data_DeDietrich_AF40[[#This Row],[Rsonde]]=MIN(data_DeDietrich_AF40[Rsonde]),100,$D14),ResValuesR24))</f>
        <v>18</v>
      </c>
      <c r="I15" s="9">
        <f ca="1">ROUND(data_DeDietrich_AF40[[#This Row],[RaddLow]]+(IF(data_DeDietrich_AF40[[#This Row],[Rsonde]]=MIN(data_DeDietrich_AF40[Rsonde]),0,$D14)-data_DeDietrich_AF40[[#This Row],[Rsonde]]),2)</f>
        <v>-1.4</v>
      </c>
      <c r="J15" s="9" cm="1">
        <f t="array" aca="1" ref="J15" ca="1">MIN(IF(ResValuesR24&gt;=ROUND(data_DeDietrich_AF40[[#This Row],[Rsonde]],2)-IF(data_DeDietrich_AF40[[#This Row],[Rsonde]]=MIN(data_DeDietrich_AF40[Rsonde]),100,$D14),ResValuesR24))</f>
        <v>20</v>
      </c>
      <c r="K15" s="9">
        <f ca="1">ROUND(data_DeDietrich_AF40[[#This Row],[RaddHigh]]+(IF(data_DeDietrich_AF40[[#This Row],[Rsonde]]=MIN(data_DeDietrich_AF40[Rsonde]),0,$D14)-data_DeDietrich_AF40[[#This Row],[Rsonde]]),2)</f>
        <v>0.6</v>
      </c>
      <c r="L15" s="2" cm="1">
        <f t="array" aca="1" ref="L15" ca="1">IF(INDIRECT(RefCell_R77),(data_DeDietrich_AF40[[#This Row],[Rpcb]]*INDIRECT(RefCell_R77))/(data_DeDietrich_AF40[[#This Row],[Rpcb]]+INDIRECT(RefCell_R77)),data_DeDietrich_AF40[[#This Row],[Rpcb]])</f>
        <v>1692</v>
      </c>
      <c r="N15" s="3" t="s">
        <v>176</v>
      </c>
      <c r="O15">
        <f>1/(B17+273.15)</f>
        <v>3.5823034210997673E-3</v>
      </c>
    </row>
    <row r="16" spans="1:16" x14ac:dyDescent="0.25">
      <c r="A16" t="s">
        <v>30</v>
      </c>
      <c r="B16" s="8">
        <v>4.5</v>
      </c>
      <c r="C16" s="9">
        <f>data_DeDietrich_AF40[[#This Row],[θ]]*13.5+1650.9</f>
        <v>1711.65</v>
      </c>
      <c r="D16" s="9" cm="1">
        <f t="array" aca="1" ref="D16" ca="1">INDIRECT(RefCell_Rpot)+SUM($G$3:G16)</f>
        <v>1712</v>
      </c>
      <c r="E16" s="9">
        <f ca="1">data_DeDietrich_AF40[[#This Row],[Rpcb]]-data_DeDietrich_AF40[[#This Row],[Rsonde]]</f>
        <v>0.34999999999990905</v>
      </c>
      <c r="F16" s="4">
        <f ca="1">data_DeDietrich_AF40[[#This Row],[Diff R]]/data_DeDietrich_AF40[[#This Row],[Rsonde]]</f>
        <v>2.0448105629066048E-4</v>
      </c>
      <c r="G16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6" s="9" cm="1">
        <f t="array" aca="1" ref="H16" ca="1">MAX(IF(ResValuesR24&lt;=ROUND(data_DeDietrich_AF40[[#This Row],[Rsonde]],2)-IF(data_DeDietrich_AF40[[#This Row],[Rsonde]]=MIN(data_DeDietrich_AF40[Rsonde]),100,$D15),ResValuesR24))</f>
        <v>18</v>
      </c>
      <c r="I16" s="9">
        <f ca="1">ROUND(data_DeDietrich_AF40[[#This Row],[RaddLow]]+(IF(data_DeDietrich_AF40[[#This Row],[Rsonde]]=MIN(data_DeDietrich_AF40[Rsonde]),0,$D15)-data_DeDietrich_AF40[[#This Row],[Rsonde]]),2)</f>
        <v>-1.65</v>
      </c>
      <c r="J16" s="9" cm="1">
        <f t="array" aca="1" ref="J16" ca="1">MIN(IF(ResValuesR24&gt;=ROUND(data_DeDietrich_AF40[[#This Row],[Rsonde]],2)-IF(data_DeDietrich_AF40[[#This Row],[Rsonde]]=MIN(data_DeDietrich_AF40[Rsonde]),100,$D15),ResValuesR24))</f>
        <v>20</v>
      </c>
      <c r="K16" s="9">
        <f ca="1">ROUND(data_DeDietrich_AF40[[#This Row],[RaddHigh]]+(IF(data_DeDietrich_AF40[[#This Row],[Rsonde]]=MIN(data_DeDietrich_AF40[Rsonde]),0,$D15)-data_DeDietrich_AF40[[#This Row],[Rsonde]]),2)</f>
        <v>0.35</v>
      </c>
      <c r="L16" s="2" cm="1">
        <f t="array" aca="1" ref="L16" ca="1">IF(INDIRECT(RefCell_R77),(data_DeDietrich_AF40[[#This Row],[Rpcb]]*INDIRECT(RefCell_R77))/(data_DeDietrich_AF40[[#This Row],[Rpcb]]+INDIRECT(RefCell_R77)),data_DeDietrich_AF40[[#This Row],[Rpcb]])</f>
        <v>1712</v>
      </c>
      <c r="N16" s="3" t="s">
        <v>177</v>
      </c>
      <c r="O16">
        <f>1/(B31+273.15)</f>
        <v>3.331667499583542E-3</v>
      </c>
    </row>
    <row r="17" spans="1:17" x14ac:dyDescent="0.25">
      <c r="A17" t="s">
        <v>31</v>
      </c>
      <c r="B17" s="8">
        <v>6</v>
      </c>
      <c r="C17" s="9">
        <f>data_DeDietrich_AF40[[#This Row],[θ]]*13.5+1650.9</f>
        <v>1731.9</v>
      </c>
      <c r="D17" s="9" cm="1">
        <f t="array" aca="1" ref="D17" ca="1">INDIRECT(RefCell_Rpot)+SUM($G$3:G17)</f>
        <v>1732</v>
      </c>
      <c r="E17" s="9">
        <f ca="1">data_DeDietrich_AF40[[#This Row],[Rpcb]]-data_DeDietrich_AF40[[#This Row],[Rsonde]]</f>
        <v>9.9999999999909051E-2</v>
      </c>
      <c r="F17" s="4">
        <f ca="1">data_DeDietrich_AF40[[#This Row],[Diff R]]/data_DeDietrich_AF40[[#This Row],[Rsonde]]</f>
        <v>5.7740054275598501E-5</v>
      </c>
      <c r="G17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7" s="9" cm="1">
        <f t="array" aca="1" ref="H17" ca="1">MAX(IF(ResValuesR24&lt;=ROUND(data_DeDietrich_AF40[[#This Row],[Rsonde]],2)-IF(data_DeDietrich_AF40[[#This Row],[Rsonde]]=MIN(data_DeDietrich_AF40[Rsonde]),100,$D16),ResValuesR24))</f>
        <v>18</v>
      </c>
      <c r="I17" s="9">
        <f ca="1">ROUND(data_DeDietrich_AF40[[#This Row],[RaddLow]]+(IF(data_DeDietrich_AF40[[#This Row],[Rsonde]]=MIN(data_DeDietrich_AF40[Rsonde]),0,$D16)-data_DeDietrich_AF40[[#This Row],[Rsonde]]),2)</f>
        <v>-1.9</v>
      </c>
      <c r="J17" s="9" cm="1">
        <f t="array" aca="1" ref="J17" ca="1">MIN(IF(ResValuesR24&gt;=ROUND(data_DeDietrich_AF40[[#This Row],[Rsonde]],2)-IF(data_DeDietrich_AF40[[#This Row],[Rsonde]]=MIN(data_DeDietrich_AF40[Rsonde]),100,$D16),ResValuesR24))</f>
        <v>20</v>
      </c>
      <c r="K17" s="9">
        <f ca="1">ROUND(data_DeDietrich_AF40[[#This Row],[RaddHigh]]+(IF(data_DeDietrich_AF40[[#This Row],[Rsonde]]=MIN(data_DeDietrich_AF40[Rsonde]),0,$D16)-data_DeDietrich_AF40[[#This Row],[Rsonde]]),2)</f>
        <v>0.1</v>
      </c>
      <c r="L17" s="2" cm="1">
        <f t="array" aca="1" ref="L17" ca="1">IF(INDIRECT(RefCell_R77),(data_DeDietrich_AF40[[#This Row],[Rpcb]]*INDIRECT(RefCell_R77))/(data_DeDietrich_AF40[[#This Row],[Rpcb]]+INDIRECT(RefCell_R77)),data_DeDietrich_AF40[[#This Row],[Rpcb]])</f>
        <v>1732</v>
      </c>
    </row>
    <row r="18" spans="1:17" x14ac:dyDescent="0.25">
      <c r="A18" t="s">
        <v>32</v>
      </c>
      <c r="B18" s="8">
        <v>7.5</v>
      </c>
      <c r="C18" s="9">
        <f>data_DeDietrich_AF40[[#This Row],[θ]]*13.5+1650.9</f>
        <v>1752.15</v>
      </c>
      <c r="D18" s="9" cm="1">
        <f t="array" aca="1" ref="D18" ca="1">INDIRECT(RefCell_Rpot)+SUM($G$3:G18)</f>
        <v>1752</v>
      </c>
      <c r="E18" s="9">
        <f ca="1">data_DeDietrich_AF40[[#This Row],[Rpcb]]-data_DeDietrich_AF40[[#This Row],[Rsonde]]</f>
        <v>-0.15000000000009095</v>
      </c>
      <c r="F18" s="4">
        <f ca="1">data_DeDietrich_AF40[[#This Row],[Diff R]]/data_DeDietrich_AF40[[#This Row],[Rsonde]]</f>
        <v>-8.5609108809229205E-5</v>
      </c>
      <c r="G18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8" s="9" cm="1">
        <f t="array" aca="1" ref="H18" ca="1">MAX(IF(ResValuesR24&lt;=ROUND(data_DeDietrich_AF40[[#This Row],[Rsonde]],2)-IF(data_DeDietrich_AF40[[#This Row],[Rsonde]]=MIN(data_DeDietrich_AF40[Rsonde]),100,$D17),ResValuesR24))</f>
        <v>20</v>
      </c>
      <c r="I18" s="9">
        <f ca="1">ROUND(data_DeDietrich_AF40[[#This Row],[RaddLow]]+(IF(data_DeDietrich_AF40[[#This Row],[Rsonde]]=MIN(data_DeDietrich_AF40[Rsonde]),0,$D17)-data_DeDietrich_AF40[[#This Row],[Rsonde]]),2)</f>
        <v>-0.15</v>
      </c>
      <c r="J18" s="9" cm="1">
        <f t="array" aca="1" ref="J18" ca="1">MIN(IF(ResValuesR24&gt;=ROUND(data_DeDietrich_AF40[[#This Row],[Rsonde]],2)-IF(data_DeDietrich_AF40[[#This Row],[Rsonde]]=MIN(data_DeDietrich_AF40[Rsonde]),100,$D17),ResValuesR24))</f>
        <v>22</v>
      </c>
      <c r="K18" s="9">
        <f ca="1">ROUND(data_DeDietrich_AF40[[#This Row],[RaddHigh]]+(IF(data_DeDietrich_AF40[[#This Row],[Rsonde]]=MIN(data_DeDietrich_AF40[Rsonde]),0,$D17)-data_DeDietrich_AF40[[#This Row],[Rsonde]]),2)</f>
        <v>1.85</v>
      </c>
      <c r="L18" s="2" cm="1">
        <f t="array" aca="1" ref="L18" ca="1">IF(INDIRECT(RefCell_R77),(data_DeDietrich_AF40[[#This Row],[Rpcb]]*INDIRECT(RefCell_R77))/(data_DeDietrich_AF40[[#This Row],[Rpcb]]+INDIRECT(RefCell_R77)),data_DeDietrich_AF40[[#This Row],[Rpcb]])</f>
        <v>1752</v>
      </c>
    </row>
    <row r="19" spans="1:17" x14ac:dyDescent="0.25">
      <c r="A19" t="s">
        <v>33</v>
      </c>
      <c r="B19" s="8">
        <v>9</v>
      </c>
      <c r="C19" s="9">
        <f>data_DeDietrich_AF40[[#This Row],[θ]]*13.5+1650.9</f>
        <v>1772.4</v>
      </c>
      <c r="D19" s="9" cm="1">
        <f t="array" aca="1" ref="D19" ca="1">INDIRECT(RefCell_Rpot)+SUM($G$3:G19)</f>
        <v>1772</v>
      </c>
      <c r="E19" s="9">
        <f ca="1">data_DeDietrich_AF40[[#This Row],[Rpcb]]-data_DeDietrich_AF40[[#This Row],[Rsonde]]</f>
        <v>-0.40000000000009095</v>
      </c>
      <c r="F19" s="4">
        <f ca="1">data_DeDietrich_AF40[[#This Row],[Diff R]]/data_DeDietrich_AF40[[#This Row],[Rsonde]]</f>
        <v>-2.2568269013771775E-4</v>
      </c>
      <c r="G19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9" s="9" cm="1">
        <f t="array" aca="1" ref="H19" ca="1">MAX(IF(ResValuesR24&lt;=ROUND(data_DeDietrich_AF40[[#This Row],[Rsonde]],2)-IF(data_DeDietrich_AF40[[#This Row],[Rsonde]]=MIN(data_DeDietrich_AF40[Rsonde]),100,$D18),ResValuesR24))</f>
        <v>20</v>
      </c>
      <c r="I19" s="9">
        <f ca="1">ROUND(data_DeDietrich_AF40[[#This Row],[RaddLow]]+(IF(data_DeDietrich_AF40[[#This Row],[Rsonde]]=MIN(data_DeDietrich_AF40[Rsonde]),0,$D18)-data_DeDietrich_AF40[[#This Row],[Rsonde]]),2)</f>
        <v>-0.4</v>
      </c>
      <c r="J19" s="9" cm="1">
        <f t="array" aca="1" ref="J19" ca="1">MIN(IF(ResValuesR24&gt;=ROUND(data_DeDietrich_AF40[[#This Row],[Rsonde]],2)-IF(data_DeDietrich_AF40[[#This Row],[Rsonde]]=MIN(data_DeDietrich_AF40[Rsonde]),100,$D18),ResValuesR24))</f>
        <v>22</v>
      </c>
      <c r="K19" s="9">
        <f ca="1">ROUND(data_DeDietrich_AF40[[#This Row],[RaddHigh]]+(IF(data_DeDietrich_AF40[[#This Row],[Rsonde]]=MIN(data_DeDietrich_AF40[Rsonde]),0,$D18)-data_DeDietrich_AF40[[#This Row],[Rsonde]]),2)</f>
        <v>1.6</v>
      </c>
      <c r="L19" s="2" cm="1">
        <f t="array" aca="1" ref="L19" ca="1">IF(INDIRECT(RefCell_R77),(data_DeDietrich_AF40[[#This Row],[Rpcb]]*INDIRECT(RefCell_R77))/(data_DeDietrich_AF40[[#This Row],[Rpcb]]+INDIRECT(RefCell_R77)),data_DeDietrich_AF40[[#This Row],[Rpcb]])</f>
        <v>1772</v>
      </c>
    </row>
    <row r="20" spans="1:17" x14ac:dyDescent="0.25">
      <c r="A20" t="s">
        <v>34</v>
      </c>
      <c r="B20" s="8">
        <v>10.5</v>
      </c>
      <c r="C20" s="9">
        <f>data_DeDietrich_AF40[[#This Row],[θ]]*13.5+1650.9</f>
        <v>1792.65</v>
      </c>
      <c r="D20" s="9" cm="1">
        <f t="array" aca="1" ref="D20" ca="1">INDIRECT(RefCell_Rpot)+SUM($G$3:G20)</f>
        <v>1792</v>
      </c>
      <c r="E20" s="9">
        <f ca="1">data_DeDietrich_AF40[[#This Row],[Rpcb]]-data_DeDietrich_AF40[[#This Row],[Rsonde]]</f>
        <v>-0.65000000000009095</v>
      </c>
      <c r="F20" s="4">
        <f ca="1">data_DeDietrich_AF40[[#This Row],[Diff R]]/data_DeDietrich_AF40[[#This Row],[Rsonde]]</f>
        <v>-3.6259169386109445E-4</v>
      </c>
      <c r="G20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0" s="9" cm="1">
        <f t="array" aca="1" ref="H20" ca="1">MAX(IF(ResValuesR24&lt;=ROUND(data_DeDietrich_AF40[[#This Row],[Rsonde]],2)-IF(data_DeDietrich_AF40[[#This Row],[Rsonde]]=MIN(data_DeDietrich_AF40[Rsonde]),100,$D19),ResValuesR24))</f>
        <v>20</v>
      </c>
      <c r="I20" s="9">
        <f ca="1">ROUND(data_DeDietrich_AF40[[#This Row],[RaddLow]]+(IF(data_DeDietrich_AF40[[#This Row],[Rsonde]]=MIN(data_DeDietrich_AF40[Rsonde]),0,$D19)-data_DeDietrich_AF40[[#This Row],[Rsonde]]),2)</f>
        <v>-0.65</v>
      </c>
      <c r="J20" s="9" cm="1">
        <f t="array" aca="1" ref="J20" ca="1">MIN(IF(ResValuesR24&gt;=ROUND(data_DeDietrich_AF40[[#This Row],[Rsonde]],2)-IF(data_DeDietrich_AF40[[#This Row],[Rsonde]]=MIN(data_DeDietrich_AF40[Rsonde]),100,$D19),ResValuesR24))</f>
        <v>22</v>
      </c>
      <c r="K20" s="9">
        <f ca="1">ROUND(data_DeDietrich_AF40[[#This Row],[RaddHigh]]+(IF(data_DeDietrich_AF40[[#This Row],[Rsonde]]=MIN(data_DeDietrich_AF40[Rsonde]),0,$D19)-data_DeDietrich_AF40[[#This Row],[Rsonde]]),2)</f>
        <v>1.35</v>
      </c>
      <c r="L20" s="2" cm="1">
        <f t="array" aca="1" ref="L20" ca="1">IF(INDIRECT(RefCell_R77),(data_DeDietrich_AF40[[#This Row],[Rpcb]]*INDIRECT(RefCell_R77))/(data_DeDietrich_AF40[[#This Row],[Rpcb]]+INDIRECT(RefCell_R77)),data_DeDietrich_AF40[[#This Row],[Rpcb]])</f>
        <v>1792</v>
      </c>
      <c r="N20" t="s">
        <v>183</v>
      </c>
      <c r="O20" t="s">
        <v>184</v>
      </c>
      <c r="P20" t="s">
        <v>181</v>
      </c>
      <c r="Q20" t="s">
        <v>182</v>
      </c>
    </row>
    <row r="21" spans="1:17" x14ac:dyDescent="0.25">
      <c r="A21" t="s">
        <v>35</v>
      </c>
      <c r="B21" s="8">
        <v>12</v>
      </c>
      <c r="C21" s="9">
        <f>data_DeDietrich_AF40[[#This Row],[θ]]*13.5+1650.9</f>
        <v>1812.9</v>
      </c>
      <c r="D21" s="9" cm="1">
        <f t="array" aca="1" ref="D21" ca="1">INDIRECT(RefCell_Rpot)+SUM($G$3:G21)</f>
        <v>1812</v>
      </c>
      <c r="E21" s="9">
        <f ca="1">data_DeDietrich_AF40[[#This Row],[Rpcb]]-data_DeDietrich_AF40[[#This Row],[Rsonde]]</f>
        <v>-0.90000000000009095</v>
      </c>
      <c r="F21" s="4">
        <f ca="1">data_DeDietrich_AF40[[#This Row],[Diff R]]/data_DeDietrich_AF40[[#This Row],[Rsonde]]</f>
        <v>-4.9644216448788733E-4</v>
      </c>
      <c r="G21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1" s="9" cm="1">
        <f t="array" aca="1" ref="H21" ca="1">MAX(IF(ResValuesR24&lt;=ROUND(data_DeDietrich_AF40[[#This Row],[Rsonde]],2)-IF(data_DeDietrich_AF40[[#This Row],[Rsonde]]=MIN(data_DeDietrich_AF40[Rsonde]),100,$D20),ResValuesR24))</f>
        <v>20</v>
      </c>
      <c r="I21" s="9">
        <f ca="1">ROUND(data_DeDietrich_AF40[[#This Row],[RaddLow]]+(IF(data_DeDietrich_AF40[[#This Row],[Rsonde]]=MIN(data_DeDietrich_AF40[Rsonde]),0,$D20)-data_DeDietrich_AF40[[#This Row],[Rsonde]]),2)</f>
        <v>-0.9</v>
      </c>
      <c r="J21" s="9" cm="1">
        <f t="array" aca="1" ref="J21" ca="1">MIN(IF(ResValuesR24&gt;=ROUND(data_DeDietrich_AF40[[#This Row],[Rsonde]],2)-IF(data_DeDietrich_AF40[[#This Row],[Rsonde]]=MIN(data_DeDietrich_AF40[Rsonde]),100,$D20),ResValuesR24))</f>
        <v>22</v>
      </c>
      <c r="K21" s="9">
        <f ca="1">ROUND(data_DeDietrich_AF40[[#This Row],[RaddHigh]]+(IF(data_DeDietrich_AF40[[#This Row],[Rsonde]]=MIN(data_DeDietrich_AF40[Rsonde]),0,$D20)-data_DeDietrich_AF40[[#This Row],[Rsonde]]),2)</f>
        <v>1.1000000000000001</v>
      </c>
      <c r="L21" s="2" cm="1">
        <f t="array" aca="1" ref="L21" ca="1">IF(INDIRECT(RefCell_R77),(data_DeDietrich_AF40[[#This Row],[Rpcb]]*INDIRECT(RefCell_R77))/(data_DeDietrich_AF40[[#This Row],[Rpcb]]+INDIRECT(RefCell_R77)),data_DeDietrich_AF40[[#This Row],[Rpcb]])</f>
        <v>1812</v>
      </c>
      <c r="N21">
        <v>-20</v>
      </c>
      <c r="O21">
        <v>1388</v>
      </c>
      <c r="P21" cm="1">
        <f t="array" ref="P21:Q21">LINEST(O21:O29,N21:N29,TRUE,FALSE)</f>
        <v>13.500000000000004</v>
      </c>
      <c r="Q21">
        <v>1650.8888888888889</v>
      </c>
    </row>
    <row r="22" spans="1:17" x14ac:dyDescent="0.25">
      <c r="A22" t="s">
        <v>36</v>
      </c>
      <c r="B22" s="8">
        <v>13.5</v>
      </c>
      <c r="C22" s="9">
        <f>data_DeDietrich_AF40[[#This Row],[θ]]*13.5+1650.9</f>
        <v>1833.15</v>
      </c>
      <c r="D22" s="9" cm="1">
        <f t="array" aca="1" ref="D22" ca="1">INDIRECT(RefCell_Rpot)+SUM($G$3:G22)</f>
        <v>1834</v>
      </c>
      <c r="E22" s="9">
        <f ca="1">data_DeDietrich_AF40[[#This Row],[Rpcb]]-data_DeDietrich_AF40[[#This Row],[Rsonde]]</f>
        <v>0.84999999999990905</v>
      </c>
      <c r="F22" s="4">
        <f ca="1">data_DeDietrich_AF40[[#This Row],[Diff R]]/data_DeDietrich_AF40[[#This Row],[Rsonde]]</f>
        <v>4.6368273190950494E-4</v>
      </c>
      <c r="G22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22</v>
      </c>
      <c r="H22" s="9" cm="1">
        <f t="array" aca="1" ref="H22" ca="1">MAX(IF(ResValuesR24&lt;=ROUND(data_DeDietrich_AF40[[#This Row],[Rsonde]],2)-IF(data_DeDietrich_AF40[[#This Row],[Rsonde]]=MIN(data_DeDietrich_AF40[Rsonde]),100,$D21),ResValuesR24))</f>
        <v>20</v>
      </c>
      <c r="I22" s="9">
        <f ca="1">ROUND(data_DeDietrich_AF40[[#This Row],[RaddLow]]+(IF(data_DeDietrich_AF40[[#This Row],[Rsonde]]=MIN(data_DeDietrich_AF40[Rsonde]),0,$D21)-data_DeDietrich_AF40[[#This Row],[Rsonde]]),2)</f>
        <v>-1.1499999999999999</v>
      </c>
      <c r="J22" s="9" cm="1">
        <f t="array" aca="1" ref="J22" ca="1">MIN(IF(ResValuesR24&gt;=ROUND(data_DeDietrich_AF40[[#This Row],[Rsonde]],2)-IF(data_DeDietrich_AF40[[#This Row],[Rsonde]]=MIN(data_DeDietrich_AF40[Rsonde]),100,$D21),ResValuesR24))</f>
        <v>22</v>
      </c>
      <c r="K22" s="9">
        <f ca="1">ROUND(data_DeDietrich_AF40[[#This Row],[RaddHigh]]+(IF(data_DeDietrich_AF40[[#This Row],[Rsonde]]=MIN(data_DeDietrich_AF40[Rsonde]),0,$D21)-data_DeDietrich_AF40[[#This Row],[Rsonde]]),2)</f>
        <v>0.85</v>
      </c>
      <c r="L22" s="2" cm="1">
        <f t="array" aca="1" ref="L22" ca="1">IF(INDIRECT(RefCell_R77),(data_DeDietrich_AF40[[#This Row],[Rpcb]]*INDIRECT(RefCell_R77))/(data_DeDietrich_AF40[[#This Row],[Rpcb]]+INDIRECT(RefCell_R77)),data_DeDietrich_AF40[[#This Row],[Rpcb]])</f>
        <v>1834</v>
      </c>
      <c r="N22">
        <v>-15</v>
      </c>
      <c r="O22">
        <v>1450</v>
      </c>
    </row>
    <row r="23" spans="1:17" x14ac:dyDescent="0.25">
      <c r="A23" t="s">
        <v>37</v>
      </c>
      <c r="B23" s="8">
        <v>15</v>
      </c>
      <c r="C23" s="9">
        <f>data_DeDietrich_AF40[[#This Row],[θ]]*13.5+1650.9</f>
        <v>1853.4</v>
      </c>
      <c r="D23" s="9" cm="1">
        <f t="array" aca="1" ref="D23" ca="1">INDIRECT(RefCell_Rpot)+SUM($G$3:G23)</f>
        <v>1854</v>
      </c>
      <c r="E23" s="9">
        <f ca="1">data_DeDietrich_AF40[[#This Row],[Rpcb]]-data_DeDietrich_AF40[[#This Row],[Rsonde]]</f>
        <v>0.59999999999990905</v>
      </c>
      <c r="F23" s="4">
        <f ca="1">data_DeDietrich_AF40[[#This Row],[Diff R]]/data_DeDietrich_AF40[[#This Row],[Rsonde]]</f>
        <v>3.2372936225310726E-4</v>
      </c>
      <c r="G23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3" s="9" cm="1">
        <f t="array" aca="1" ref="H23" ca="1">MAX(IF(ResValuesR24&lt;=ROUND(data_DeDietrich_AF40[[#This Row],[Rsonde]],2)-IF(data_DeDietrich_AF40[[#This Row],[Rsonde]]=MIN(data_DeDietrich_AF40[Rsonde]),100,$D22),ResValuesR24))</f>
        <v>18</v>
      </c>
      <c r="I23" s="9">
        <f ca="1">ROUND(data_DeDietrich_AF40[[#This Row],[RaddLow]]+(IF(data_DeDietrich_AF40[[#This Row],[Rsonde]]=MIN(data_DeDietrich_AF40[Rsonde]),0,$D22)-data_DeDietrich_AF40[[#This Row],[Rsonde]]),2)</f>
        <v>-1.4</v>
      </c>
      <c r="J23" s="9" cm="1">
        <f t="array" aca="1" ref="J23" ca="1">MIN(IF(ResValuesR24&gt;=ROUND(data_DeDietrich_AF40[[#This Row],[Rsonde]],2)-IF(data_DeDietrich_AF40[[#This Row],[Rsonde]]=MIN(data_DeDietrich_AF40[Rsonde]),100,$D22),ResValuesR24))</f>
        <v>20</v>
      </c>
      <c r="K23" s="9">
        <f ca="1">ROUND(data_DeDietrich_AF40[[#This Row],[RaddHigh]]+(IF(data_DeDietrich_AF40[[#This Row],[Rsonde]]=MIN(data_DeDietrich_AF40[Rsonde]),0,$D22)-data_DeDietrich_AF40[[#This Row],[Rsonde]]),2)</f>
        <v>0.6</v>
      </c>
      <c r="L23" s="2" cm="1">
        <f t="array" aca="1" ref="L23" ca="1">IF(INDIRECT(RefCell_R77),(data_DeDietrich_AF40[[#This Row],[Rpcb]]*INDIRECT(RefCell_R77))/(data_DeDietrich_AF40[[#This Row],[Rpcb]]+INDIRECT(RefCell_R77)),data_DeDietrich_AF40[[#This Row],[Rpcb]])</f>
        <v>1854</v>
      </c>
      <c r="N23">
        <v>-10</v>
      </c>
      <c r="O23">
        <v>1514</v>
      </c>
    </row>
    <row r="24" spans="1:17" x14ac:dyDescent="0.25">
      <c r="A24" t="s">
        <v>38</v>
      </c>
      <c r="B24" s="8">
        <v>16.5</v>
      </c>
      <c r="C24" s="9">
        <f>data_DeDietrich_AF40[[#This Row],[θ]]*13.5+1650.9</f>
        <v>1873.65</v>
      </c>
      <c r="D24" s="9" cm="1">
        <f t="array" aca="1" ref="D24" ca="1">INDIRECT(RefCell_Rpot)+SUM($G$3:G24)</f>
        <v>1874</v>
      </c>
      <c r="E24" s="9">
        <f ca="1">data_DeDietrich_AF40[[#This Row],[Rpcb]]-data_DeDietrich_AF40[[#This Row],[Rsonde]]</f>
        <v>0.34999999999990905</v>
      </c>
      <c r="F24" s="4">
        <f ca="1">data_DeDietrich_AF40[[#This Row],[Diff R]]/data_DeDietrich_AF40[[#This Row],[Rsonde]]</f>
        <v>1.8680116350434128E-4</v>
      </c>
      <c r="G24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4" s="9" cm="1">
        <f t="array" aca="1" ref="H24" ca="1">MAX(IF(ResValuesR24&lt;=ROUND(data_DeDietrich_AF40[[#This Row],[Rsonde]],2)-IF(data_DeDietrich_AF40[[#This Row],[Rsonde]]=MIN(data_DeDietrich_AF40[Rsonde]),100,$D23),ResValuesR24))</f>
        <v>18</v>
      </c>
      <c r="I24" s="9">
        <f ca="1">ROUND(data_DeDietrich_AF40[[#This Row],[RaddLow]]+(IF(data_DeDietrich_AF40[[#This Row],[Rsonde]]=MIN(data_DeDietrich_AF40[Rsonde]),0,$D23)-data_DeDietrich_AF40[[#This Row],[Rsonde]]),2)</f>
        <v>-1.65</v>
      </c>
      <c r="J24" s="9" cm="1">
        <f t="array" aca="1" ref="J24" ca="1">MIN(IF(ResValuesR24&gt;=ROUND(data_DeDietrich_AF40[[#This Row],[Rsonde]],2)-IF(data_DeDietrich_AF40[[#This Row],[Rsonde]]=MIN(data_DeDietrich_AF40[Rsonde]),100,$D23),ResValuesR24))</f>
        <v>20</v>
      </c>
      <c r="K24" s="9">
        <f ca="1">ROUND(data_DeDietrich_AF40[[#This Row],[RaddHigh]]+(IF(data_DeDietrich_AF40[[#This Row],[Rsonde]]=MIN(data_DeDietrich_AF40[Rsonde]),0,$D23)-data_DeDietrich_AF40[[#This Row],[Rsonde]]),2)</f>
        <v>0.35</v>
      </c>
      <c r="L24" s="2" cm="1">
        <f t="array" aca="1" ref="L24" ca="1">IF(INDIRECT(RefCell_R77),(data_DeDietrich_AF40[[#This Row],[Rpcb]]*INDIRECT(RefCell_R77))/(data_DeDietrich_AF40[[#This Row],[Rpcb]]+INDIRECT(RefCell_R77)),data_DeDietrich_AF40[[#This Row],[Rpcb]])</f>
        <v>1874</v>
      </c>
      <c r="N24">
        <v>-5</v>
      </c>
      <c r="O24">
        <v>1579</v>
      </c>
    </row>
    <row r="25" spans="1:17" x14ac:dyDescent="0.25">
      <c r="A25" t="s">
        <v>39</v>
      </c>
      <c r="B25" s="8">
        <v>18</v>
      </c>
      <c r="C25" s="9">
        <f>data_DeDietrich_AF40[[#This Row],[θ]]*13.5+1650.9</f>
        <v>1893.9</v>
      </c>
      <c r="D25" s="9" cm="1">
        <f t="array" aca="1" ref="D25" ca="1">INDIRECT(RefCell_Rpot)+SUM($G$3:G25)</f>
        <v>1894</v>
      </c>
      <c r="E25" s="9">
        <f ca="1">data_DeDietrich_AF40[[#This Row],[Rpcb]]-data_DeDietrich_AF40[[#This Row],[Rsonde]]</f>
        <v>9.9999999999909051E-2</v>
      </c>
      <c r="F25" s="4">
        <f ca="1">data_DeDietrich_AF40[[#This Row],[Diff R]]/data_DeDietrich_AF40[[#This Row],[Rsonde]]</f>
        <v>5.2801098262795841E-5</v>
      </c>
      <c r="G25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5" s="9" cm="1">
        <f t="array" aca="1" ref="H25" ca="1">MAX(IF(ResValuesR24&lt;=ROUND(data_DeDietrich_AF40[[#This Row],[Rsonde]],2)-IF(data_DeDietrich_AF40[[#This Row],[Rsonde]]=MIN(data_DeDietrich_AF40[Rsonde]),100,$D24),ResValuesR24))</f>
        <v>18</v>
      </c>
      <c r="I25" s="9">
        <f ca="1">ROUND(data_DeDietrich_AF40[[#This Row],[RaddLow]]+(IF(data_DeDietrich_AF40[[#This Row],[Rsonde]]=MIN(data_DeDietrich_AF40[Rsonde]),0,$D24)-data_DeDietrich_AF40[[#This Row],[Rsonde]]),2)</f>
        <v>-1.9</v>
      </c>
      <c r="J25" s="9" cm="1">
        <f t="array" aca="1" ref="J25" ca="1">MIN(IF(ResValuesR24&gt;=ROUND(data_DeDietrich_AF40[[#This Row],[Rsonde]],2)-IF(data_DeDietrich_AF40[[#This Row],[Rsonde]]=MIN(data_DeDietrich_AF40[Rsonde]),100,$D24),ResValuesR24))</f>
        <v>20</v>
      </c>
      <c r="K25" s="9">
        <f ca="1">ROUND(data_DeDietrich_AF40[[#This Row],[RaddHigh]]+(IF(data_DeDietrich_AF40[[#This Row],[Rsonde]]=MIN(data_DeDietrich_AF40[Rsonde]),0,$D24)-data_DeDietrich_AF40[[#This Row],[Rsonde]]),2)</f>
        <v>0.1</v>
      </c>
      <c r="L25" s="2" cm="1">
        <f t="array" aca="1" ref="L25" ca="1">IF(INDIRECT(RefCell_R77),(data_DeDietrich_AF40[[#This Row],[Rpcb]]*INDIRECT(RefCell_R77))/(data_DeDietrich_AF40[[#This Row],[Rpcb]]+INDIRECT(RefCell_R77)),data_DeDietrich_AF40[[#This Row],[Rpcb]])</f>
        <v>1894</v>
      </c>
      <c r="N25">
        <v>0</v>
      </c>
      <c r="O25">
        <v>1646</v>
      </c>
    </row>
    <row r="26" spans="1:17" x14ac:dyDescent="0.25">
      <c r="A26" t="s">
        <v>40</v>
      </c>
      <c r="B26" s="8">
        <v>19.5</v>
      </c>
      <c r="C26" s="9">
        <f>data_DeDietrich_AF40[[#This Row],[θ]]*13.5+1650.9</f>
        <v>1914.15</v>
      </c>
      <c r="D26" s="9" cm="1">
        <f t="array" aca="1" ref="D26" ca="1">INDIRECT(RefCell_Rpot)+SUM($G$3:G26)</f>
        <v>1914</v>
      </c>
      <c r="E26" s="9">
        <f ca="1">data_DeDietrich_AF40[[#This Row],[Rpcb]]-data_DeDietrich_AF40[[#This Row],[Rsonde]]</f>
        <v>-0.15000000000009095</v>
      </c>
      <c r="F26" s="4">
        <f ca="1">data_DeDietrich_AF40[[#This Row],[Diff R]]/data_DeDietrich_AF40[[#This Row],[Rsonde]]</f>
        <v>-7.8363764595298663E-5</v>
      </c>
      <c r="G26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6" s="9" cm="1">
        <f t="array" aca="1" ref="H26" ca="1">MAX(IF(ResValuesR24&lt;=ROUND(data_DeDietrich_AF40[[#This Row],[Rsonde]],2)-IF(data_DeDietrich_AF40[[#This Row],[Rsonde]]=MIN(data_DeDietrich_AF40[Rsonde]),100,$D25),ResValuesR24))</f>
        <v>20</v>
      </c>
      <c r="I26" s="9">
        <f ca="1">ROUND(data_DeDietrich_AF40[[#This Row],[RaddLow]]+(IF(data_DeDietrich_AF40[[#This Row],[Rsonde]]=MIN(data_DeDietrich_AF40[Rsonde]),0,$D25)-data_DeDietrich_AF40[[#This Row],[Rsonde]]),2)</f>
        <v>-0.15</v>
      </c>
      <c r="J26" s="9" cm="1">
        <f t="array" aca="1" ref="J26" ca="1">MIN(IF(ResValuesR24&gt;=ROUND(data_DeDietrich_AF40[[#This Row],[Rsonde]],2)-IF(data_DeDietrich_AF40[[#This Row],[Rsonde]]=MIN(data_DeDietrich_AF40[Rsonde]),100,$D25),ResValuesR24))</f>
        <v>22</v>
      </c>
      <c r="K26" s="9">
        <f ca="1">ROUND(data_DeDietrich_AF40[[#This Row],[RaddHigh]]+(IF(data_DeDietrich_AF40[[#This Row],[Rsonde]]=MIN(data_DeDietrich_AF40[Rsonde]),0,$D25)-data_DeDietrich_AF40[[#This Row],[Rsonde]]),2)</f>
        <v>1.85</v>
      </c>
      <c r="L26" s="2" cm="1">
        <f t="array" aca="1" ref="L26" ca="1">IF(INDIRECT(RefCell_R77),(data_DeDietrich_AF40[[#This Row],[Rpcb]]*INDIRECT(RefCell_R77))/(data_DeDietrich_AF40[[#This Row],[Rpcb]]+INDIRECT(RefCell_R77)),data_DeDietrich_AF40[[#This Row],[Rpcb]])</f>
        <v>1914</v>
      </c>
      <c r="N26">
        <v>5</v>
      </c>
      <c r="O26">
        <v>1714</v>
      </c>
    </row>
    <row r="27" spans="1:17" x14ac:dyDescent="0.25">
      <c r="A27" t="s">
        <v>41</v>
      </c>
      <c r="B27" s="8">
        <v>21</v>
      </c>
      <c r="C27" s="9">
        <f>data_DeDietrich_AF40[[#This Row],[θ]]*13.5+1650.9</f>
        <v>1934.4</v>
      </c>
      <c r="D27" s="9" cm="1">
        <f t="array" aca="1" ref="D27" ca="1">INDIRECT(RefCell_Rpot)+SUM($G$3:G27)</f>
        <v>1934</v>
      </c>
      <c r="E27" s="9">
        <f ca="1">data_DeDietrich_AF40[[#This Row],[Rpcb]]-data_DeDietrich_AF40[[#This Row],[Rsonde]]</f>
        <v>-0.40000000000009095</v>
      </c>
      <c r="F27" s="4">
        <f ca="1">data_DeDietrich_AF40[[#This Row],[Diff R]]/data_DeDietrich_AF40[[#This Row],[Rsonde]]</f>
        <v>-2.0678246484702798E-4</v>
      </c>
      <c r="G27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7" s="9" cm="1">
        <f t="array" aca="1" ref="H27" ca="1">MAX(IF(ResValuesR24&lt;=ROUND(data_DeDietrich_AF40[[#This Row],[Rsonde]],2)-IF(data_DeDietrich_AF40[[#This Row],[Rsonde]]=MIN(data_DeDietrich_AF40[Rsonde]),100,$D26),ResValuesR24))</f>
        <v>20</v>
      </c>
      <c r="I27" s="9">
        <f ca="1">ROUND(data_DeDietrich_AF40[[#This Row],[RaddLow]]+(IF(data_DeDietrich_AF40[[#This Row],[Rsonde]]=MIN(data_DeDietrich_AF40[Rsonde]),0,$D26)-data_DeDietrich_AF40[[#This Row],[Rsonde]]),2)</f>
        <v>-0.4</v>
      </c>
      <c r="J27" s="9" cm="1">
        <f t="array" aca="1" ref="J27" ca="1">MIN(IF(ResValuesR24&gt;=ROUND(data_DeDietrich_AF40[[#This Row],[Rsonde]],2)-IF(data_DeDietrich_AF40[[#This Row],[Rsonde]]=MIN(data_DeDietrich_AF40[Rsonde]),100,$D26),ResValuesR24))</f>
        <v>22</v>
      </c>
      <c r="K27" s="9">
        <f ca="1">ROUND(data_DeDietrich_AF40[[#This Row],[RaddHigh]]+(IF(data_DeDietrich_AF40[[#This Row],[Rsonde]]=MIN(data_DeDietrich_AF40[Rsonde]),0,$D26)-data_DeDietrich_AF40[[#This Row],[Rsonde]]),2)</f>
        <v>1.6</v>
      </c>
      <c r="L27" s="2" cm="1">
        <f t="array" aca="1" ref="L27" ca="1">IF(INDIRECT(RefCell_R77),(data_DeDietrich_AF40[[#This Row],[Rpcb]]*INDIRECT(RefCell_R77))/(data_DeDietrich_AF40[[#This Row],[Rpcb]]+INDIRECT(RefCell_R77)),data_DeDietrich_AF40[[#This Row],[Rpcb]])</f>
        <v>1934</v>
      </c>
      <c r="N27">
        <v>10</v>
      </c>
      <c r="O27">
        <v>1784</v>
      </c>
    </row>
    <row r="28" spans="1:17" x14ac:dyDescent="0.25">
      <c r="A28" t="s">
        <v>42</v>
      </c>
      <c r="B28" s="8">
        <v>22.5</v>
      </c>
      <c r="C28" s="9">
        <f>data_DeDietrich_AF40[[#This Row],[θ]]*13.5+1650.9</f>
        <v>1954.65</v>
      </c>
      <c r="D28" s="9" cm="1">
        <f t="array" aca="1" ref="D28" ca="1">INDIRECT(RefCell_Rpot)+SUM($G$3:G28)</f>
        <v>1954</v>
      </c>
      <c r="E28" s="9">
        <f ca="1">data_DeDietrich_AF40[[#This Row],[Rpcb]]-data_DeDietrich_AF40[[#This Row],[Rsonde]]</f>
        <v>-0.65000000000009095</v>
      </c>
      <c r="F28" s="4">
        <f ca="1">data_DeDietrich_AF40[[#This Row],[Diff R]]/data_DeDietrich_AF40[[#This Row],[Rsonde]]</f>
        <v>-3.3254035249282018E-4</v>
      </c>
      <c r="G28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8" s="9" cm="1">
        <f t="array" aca="1" ref="H28" ca="1">MAX(IF(ResValuesR24&lt;=ROUND(data_DeDietrich_AF40[[#This Row],[Rsonde]],2)-IF(data_DeDietrich_AF40[[#This Row],[Rsonde]]=MIN(data_DeDietrich_AF40[Rsonde]),100,$D27),ResValuesR24))</f>
        <v>20</v>
      </c>
      <c r="I28" s="9">
        <f ca="1">ROUND(data_DeDietrich_AF40[[#This Row],[RaddLow]]+(IF(data_DeDietrich_AF40[[#This Row],[Rsonde]]=MIN(data_DeDietrich_AF40[Rsonde]),0,$D27)-data_DeDietrich_AF40[[#This Row],[Rsonde]]),2)</f>
        <v>-0.65</v>
      </c>
      <c r="J28" s="9" cm="1">
        <f t="array" aca="1" ref="J28" ca="1">MIN(IF(ResValuesR24&gt;=ROUND(data_DeDietrich_AF40[[#This Row],[Rsonde]],2)-IF(data_DeDietrich_AF40[[#This Row],[Rsonde]]=MIN(data_DeDietrich_AF40[Rsonde]),100,$D27),ResValuesR24))</f>
        <v>22</v>
      </c>
      <c r="K28" s="9">
        <f ca="1">ROUND(data_DeDietrich_AF40[[#This Row],[RaddHigh]]+(IF(data_DeDietrich_AF40[[#This Row],[Rsonde]]=MIN(data_DeDietrich_AF40[Rsonde]),0,$D27)-data_DeDietrich_AF40[[#This Row],[Rsonde]]),2)</f>
        <v>1.35</v>
      </c>
      <c r="L28" s="2" cm="1">
        <f t="array" aca="1" ref="L28" ca="1">IF(INDIRECT(RefCell_R77),(data_DeDietrich_AF40[[#This Row],[Rpcb]]*INDIRECT(RefCell_R77))/(data_DeDietrich_AF40[[#This Row],[Rpcb]]+INDIRECT(RefCell_R77)),data_DeDietrich_AF40[[#This Row],[Rpcb]])</f>
        <v>1954</v>
      </c>
      <c r="N28">
        <v>15</v>
      </c>
      <c r="O28">
        <v>1855</v>
      </c>
    </row>
    <row r="29" spans="1:17" x14ac:dyDescent="0.25">
      <c r="A29" t="s">
        <v>43</v>
      </c>
      <c r="B29" s="8">
        <v>24</v>
      </c>
      <c r="C29" s="9">
        <f>data_DeDietrich_AF40[[#This Row],[θ]]*13.5+1650.9</f>
        <v>1974.9</v>
      </c>
      <c r="D29" s="9" cm="1">
        <f t="array" aca="1" ref="D29" ca="1">INDIRECT(RefCell_Rpot)+SUM($G$3:G29)</f>
        <v>1974</v>
      </c>
      <c r="E29" s="9">
        <f ca="1">data_DeDietrich_AF40[[#This Row],[Rpcb]]-data_DeDietrich_AF40[[#This Row],[Rsonde]]</f>
        <v>-0.90000000000009095</v>
      </c>
      <c r="F29" s="4">
        <f ca="1">data_DeDietrich_AF40[[#This Row],[Diff R]]/data_DeDietrich_AF40[[#This Row],[Rsonde]]</f>
        <v>-4.5571927692545999E-4</v>
      </c>
      <c r="G29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9" s="9" cm="1">
        <f t="array" aca="1" ref="H29" ca="1">MAX(IF(ResValuesR24&lt;=ROUND(data_DeDietrich_AF40[[#This Row],[Rsonde]],2)-IF(data_DeDietrich_AF40[[#This Row],[Rsonde]]=MIN(data_DeDietrich_AF40[Rsonde]),100,$D28),ResValuesR24))</f>
        <v>20</v>
      </c>
      <c r="I29" s="9">
        <f ca="1">ROUND(data_DeDietrich_AF40[[#This Row],[RaddLow]]+(IF(data_DeDietrich_AF40[[#This Row],[Rsonde]]=MIN(data_DeDietrich_AF40[Rsonde]),0,$D28)-data_DeDietrich_AF40[[#This Row],[Rsonde]]),2)</f>
        <v>-0.9</v>
      </c>
      <c r="J29" s="9" cm="1">
        <f t="array" aca="1" ref="J29" ca="1">MIN(IF(ResValuesR24&gt;=ROUND(data_DeDietrich_AF40[[#This Row],[Rsonde]],2)-IF(data_DeDietrich_AF40[[#This Row],[Rsonde]]=MIN(data_DeDietrich_AF40[Rsonde]),100,$D28),ResValuesR24))</f>
        <v>22</v>
      </c>
      <c r="K29" s="9">
        <f ca="1">ROUND(data_DeDietrich_AF40[[#This Row],[RaddHigh]]+(IF(data_DeDietrich_AF40[[#This Row],[Rsonde]]=MIN(data_DeDietrich_AF40[Rsonde]),0,$D28)-data_DeDietrich_AF40[[#This Row],[Rsonde]]),2)</f>
        <v>1.1000000000000001</v>
      </c>
      <c r="L29" s="2" cm="1">
        <f t="array" aca="1" ref="L29" ca="1">IF(INDIRECT(RefCell_R77),(data_DeDietrich_AF40[[#This Row],[Rpcb]]*INDIRECT(RefCell_R77))/(data_DeDietrich_AF40[[#This Row],[Rpcb]]+INDIRECT(RefCell_R77)),data_DeDietrich_AF40[[#This Row],[Rpcb]])</f>
        <v>1974</v>
      </c>
      <c r="N29">
        <v>20</v>
      </c>
      <c r="O29">
        <v>1928</v>
      </c>
    </row>
    <row r="30" spans="1:17" x14ac:dyDescent="0.25">
      <c r="A30" t="s">
        <v>44</v>
      </c>
      <c r="B30" s="8">
        <v>25.5</v>
      </c>
      <c r="C30" s="9">
        <f>data_DeDietrich_AF40[[#This Row],[θ]]*13.5+1650.9</f>
        <v>1995.15</v>
      </c>
      <c r="D30" s="9" cm="1">
        <f t="array" aca="1" ref="D30" ca="1">INDIRECT(RefCell_Rpot)+SUM($G$3:G30)</f>
        <v>1996</v>
      </c>
      <c r="E30" s="9">
        <f ca="1">data_DeDietrich_AF40[[#This Row],[Rpcb]]-data_DeDietrich_AF40[[#This Row],[Rsonde]]</f>
        <v>0.84999999999990905</v>
      </c>
      <c r="F30" s="4">
        <f ca="1">data_DeDietrich_AF40[[#This Row],[Diff R]]/data_DeDietrich_AF40[[#This Row],[Rsonde]]</f>
        <v>4.2603313034103151E-4</v>
      </c>
      <c r="G30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22</v>
      </c>
      <c r="H30" s="9" cm="1">
        <f t="array" aca="1" ref="H30" ca="1">MAX(IF(ResValuesR24&lt;=ROUND(data_DeDietrich_AF40[[#This Row],[Rsonde]],2)-IF(data_DeDietrich_AF40[[#This Row],[Rsonde]]=MIN(data_DeDietrich_AF40[Rsonde]),100,$D29),ResValuesR24))</f>
        <v>20</v>
      </c>
      <c r="I30" s="9">
        <f ca="1">ROUND(data_DeDietrich_AF40[[#This Row],[RaddLow]]+(IF(data_DeDietrich_AF40[[#This Row],[Rsonde]]=MIN(data_DeDietrich_AF40[Rsonde]),0,$D29)-data_DeDietrich_AF40[[#This Row],[Rsonde]]),2)</f>
        <v>-1.1499999999999999</v>
      </c>
      <c r="J30" s="9" cm="1">
        <f t="array" aca="1" ref="J30" ca="1">MIN(IF(ResValuesR24&gt;=ROUND(data_DeDietrich_AF40[[#This Row],[Rsonde]],2)-IF(data_DeDietrich_AF40[[#This Row],[Rsonde]]=MIN(data_DeDietrich_AF40[Rsonde]),100,$D29),ResValuesR24))</f>
        <v>22</v>
      </c>
      <c r="K30" s="9">
        <f ca="1">ROUND(data_DeDietrich_AF40[[#This Row],[RaddHigh]]+(IF(data_DeDietrich_AF40[[#This Row],[Rsonde]]=MIN(data_DeDietrich_AF40[Rsonde]),0,$D29)-data_DeDietrich_AF40[[#This Row],[Rsonde]]),2)</f>
        <v>0.85</v>
      </c>
      <c r="L30" s="2" cm="1">
        <f t="array" aca="1" ref="L30" ca="1">IF(INDIRECT(RefCell_R77),(data_DeDietrich_AF40[[#This Row],[Rpcb]]*INDIRECT(RefCell_R77))/(data_DeDietrich_AF40[[#This Row],[Rpcb]]+INDIRECT(RefCell_R77)),data_DeDietrich_AF40[[#This Row],[Rpcb]])</f>
        <v>1996</v>
      </c>
    </row>
    <row r="31" spans="1:17" x14ac:dyDescent="0.25">
      <c r="A31" t="s">
        <v>45</v>
      </c>
      <c r="B31" s="8">
        <v>27</v>
      </c>
      <c r="C31" s="9">
        <f>data_DeDietrich_AF40[[#This Row],[θ]]*13.5+1650.9</f>
        <v>2015.4</v>
      </c>
      <c r="D31" s="9" cm="1">
        <f t="array" aca="1" ref="D31" ca="1">INDIRECT(RefCell_Rpot)+SUM($G$3:G31)</f>
        <v>2016</v>
      </c>
      <c r="E31" s="9">
        <f ca="1">data_DeDietrich_AF40[[#This Row],[Rpcb]]-data_DeDietrich_AF40[[#This Row],[Rsonde]]</f>
        <v>0.59999999999990905</v>
      </c>
      <c r="F31" s="4">
        <f ca="1">data_DeDietrich_AF40[[#This Row],[Diff R]]/data_DeDietrich_AF40[[#This Row],[Rsonde]]</f>
        <v>2.9770765108658778E-4</v>
      </c>
      <c r="G31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31" s="9" cm="1">
        <f t="array" aca="1" ref="H31" ca="1">MAX(IF(ResValuesR24&lt;=ROUND(data_DeDietrich_AF40[[#This Row],[Rsonde]],2)-IF(data_DeDietrich_AF40[[#This Row],[Rsonde]]=MIN(data_DeDietrich_AF40[Rsonde]),100,$D30),ResValuesR24))</f>
        <v>18</v>
      </c>
      <c r="I31" s="9">
        <f ca="1">ROUND(data_DeDietrich_AF40[[#This Row],[RaddLow]]+(IF(data_DeDietrich_AF40[[#This Row],[Rsonde]]=MIN(data_DeDietrich_AF40[Rsonde]),0,$D30)-data_DeDietrich_AF40[[#This Row],[Rsonde]]),2)</f>
        <v>-1.4</v>
      </c>
      <c r="J31" s="9" cm="1">
        <f t="array" aca="1" ref="J31" ca="1">MIN(IF(ResValuesR24&gt;=ROUND(data_DeDietrich_AF40[[#This Row],[Rsonde]],2)-IF(data_DeDietrich_AF40[[#This Row],[Rsonde]]=MIN(data_DeDietrich_AF40[Rsonde]),100,$D30),ResValuesR24))</f>
        <v>20</v>
      </c>
      <c r="K31" s="9">
        <f ca="1">ROUND(data_DeDietrich_AF40[[#This Row],[RaddHigh]]+(IF(data_DeDietrich_AF40[[#This Row],[Rsonde]]=MIN(data_DeDietrich_AF40[Rsonde]),0,$D30)-data_DeDietrich_AF40[[#This Row],[Rsonde]]),2)</f>
        <v>0.6</v>
      </c>
      <c r="L31" s="2" cm="1">
        <f t="array" aca="1" ref="L31" ca="1">IF(INDIRECT(RefCell_R77),(data_DeDietrich_AF40[[#This Row],[Rpcb]]*INDIRECT(RefCell_R77))/(data_DeDietrich_AF40[[#This Row],[Rpcb]]+INDIRECT(RefCell_R77)),data_DeDietrich_AF40[[#This Row],[Rpcb]])</f>
        <v>2016</v>
      </c>
    </row>
    <row r="32" spans="1:17" x14ac:dyDescent="0.25">
      <c r="A32" t="s">
        <v>46</v>
      </c>
      <c r="B32" s="8">
        <v>28.5</v>
      </c>
      <c r="C32" s="9">
        <f>data_DeDietrich_AF40[[#This Row],[θ]]*13.5+1650.9</f>
        <v>2035.65</v>
      </c>
      <c r="D32" s="9" cm="1">
        <f t="array" aca="1" ref="D32" ca="1">INDIRECT(RefCell_Rpot)+SUM($G$3:G32)</f>
        <v>2036</v>
      </c>
      <c r="E32" s="9">
        <f ca="1">data_DeDietrich_AF40[[#This Row],[Rpcb]]-data_DeDietrich_AF40[[#This Row],[Rsonde]]</f>
        <v>0.34999999999990905</v>
      </c>
      <c r="F32" s="4">
        <f ca="1">data_DeDietrich_AF40[[#This Row],[Diff R]]/data_DeDietrich_AF40[[#This Row],[Rsonde]]</f>
        <v>1.7193525409569868E-4</v>
      </c>
      <c r="G32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32" s="9" cm="1">
        <f t="array" aca="1" ref="H32" ca="1">MAX(IF(ResValuesR24&lt;=ROUND(data_DeDietrich_AF40[[#This Row],[Rsonde]],2)-IF(data_DeDietrich_AF40[[#This Row],[Rsonde]]=MIN(data_DeDietrich_AF40[Rsonde]),100,$D31),ResValuesR24))</f>
        <v>18</v>
      </c>
      <c r="I32" s="9">
        <f ca="1">ROUND(data_DeDietrich_AF40[[#This Row],[RaddLow]]+(IF(data_DeDietrich_AF40[[#This Row],[Rsonde]]=MIN(data_DeDietrich_AF40[Rsonde]),0,$D31)-data_DeDietrich_AF40[[#This Row],[Rsonde]]),2)</f>
        <v>-1.65</v>
      </c>
      <c r="J32" s="9" cm="1">
        <f t="array" aca="1" ref="J32" ca="1">MIN(IF(ResValuesR24&gt;=ROUND(data_DeDietrich_AF40[[#This Row],[Rsonde]],2)-IF(data_DeDietrich_AF40[[#This Row],[Rsonde]]=MIN(data_DeDietrich_AF40[Rsonde]),100,$D31),ResValuesR24))</f>
        <v>20</v>
      </c>
      <c r="K32" s="9">
        <f ca="1">ROUND(data_DeDietrich_AF40[[#This Row],[RaddHigh]]+(IF(data_DeDietrich_AF40[[#This Row],[Rsonde]]=MIN(data_DeDietrich_AF40[Rsonde]),0,$D31)-data_DeDietrich_AF40[[#This Row],[Rsonde]]),2)</f>
        <v>0.35</v>
      </c>
      <c r="L32" s="2" cm="1">
        <f t="array" aca="1" ref="L32" ca="1">IF(INDIRECT(RefCell_R77),(data_DeDietrich_AF40[[#This Row],[Rpcb]]*INDIRECT(RefCell_R77))/(data_DeDietrich_AF40[[#This Row],[Rpcb]]+INDIRECT(RefCell_R77)),data_DeDietrich_AF40[[#This Row],[Rpcb]])</f>
        <v>2036</v>
      </c>
    </row>
    <row r="33" spans="1:12" x14ac:dyDescent="0.25">
      <c r="A33" t="s">
        <v>47</v>
      </c>
      <c r="B33" s="8">
        <v>30</v>
      </c>
      <c r="C33" s="9">
        <f>data_DeDietrich_AF40[[#This Row],[θ]]*13.5+1650.9</f>
        <v>2055.9</v>
      </c>
      <c r="D33" s="9" cm="1">
        <f t="array" aca="1" ref="D33" ca="1">INDIRECT(RefCell_Rpot)+SUM($G$3:G33)</f>
        <v>2056</v>
      </c>
      <c r="E33" s="9">
        <f ca="1">data_DeDietrich_AF40[[#This Row],[Rpcb]]-data_DeDietrich_AF40[[#This Row],[Rsonde]]</f>
        <v>9.9999999999909051E-2</v>
      </c>
      <c r="F33" s="4">
        <f ca="1">data_DeDietrich_AF40[[#This Row],[Diff R]]/data_DeDietrich_AF40[[#This Row],[Rsonde]]</f>
        <v>4.8640498078656087E-5</v>
      </c>
      <c r="G33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33" s="9" cm="1">
        <f t="array" aca="1" ref="H33" ca="1">MAX(IF(ResValuesR24&lt;=ROUND(data_DeDietrich_AF40[[#This Row],[Rsonde]],2)-IF(data_DeDietrich_AF40[[#This Row],[Rsonde]]=MIN(data_DeDietrich_AF40[Rsonde]),100,$D32),ResValuesR24))</f>
        <v>18</v>
      </c>
      <c r="I33" s="9">
        <f ca="1">ROUND(data_DeDietrich_AF40[[#This Row],[RaddLow]]+(IF(data_DeDietrich_AF40[[#This Row],[Rsonde]]=MIN(data_DeDietrich_AF40[Rsonde]),0,$D32)-data_DeDietrich_AF40[[#This Row],[Rsonde]]),2)</f>
        <v>-1.9</v>
      </c>
      <c r="J33" s="9" cm="1">
        <f t="array" aca="1" ref="J33" ca="1">MIN(IF(ResValuesR24&gt;=ROUND(data_DeDietrich_AF40[[#This Row],[Rsonde]],2)-IF(data_DeDietrich_AF40[[#This Row],[Rsonde]]=MIN(data_DeDietrich_AF40[Rsonde]),100,$D32),ResValuesR24))</f>
        <v>20</v>
      </c>
      <c r="K33" s="9">
        <f ca="1">ROUND(data_DeDietrich_AF40[[#This Row],[RaddHigh]]+(IF(data_DeDietrich_AF40[[#This Row],[Rsonde]]=MIN(data_DeDietrich_AF40[Rsonde]),0,$D32)-data_DeDietrich_AF40[[#This Row],[Rsonde]]),2)</f>
        <v>0.1</v>
      </c>
      <c r="L33" s="2" cm="1">
        <f t="array" aca="1" ref="L33" ca="1">IF(INDIRECT(RefCell_R77),(data_DeDietrich_AF40[[#This Row],[Rpcb]]*INDIRECT(RefCell_R77))/(data_DeDietrich_AF40[[#This Row],[Rpcb]]+INDIRECT(RefCell_R77)),data_DeDietrich_AF40[[#This Row],[Rpcb]])</f>
        <v>2056</v>
      </c>
    </row>
    <row r="34" spans="1:12" x14ac:dyDescent="0.25">
      <c r="A34" t="s">
        <v>48</v>
      </c>
      <c r="B34" s="8">
        <v>31.5</v>
      </c>
      <c r="C34" s="9">
        <f>data_DeDietrich_AF40[[#This Row],[θ]]*13.5+1650.9</f>
        <v>2076.15</v>
      </c>
      <c r="D34" s="9" cm="1">
        <f t="array" aca="1" ref="D34" ca="1">INDIRECT(RefCell_Rpot)+SUM($G$3:G34)</f>
        <v>2076</v>
      </c>
      <c r="E34" s="9">
        <f ca="1">data_DeDietrich_AF40[[#This Row],[Rpcb]]-data_DeDietrich_AF40[[#This Row],[Rsonde]]</f>
        <v>-0.15000000000009095</v>
      </c>
      <c r="F34" s="4">
        <f ca="1">data_DeDietrich_AF40[[#This Row],[Diff R]]/data_DeDietrich_AF40[[#This Row],[Rsonde]]</f>
        <v>-7.2249114948385682E-5</v>
      </c>
      <c r="G34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34" s="9" cm="1">
        <f t="array" aca="1" ref="H34" ca="1">MAX(IF(ResValuesR24&lt;=ROUND(data_DeDietrich_AF40[[#This Row],[Rsonde]],2)-IF(data_DeDietrich_AF40[[#This Row],[Rsonde]]=MIN(data_DeDietrich_AF40[Rsonde]),100,$D33),ResValuesR24))</f>
        <v>20</v>
      </c>
      <c r="I34" s="9">
        <f ca="1">ROUND(data_DeDietrich_AF40[[#This Row],[RaddLow]]+(IF(data_DeDietrich_AF40[[#This Row],[Rsonde]]=MIN(data_DeDietrich_AF40[Rsonde]),0,$D33)-data_DeDietrich_AF40[[#This Row],[Rsonde]]),2)</f>
        <v>-0.15</v>
      </c>
      <c r="J34" s="9" cm="1">
        <f t="array" aca="1" ref="J34" ca="1">MIN(IF(ResValuesR24&gt;=ROUND(data_DeDietrich_AF40[[#This Row],[Rsonde]],2)-IF(data_DeDietrich_AF40[[#This Row],[Rsonde]]=MIN(data_DeDietrich_AF40[Rsonde]),100,$D33),ResValuesR24))</f>
        <v>22</v>
      </c>
      <c r="K34" s="9">
        <f ca="1">ROUND(data_DeDietrich_AF40[[#This Row],[RaddHigh]]+(IF(data_DeDietrich_AF40[[#This Row],[Rsonde]]=MIN(data_DeDietrich_AF40[Rsonde]),0,$D33)-data_DeDietrich_AF40[[#This Row],[Rsonde]]),2)</f>
        <v>1.85</v>
      </c>
      <c r="L34" s="2" cm="1">
        <f t="array" aca="1" ref="L34" ca="1">IF(INDIRECT(RefCell_R77),(data_DeDietrich_AF40[[#This Row],[Rpcb]]*INDIRECT(RefCell_R77))/(data_DeDietrich_AF40[[#This Row],[Rpcb]]+INDIRECT(RefCell_R77)),data_DeDietrich_AF40[[#This Row],[Rpcb]])</f>
        <v>2076</v>
      </c>
    </row>
  </sheetData>
  <sortState xmlns:xlrd2="http://schemas.microsoft.com/office/spreadsheetml/2017/richdata2" ref="N21:O29">
    <sortCondition ref="N21:N29"/>
  </sortState>
  <mergeCells count="1">
    <mergeCell ref="A1:L1"/>
  </mergeCells>
  <conditionalFormatting sqref="F3:F34">
    <cfRule type="cellIs" dxfId="231" priority="1" operator="between">
      <formula>-0.005</formula>
      <formula>0.005</formula>
    </cfRule>
  </conditionalFormatting>
  <dataValidations disablePrompts="1" count="1">
    <dataValidation type="list" allowBlank="1" showInputMessage="1" showErrorMessage="1" sqref="O3" xr:uid="{44EE9FEF-5441-460C-AE10-EF6CA034AD16}">
      <formula1>INDIRECT("TableR77[R]")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5BE29-FEDE-4DC4-84C4-4046DA6F643B}">
  <sheetPr codeName="Feuil22"/>
  <dimension ref="A1:S34"/>
  <sheetViews>
    <sheetView topLeftCell="D1" zoomScale="85" zoomScaleNormal="85" workbookViewId="0">
      <selection activeCell="O36" sqref="O36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9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9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100</v>
      </c>
      <c r="P2" s="7" t="s">
        <v>113</v>
      </c>
      <c r="R2" t="s">
        <v>183</v>
      </c>
      <c r="S2" t="s">
        <v>184</v>
      </c>
    </row>
    <row r="3" spans="1:19" x14ac:dyDescent="0.25">
      <c r="A3" t="s">
        <v>48</v>
      </c>
      <c r="B3" s="8">
        <v>-15</v>
      </c>
      <c r="C3" s="9">
        <f>EXP((S3-R3/2)^(1/3)-(S3+R3/2)^(1/3))</f>
        <v>2015.0000027779399</v>
      </c>
      <c r="D3" s="9" cm="1">
        <f t="array" aca="1" ref="D3" ca="1">INDIRECT(RefCell_Rpot)+SUM(G3:G$34)</f>
        <v>2010</v>
      </c>
      <c r="E3" s="9">
        <f ca="1">data_DeDietrich_AF60[[#This Row],[Rpcb]]-data_DeDietrich_AF60[[#This Row],[Rsonde]]</f>
        <v>-5.0000027779399261</v>
      </c>
      <c r="F3" s="4">
        <f ca="1">data_DeDietrich_AF60[[#This Row],[Diff R]]/data_DeDietrich_AF60[[#This Row],[Rsonde]]</f>
        <v>-2.4813909533730875E-3</v>
      </c>
      <c r="G3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110.00000000000001</v>
      </c>
      <c r="H3" s="9" cm="1">
        <f t="array" aca="1" ref="H3" ca="1">MAX(IF(ResValuesR24&lt;=ROUND(data_DeDietrich_AF60[[#This Row],[Rsonde]],2)-IF(data_DeDietrich_AF60[[#This Row],[Rsonde]]=MIN(data_DeDietrich_AF60[Rsonde]),100,$D4),ResValuesR24))</f>
        <v>110.00000000000001</v>
      </c>
      <c r="I3" s="9">
        <f ca="1">ROUND(data_DeDietrich_AF60[[#This Row],[RaddLow]]+(IF(data_DeDietrich_AF60[[#This Row],[Rsonde]]=MIN(data_DeDietrich_AF60[Rsonde]),0,$D4)-data_DeDietrich_AF60[[#This Row],[Rsonde]]),2)</f>
        <v>-5</v>
      </c>
      <c r="J3" s="9" cm="1">
        <f t="array" aca="1" ref="J3" ca="1">MIN(IF(ResValuesR24&gt;=ROUND(data_DeDietrich_AF60[[#This Row],[Rsonde]],2)-IF(data_DeDietrich_AF60[[#This Row],[Rsonde]]=MIN(data_DeDietrich_AF60[Rsonde]),100,$D4),ResValuesR24))</f>
        <v>120</v>
      </c>
      <c r="K3" s="9">
        <f ca="1">ROUND(data_DeDietrich_AF60[[#This Row],[RaddHigh]]+(IF(data_DeDietrich_AF60[[#This Row],[Rsonde]]=MIN(data_DeDietrich_AF60[Rsonde]),0,$D4)-data_DeDietrich_AF60[[#This Row],[Rsonde]]),2)</f>
        <v>5</v>
      </c>
      <c r="L3" s="2" cm="1">
        <f t="array" aca="1" ref="L3" ca="1">IF(INDIRECT(RefCell_R77),(data_DeDietrich_AF60[[#This Row],[Rpcb]]*INDIRECT(RefCell_R77))/(data_DeDietrich_AF60[[#This Row],[Rpcb]]+INDIRECT(RefCell_R77)),data_DeDietrich_AF60[[#This Row],[Rpcb]])</f>
        <v>2010</v>
      </c>
      <c r="N3" t="s">
        <v>112</v>
      </c>
      <c r="P3" s="7" t="s">
        <v>113</v>
      </c>
      <c r="R3" s="5">
        <f>((1/$O$30) * ($O$28-1/(data_DeDietrich_AF60[[#This Row],[θ]]+273.15)))</f>
        <v>-864.2015223090807</v>
      </c>
      <c r="S3">
        <f>SQRT(($O$29/(3*$O$30))^3+(R3/2)^2)</f>
        <v>439.44370589356669</v>
      </c>
    </row>
    <row r="4" spans="1:19" x14ac:dyDescent="0.25">
      <c r="A4" t="s">
        <v>47</v>
      </c>
      <c r="B4" s="8">
        <v>-13.5</v>
      </c>
      <c r="C4" s="9">
        <f t="shared" ref="C4:C34" si="0">EXP((S4-R4/2)^(1/3)-(S4+R4/2)^(1/3))</f>
        <v>1904.0249852369834</v>
      </c>
      <c r="D4" s="9" cm="1">
        <f t="array" aca="1" ref="D4" ca="1">INDIRECT(RefCell_Rpot)+SUM(G4:G$34)</f>
        <v>1900</v>
      </c>
      <c r="E4" s="9">
        <f ca="1">data_DeDietrich_AF60[[#This Row],[Rpcb]]-data_DeDietrich_AF60[[#This Row],[Rsonde]]</f>
        <v>-4.0249852369834116</v>
      </c>
      <c r="F4" s="4">
        <f ca="1">data_DeDietrich_AF60[[#This Row],[Diff R]]/data_DeDietrich_AF60[[#This Row],[Rsonde]]</f>
        <v>-2.1139350944401835E-3</v>
      </c>
      <c r="G4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100</v>
      </c>
      <c r="H4" s="9" cm="1">
        <f t="array" aca="1" ref="H4" ca="1">MAX(IF(ResValuesR24&lt;=ROUND(data_DeDietrich_AF60[[#This Row],[Rsonde]],2)-IF(data_DeDietrich_AF60[[#This Row],[Rsonde]]=MIN(data_DeDietrich_AF60[Rsonde]),100,$D5),ResValuesR24))</f>
        <v>100</v>
      </c>
      <c r="I4" s="9">
        <f ca="1">ROUND(data_DeDietrich_AF60[[#This Row],[RaddLow]]+(IF(data_DeDietrich_AF60[[#This Row],[Rsonde]]=MIN(data_DeDietrich_AF60[Rsonde]),0,$D5)-data_DeDietrich_AF60[[#This Row],[Rsonde]]),2)</f>
        <v>-4.0199999999999996</v>
      </c>
      <c r="J4" s="9" cm="1">
        <f t="array" aca="1" ref="J4" ca="1">MIN(IF(ResValuesR24&gt;=ROUND(data_DeDietrich_AF60[[#This Row],[Rsonde]],2)-IF(data_DeDietrich_AF60[[#This Row],[Rsonde]]=MIN(data_DeDietrich_AF60[Rsonde]),100,$D5),ResValuesR24))</f>
        <v>110.00000000000001</v>
      </c>
      <c r="K4" s="9">
        <f ca="1">ROUND(data_DeDietrich_AF60[[#This Row],[RaddHigh]]+(IF(data_DeDietrich_AF60[[#This Row],[Rsonde]]=MIN(data_DeDietrich_AF60[Rsonde]),0,$D5)-data_DeDietrich_AF60[[#This Row],[Rsonde]]),2)</f>
        <v>5.98</v>
      </c>
      <c r="L4" s="2" cm="1">
        <f t="array" aca="1" ref="L4" ca="1">IF(INDIRECT(RefCell_R77),(data_DeDietrich_AF60[[#This Row],[Rpcb]]*INDIRECT(RefCell_R77))/(data_DeDietrich_AF60[[#This Row],[Rpcb]]+INDIRECT(RefCell_R77)),data_DeDietrich_AF60[[#This Row],[Rpcb]])</f>
        <v>1900</v>
      </c>
      <c r="R4" s="5">
        <f>((1/$O$30) * ($O$28-1/(data_DeDietrich_AF60[[#This Row],[θ]]+273.15)))</f>
        <v>-851.28152643943031</v>
      </c>
      <c r="S4">
        <f t="shared" ref="S4:S33" si="1">SQRT(($O$29/(3*$O$30))^3+(R4/2)^2)</f>
        <v>433.09324881992796</v>
      </c>
    </row>
    <row r="5" spans="1:19" x14ac:dyDescent="0.25">
      <c r="A5" t="s">
        <v>46</v>
      </c>
      <c r="B5" s="8">
        <v>-12</v>
      </c>
      <c r="C5" s="9">
        <f t="shared" si="0"/>
        <v>1799.1860383975925</v>
      </c>
      <c r="D5" s="9" cm="1">
        <f t="array" aca="1" ref="D5" ca="1">INDIRECT(RefCell_Rpot)+SUM(G5:G$34)</f>
        <v>1800</v>
      </c>
      <c r="E5" s="9">
        <f ca="1">data_DeDietrich_AF60[[#This Row],[Rpcb]]-data_DeDietrich_AF60[[#This Row],[Rsonde]]</f>
        <v>0.81396160240751669</v>
      </c>
      <c r="F5" s="4">
        <f ca="1">data_DeDietrich_AF60[[#This Row],[Diff R]]/data_DeDietrich_AF60[[#This Row],[Rsonde]]</f>
        <v>4.5240546838194376E-4</v>
      </c>
      <c r="G5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100</v>
      </c>
      <c r="H5" s="9" cm="1">
        <f t="array" aca="1" ref="H5" ca="1">MAX(IF(ResValuesR24&lt;=ROUND(data_DeDietrich_AF60[[#This Row],[Rsonde]],2)-IF(data_DeDietrich_AF60[[#This Row],[Rsonde]]=MIN(data_DeDietrich_AF60[Rsonde]),100,$D6),ResValuesR24))</f>
        <v>91</v>
      </c>
      <c r="I5" s="9">
        <f ca="1">ROUND(data_DeDietrich_AF60[[#This Row],[RaddLow]]+(IF(data_DeDietrich_AF60[[#This Row],[Rsonde]]=MIN(data_DeDietrich_AF60[Rsonde]),0,$D6)-data_DeDietrich_AF60[[#This Row],[Rsonde]]),2)</f>
        <v>-8.19</v>
      </c>
      <c r="J5" s="9" cm="1">
        <f t="array" aca="1" ref="J5" ca="1">MIN(IF(ResValuesR24&gt;=ROUND(data_DeDietrich_AF60[[#This Row],[Rsonde]],2)-IF(data_DeDietrich_AF60[[#This Row],[Rsonde]]=MIN(data_DeDietrich_AF60[Rsonde]),100,$D6),ResValuesR24))</f>
        <v>100</v>
      </c>
      <c r="K5" s="9">
        <f ca="1">ROUND(data_DeDietrich_AF60[[#This Row],[RaddHigh]]+(IF(data_DeDietrich_AF60[[#This Row],[Rsonde]]=MIN(data_DeDietrich_AF60[Rsonde]),0,$D6)-data_DeDietrich_AF60[[#This Row],[Rsonde]]),2)</f>
        <v>0.81</v>
      </c>
      <c r="L5" s="2" cm="1">
        <f t="array" aca="1" ref="L5" ca="1">IF(INDIRECT(RefCell_R77),(data_DeDietrich_AF60[[#This Row],[Rpcb]]*INDIRECT(RefCell_R77))/(data_DeDietrich_AF60[[#This Row],[Rpcb]]+INDIRECT(RefCell_R77)),data_DeDietrich_AF60[[#This Row],[Rpcb]])</f>
        <v>1800</v>
      </c>
      <c r="N5" s="1" t="s">
        <v>215</v>
      </c>
      <c r="R5" s="5">
        <f>((1/$O$30) * ($O$28-1/(data_DeDietrich_AF60[[#This Row],[θ]]+273.15)))</f>
        <v>-838.50995097035002</v>
      </c>
      <c r="S5">
        <f t="shared" si="1"/>
        <v>426.81897489241629</v>
      </c>
    </row>
    <row r="6" spans="1:19" x14ac:dyDescent="0.25">
      <c r="A6" t="s">
        <v>45</v>
      </c>
      <c r="B6" s="8">
        <v>-10.5</v>
      </c>
      <c r="C6" s="9">
        <f t="shared" si="0"/>
        <v>1700.1322070435394</v>
      </c>
      <c r="D6" s="9" cm="1">
        <f t="array" aca="1" ref="D6" ca="1">INDIRECT(RefCell_Rpot)+SUM(G6:G$34)</f>
        <v>1700</v>
      </c>
      <c r="E6" s="9">
        <f ca="1">data_DeDietrich_AF60[[#This Row],[Rpcb]]-data_DeDietrich_AF60[[#This Row],[Rsonde]]</f>
        <v>-0.13220704353943802</v>
      </c>
      <c r="F6" s="4">
        <f ca="1">data_DeDietrich_AF60[[#This Row],[Diff R]]/data_DeDietrich_AF60[[#This Row],[Rsonde]]</f>
        <v>-7.7762801617258146E-5</v>
      </c>
      <c r="G6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91</v>
      </c>
      <c r="H6" s="9" cm="1">
        <f t="array" aca="1" ref="H6" ca="1">MAX(IF(ResValuesR24&lt;=ROUND(data_DeDietrich_AF60[[#This Row],[Rsonde]],2)-IF(data_DeDietrich_AF60[[#This Row],[Rsonde]]=MIN(data_DeDietrich_AF60[Rsonde]),100,$D7),ResValuesR24))</f>
        <v>91</v>
      </c>
      <c r="I6" s="9">
        <f ca="1">ROUND(data_DeDietrich_AF60[[#This Row],[RaddLow]]+(IF(data_DeDietrich_AF60[[#This Row],[Rsonde]]=MIN(data_DeDietrich_AF60[Rsonde]),0,$D7)-data_DeDietrich_AF60[[#This Row],[Rsonde]]),2)</f>
        <v>-0.13</v>
      </c>
      <c r="J6" s="9" cm="1">
        <f t="array" aca="1" ref="J6" ca="1">MIN(IF(ResValuesR24&gt;=ROUND(data_DeDietrich_AF60[[#This Row],[Rsonde]],2)-IF(data_DeDietrich_AF60[[#This Row],[Rsonde]]=MIN(data_DeDietrich_AF60[Rsonde]),100,$D7),ResValuesR24))</f>
        <v>100</v>
      </c>
      <c r="K6" s="9">
        <f ca="1">ROUND(data_DeDietrich_AF60[[#This Row],[RaddHigh]]+(IF(data_DeDietrich_AF60[[#This Row],[Rsonde]]=MIN(data_DeDietrich_AF60[Rsonde]),0,$D7)-data_DeDietrich_AF60[[#This Row],[Rsonde]]),2)</f>
        <v>8.8699999999999992</v>
      </c>
      <c r="L6" s="2" cm="1">
        <f t="array" aca="1" ref="L6" ca="1">IF(INDIRECT(RefCell_R77),(data_DeDietrich_AF60[[#This Row],[Rpcb]]*INDIRECT(RefCell_R77))/(data_DeDietrich_AF60[[#This Row],[Rpcb]]+INDIRECT(RefCell_R77)),data_DeDietrich_AF60[[#This Row],[Rpcb]])</f>
        <v>1700</v>
      </c>
      <c r="N6" s="35" t="s">
        <v>131</v>
      </c>
      <c r="O6">
        <f t="shared" ref="O6" si="2">O14 - O11*O7 - O11^3*O8</f>
        <v>2.3768490009999079E-3</v>
      </c>
      <c r="R6" s="5">
        <f>((1/$O$30) * ($O$28-1/(data_DeDietrich_AF60[[#This Row],[θ]]+273.15)))</f>
        <v>-825.88425300519975</v>
      </c>
      <c r="S6">
        <f t="shared" si="1"/>
        <v>420.61966513660246</v>
      </c>
    </row>
    <row r="7" spans="1:19" x14ac:dyDescent="0.25">
      <c r="A7" t="s">
        <v>44</v>
      </c>
      <c r="B7" s="8">
        <v>-9</v>
      </c>
      <c r="C7" s="9">
        <f t="shared" si="0"/>
        <v>1606.5337569594521</v>
      </c>
      <c r="D7" s="9" cm="1">
        <f t="array" aca="1" ref="D7" ca="1">INDIRECT(RefCell_Rpot)+SUM(G7:G$34)</f>
        <v>1609</v>
      </c>
      <c r="E7" s="9">
        <f ca="1">data_DeDietrich_AF60[[#This Row],[Rpcb]]-data_DeDietrich_AF60[[#This Row],[Rsonde]]</f>
        <v>2.4662430405478517</v>
      </c>
      <c r="F7" s="4">
        <f ca="1">data_DeDietrich_AF60[[#This Row],[Diff R]]/data_DeDietrich_AF60[[#This Row],[Rsonde]]</f>
        <v>1.5351330340020351E-3</v>
      </c>
      <c r="G7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91</v>
      </c>
      <c r="H7" s="9" cm="1">
        <f t="array" aca="1" ref="H7" ca="1">MAX(IF(ResValuesR24&lt;=ROUND(data_DeDietrich_AF60[[#This Row],[Rsonde]],2)-IF(data_DeDietrich_AF60[[#This Row],[Rsonde]]=MIN(data_DeDietrich_AF60[Rsonde]),100,$D8),ResValuesR24))</f>
        <v>82</v>
      </c>
      <c r="I7" s="9">
        <f ca="1">ROUND(data_DeDietrich_AF60[[#This Row],[RaddLow]]+(IF(data_DeDietrich_AF60[[#This Row],[Rsonde]]=MIN(data_DeDietrich_AF60[Rsonde]),0,$D8)-data_DeDietrich_AF60[[#This Row],[Rsonde]]),2)</f>
        <v>-6.53</v>
      </c>
      <c r="J7" s="9" cm="1">
        <f t="array" aca="1" ref="J7" ca="1">MIN(IF(ResValuesR24&gt;=ROUND(data_DeDietrich_AF60[[#This Row],[Rsonde]],2)-IF(data_DeDietrich_AF60[[#This Row],[Rsonde]]=MIN(data_DeDietrich_AF60[Rsonde]),100,$D8),ResValuesR24))</f>
        <v>91</v>
      </c>
      <c r="K7" s="9">
        <f ca="1">ROUND(data_DeDietrich_AF60[[#This Row],[RaddHigh]]+(IF(data_DeDietrich_AF60[[#This Row],[Rsonde]]=MIN(data_DeDietrich_AF60[Rsonde]),0,$D8)-data_DeDietrich_AF60[[#This Row],[Rsonde]]),2)</f>
        <v>2.4700000000000002</v>
      </c>
      <c r="L7" s="2" cm="1">
        <f t="array" aca="1" ref="L7" ca="1">IF(INDIRECT(RefCell_R77),(data_DeDietrich_AF60[[#This Row],[Rpcb]]*INDIRECT(RefCell_R77))/(data_DeDietrich_AF60[[#This Row],[Rpcb]]+INDIRECT(RefCell_R77)),data_DeDietrich_AF60[[#This Row],[Rpcb]])</f>
        <v>1609</v>
      </c>
      <c r="N7" s="35" t="s">
        <v>130</v>
      </c>
      <c r="O7">
        <f t="shared" ref="O7" si="3">(1/(O11-O12)) * (O14-O15-(O11^3-O12^3)*O8)</f>
        <v>9.6473851990020671E-5</v>
      </c>
      <c r="R7" s="5">
        <f>((1/$O$30) * ($O$28-1/(data_DeDietrich_AF60[[#This Row],[θ]]+273.15)))</f>
        <v>-813.40194740762638</v>
      </c>
      <c r="S7">
        <f t="shared" si="1"/>
        <v>414.49413128628026</v>
      </c>
    </row>
    <row r="8" spans="1:19" x14ac:dyDescent="0.25">
      <c r="A8" t="s">
        <v>43</v>
      </c>
      <c r="B8" s="8">
        <v>-7.5</v>
      </c>
      <c r="C8" s="9">
        <f t="shared" si="0"/>
        <v>1518.0808044316789</v>
      </c>
      <c r="D8" s="9" cm="1">
        <f t="array" aca="1" ref="D8" ca="1">INDIRECT(RefCell_Rpot)+SUM(G8:G$34)</f>
        <v>1518</v>
      </c>
      <c r="E8" s="9">
        <f ca="1">data_DeDietrich_AF60[[#This Row],[Rpcb]]-data_DeDietrich_AF60[[#This Row],[Rsonde]]</f>
        <v>-8.0804431678870969E-2</v>
      </c>
      <c r="F8" s="4">
        <f ca="1">data_DeDietrich_AF60[[#This Row],[Diff R]]/data_DeDietrich_AF60[[#This Row],[Rsonde]]</f>
        <v>-5.3228017535681558E-5</v>
      </c>
      <c r="G8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82</v>
      </c>
      <c r="H8" s="9" cm="1">
        <f t="array" aca="1" ref="H8" ca="1">MAX(IF(ResValuesR24&lt;=ROUND(data_DeDietrich_AF60[[#This Row],[Rsonde]],2)-IF(data_DeDietrich_AF60[[#This Row],[Rsonde]]=MIN(data_DeDietrich_AF60[Rsonde]),100,$D9),ResValuesR24))</f>
        <v>82</v>
      </c>
      <c r="I8" s="9">
        <f ca="1">ROUND(data_DeDietrich_AF60[[#This Row],[RaddLow]]+(IF(data_DeDietrich_AF60[[#This Row],[Rsonde]]=MIN(data_DeDietrich_AF60[Rsonde]),0,$D9)-data_DeDietrich_AF60[[#This Row],[Rsonde]]),2)</f>
        <v>-0.08</v>
      </c>
      <c r="J8" s="9" cm="1">
        <f t="array" aca="1" ref="J8" ca="1">MIN(IF(ResValuesR24&gt;=ROUND(data_DeDietrich_AF60[[#This Row],[Rsonde]],2)-IF(data_DeDietrich_AF60[[#This Row],[Rsonde]]=MIN(data_DeDietrich_AF60[Rsonde]),100,$D9),ResValuesR24))</f>
        <v>91</v>
      </c>
      <c r="K8" s="9">
        <f ca="1">ROUND(data_DeDietrich_AF60[[#This Row],[RaddHigh]]+(IF(data_DeDietrich_AF60[[#This Row],[Rsonde]]=MIN(data_DeDietrich_AF60[Rsonde]),0,$D9)-data_DeDietrich_AF60[[#This Row],[Rsonde]]),2)</f>
        <v>8.92</v>
      </c>
      <c r="L8" s="2" cm="1">
        <f t="array" aca="1" ref="L8" ca="1">IF(INDIRECT(RefCell_R77),(data_DeDietrich_AF60[[#This Row],[Rpcb]]*INDIRECT(RefCell_R77))/(data_DeDietrich_AF60[[#This Row],[Rpcb]]+INDIRECT(RefCell_R77)),data_DeDietrich_AF60[[#This Row],[Rpcb]])</f>
        <v>1518</v>
      </c>
      <c r="N8" s="35" t="s">
        <v>129</v>
      </c>
      <c r="O8">
        <f t="shared" ref="O8" si="4">O10/O9</f>
        <v>1.7320819179998534E-6</v>
      </c>
      <c r="R8" s="5">
        <f>((1/$O$30) * ($O$28-1/(data_DeDietrich_AF60[[#This Row],[θ]]+273.15)))</f>
        <v>-801.06060517083904</v>
      </c>
      <c r="S8">
        <f t="shared" si="1"/>
        <v>408.44121504606528</v>
      </c>
    </row>
    <row r="9" spans="1:19" x14ac:dyDescent="0.25">
      <c r="A9" t="s">
        <v>42</v>
      </c>
      <c r="B9" s="8">
        <v>-6</v>
      </c>
      <c r="C9" s="9">
        <f t="shared" si="0"/>
        <v>1434.4820405163659</v>
      </c>
      <c r="D9" s="9" cm="1">
        <f t="array" aca="1" ref="D9" ca="1">INDIRECT(RefCell_Rpot)+SUM(G9:G$34)</f>
        <v>1436</v>
      </c>
      <c r="E9" s="9">
        <f ca="1">data_DeDietrich_AF60[[#This Row],[Rpcb]]-data_DeDietrich_AF60[[#This Row],[Rsonde]]</f>
        <v>1.5179594836340584</v>
      </c>
      <c r="F9" s="4">
        <f ca="1">data_DeDietrich_AF60[[#This Row],[Diff R]]/data_DeDietrich_AF60[[#This Row],[Rsonde]]</f>
        <v>1.0581934389974261E-3</v>
      </c>
      <c r="G9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82</v>
      </c>
      <c r="H9" s="9" cm="1">
        <f t="array" aca="1" ref="H9" ca="1">MAX(IF(ResValuesR24&lt;=ROUND(data_DeDietrich_AF60[[#This Row],[Rsonde]],2)-IF(data_DeDietrich_AF60[[#This Row],[Rsonde]]=MIN(data_DeDietrich_AF60[Rsonde]),100,$D10),ResValuesR24))</f>
        <v>75</v>
      </c>
      <c r="I9" s="9">
        <f ca="1">ROUND(data_DeDietrich_AF60[[#This Row],[RaddLow]]+(IF(data_DeDietrich_AF60[[#This Row],[Rsonde]]=MIN(data_DeDietrich_AF60[Rsonde]),0,$D10)-data_DeDietrich_AF60[[#This Row],[Rsonde]]),2)</f>
        <v>-5.48</v>
      </c>
      <c r="J9" s="9" cm="1">
        <f t="array" aca="1" ref="J9" ca="1">MIN(IF(ResValuesR24&gt;=ROUND(data_DeDietrich_AF60[[#This Row],[Rsonde]],2)-IF(data_DeDietrich_AF60[[#This Row],[Rsonde]]=MIN(data_DeDietrich_AF60[Rsonde]),100,$D10),ResValuesR24))</f>
        <v>82</v>
      </c>
      <c r="K9" s="9">
        <f ca="1">ROUND(data_DeDietrich_AF60[[#This Row],[RaddHigh]]+(IF(data_DeDietrich_AF60[[#This Row],[Rsonde]]=MIN(data_DeDietrich_AF60[Rsonde]),0,$D10)-data_DeDietrich_AF60[[#This Row],[Rsonde]]),2)</f>
        <v>1.52</v>
      </c>
      <c r="L9" s="2" cm="1">
        <f t="array" aca="1" ref="L9" ca="1">IF(INDIRECT(RefCell_R77),(data_DeDietrich_AF60[[#This Row],[Rpcb]]*INDIRECT(RefCell_R77))/(data_DeDietrich_AF60[[#This Row],[Rpcb]]+INDIRECT(RefCell_R77)),data_DeDietrich_AF60[[#This Row],[Rpcb]])</f>
        <v>1436</v>
      </c>
      <c r="N9" s="3" t="s">
        <v>181</v>
      </c>
      <c r="O9">
        <f t="shared" ref="O9" si="5">(O12-O13)/(O11-O12) * (O12^3-O11^3) + (O12^3-O13^3)</f>
        <v>-26.433743963210645</v>
      </c>
      <c r="R9" s="5">
        <f>((1/$O$30) * ($O$28-1/(data_DeDietrich_AF60[[#This Row],[θ]]+273.15)))</f>
        <v>-788.85785184181987</v>
      </c>
      <c r="S9">
        <f t="shared" si="1"/>
        <v>402.4597873853499</v>
      </c>
    </row>
    <row r="10" spans="1:19" x14ac:dyDescent="0.25">
      <c r="A10" t="s">
        <v>41</v>
      </c>
      <c r="B10" s="8">
        <v>-4.5</v>
      </c>
      <c r="C10" s="9">
        <f t="shared" si="0"/>
        <v>1355.4635430665596</v>
      </c>
      <c r="D10" s="9" cm="1">
        <f t="array" aca="1" ref="D10" ca="1">INDIRECT(RefCell_Rpot)+SUM(G10:G$34)</f>
        <v>1354</v>
      </c>
      <c r="E10" s="9">
        <f ca="1">data_DeDietrich_AF60[[#This Row],[Rpcb]]-data_DeDietrich_AF60[[#This Row],[Rsonde]]</f>
        <v>-1.4635430665596232</v>
      </c>
      <c r="F10" s="4">
        <f ca="1">data_DeDietrich_AF60[[#This Row],[Diff R]]/data_DeDietrich_AF60[[#This Row],[Rsonde]]</f>
        <v>-1.0797362083590589E-3</v>
      </c>
      <c r="G10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75</v>
      </c>
      <c r="H10" s="9" cm="1">
        <f t="array" aca="1" ref="H10" ca="1">MAX(IF(ResValuesR24&lt;=ROUND(data_DeDietrich_AF60[[#This Row],[Rsonde]],2)-IF(data_DeDietrich_AF60[[#This Row],[Rsonde]]=MIN(data_DeDietrich_AF60[Rsonde]),100,$D11),ResValuesR24))</f>
        <v>75</v>
      </c>
      <c r="I10" s="9">
        <f ca="1">ROUND(data_DeDietrich_AF60[[#This Row],[RaddLow]]+(IF(data_DeDietrich_AF60[[#This Row],[Rsonde]]=MIN(data_DeDietrich_AF60[Rsonde]),0,$D11)-data_DeDietrich_AF60[[#This Row],[Rsonde]]),2)</f>
        <v>-1.46</v>
      </c>
      <c r="J10" s="9" cm="1">
        <f t="array" aca="1" ref="J10" ca="1">MIN(IF(ResValuesR24&gt;=ROUND(data_DeDietrich_AF60[[#This Row],[Rsonde]],2)-IF(data_DeDietrich_AF60[[#This Row],[Rsonde]]=MIN(data_DeDietrich_AF60[Rsonde]),100,$D11),ResValuesR24))</f>
        <v>82</v>
      </c>
      <c r="K10" s="9">
        <f ca="1">ROUND(data_DeDietrich_AF60[[#This Row],[RaddHigh]]+(IF(data_DeDietrich_AF60[[#This Row],[Rsonde]]=MIN(data_DeDietrich_AF60[Rsonde]),0,$D11)-data_DeDietrich_AF60[[#This Row],[Rsonde]]),2)</f>
        <v>5.54</v>
      </c>
      <c r="L10" s="2" cm="1">
        <f t="array" aca="1" ref="L10" ca="1">IF(INDIRECT(RefCell_R77),(data_DeDietrich_AF60[[#This Row],[Rpcb]]*INDIRECT(RefCell_R77))/(data_DeDietrich_AF60[[#This Row],[Rpcb]]+INDIRECT(RefCell_R77)),data_DeDietrich_AF60[[#This Row],[Rpcb]])</f>
        <v>1354</v>
      </c>
      <c r="N10" s="3" t="s">
        <v>182</v>
      </c>
      <c r="O10">
        <f t="shared" ref="O10" si="6">O15 - O16 - ( (O12-O13)/(O11-O12) ) * (O14-O15)</f>
        <v>-4.5785409943714943E-5</v>
      </c>
      <c r="R10" s="5">
        <f>((1/$O$30) * ($O$28-1/(data_DeDietrich_AF60[[#This Row],[θ]]+273.15)))</f>
        <v>-776.79136599832884</v>
      </c>
      <c r="S10">
        <f t="shared" si="1"/>
        <v>396.54874786276383</v>
      </c>
    </row>
    <row r="11" spans="1:19" x14ac:dyDescent="0.25">
      <c r="A11" t="s">
        <v>40</v>
      </c>
      <c r="B11" s="8">
        <v>-3</v>
      </c>
      <c r="C11" s="9">
        <f t="shared" si="0"/>
        <v>1280.7676700628544</v>
      </c>
      <c r="D11" s="9" cm="1">
        <f t="array" aca="1" ref="D11" ca="1">INDIRECT(RefCell_Rpot)+SUM(G11:G$34)</f>
        <v>1279</v>
      </c>
      <c r="E11" s="9">
        <f ca="1">data_DeDietrich_AF60[[#This Row],[Rpcb]]-data_DeDietrich_AF60[[#This Row],[Rsonde]]</f>
        <v>-1.7676700628544495</v>
      </c>
      <c r="F11" s="4">
        <f ca="1">data_DeDietrich_AF60[[#This Row],[Diff R]]/data_DeDietrich_AF60[[#This Row],[Rsonde]]</f>
        <v>-1.3801644936647253E-3</v>
      </c>
      <c r="G11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68</v>
      </c>
      <c r="H11" s="9" cm="1">
        <f t="array" aca="1" ref="H11" ca="1">MAX(IF(ResValuesR24&lt;=ROUND(data_DeDietrich_AF60[[#This Row],[Rsonde]],2)-IF(data_DeDietrich_AF60[[#This Row],[Rsonde]]=MIN(data_DeDietrich_AF60[Rsonde]),100,$D12),ResValuesR24))</f>
        <v>68</v>
      </c>
      <c r="I11" s="9">
        <f ca="1">ROUND(data_DeDietrich_AF60[[#This Row],[RaddLow]]+(IF(data_DeDietrich_AF60[[#This Row],[Rsonde]]=MIN(data_DeDietrich_AF60[Rsonde]),0,$D12)-data_DeDietrich_AF60[[#This Row],[Rsonde]]),2)</f>
        <v>-1.77</v>
      </c>
      <c r="J11" s="9" cm="1">
        <f t="array" aca="1" ref="J11" ca="1">MIN(IF(ResValuesR24&gt;=ROUND(data_DeDietrich_AF60[[#This Row],[Rsonde]],2)-IF(data_DeDietrich_AF60[[#This Row],[Rsonde]]=MIN(data_DeDietrich_AF60[Rsonde]),100,$D12),ResValuesR24))</f>
        <v>75</v>
      </c>
      <c r="K11" s="9">
        <f ca="1">ROUND(data_DeDietrich_AF60[[#This Row],[RaddHigh]]+(IF(data_DeDietrich_AF60[[#This Row],[Rsonde]]=MIN(data_DeDietrich_AF60[Rsonde]),0,$D12)-data_DeDietrich_AF60[[#This Row],[Rsonde]]),2)</f>
        <v>5.23</v>
      </c>
      <c r="L11" s="2" cm="1">
        <f t="array" aca="1" ref="L11" ca="1">IF(INDIRECT(RefCell_R77),(data_DeDietrich_AF60[[#This Row],[Rpcb]]*INDIRECT(RefCell_R77))/(data_DeDietrich_AF60[[#This Row],[Rpcb]]+INDIRECT(RefCell_R77)),data_DeDietrich_AF60[[#This Row],[Rpcb]])</f>
        <v>1279</v>
      </c>
      <c r="N11" s="3" t="s">
        <v>178</v>
      </c>
      <c r="O11">
        <f>LN(C3)</f>
        <v>7.6083744757594136</v>
      </c>
      <c r="R11" s="5">
        <f>((1/$O$30) * ($O$28-1/(data_DeDietrich_AF60[[#This Row],[θ]]+273.15)))</f>
        <v>-764.85887777664198</v>
      </c>
      <c r="S11">
        <f t="shared" si="1"/>
        <v>390.70702398034058</v>
      </c>
    </row>
    <row r="12" spans="1:19" x14ac:dyDescent="0.25">
      <c r="A12" t="s">
        <v>39</v>
      </c>
      <c r="B12" s="8">
        <v>-1.5</v>
      </c>
      <c r="C12" s="9">
        <f t="shared" si="0"/>
        <v>1210.1520282984279</v>
      </c>
      <c r="D12" s="9" cm="1">
        <f t="array" aca="1" ref="D12" ca="1">INDIRECT(RefCell_Rpot)+SUM(G12:G$34)</f>
        <v>1211</v>
      </c>
      <c r="E12" s="9">
        <f ca="1">data_DeDietrich_AF60[[#This Row],[Rpcb]]-data_DeDietrich_AF60[[#This Row],[Rsonde]]</f>
        <v>0.84797170157207802</v>
      </c>
      <c r="F12" s="4">
        <f ca="1">data_DeDietrich_AF60[[#This Row],[Diff R]]/data_DeDietrich_AF60[[#This Row],[Rsonde]]</f>
        <v>7.0071501905789066E-4</v>
      </c>
      <c r="G12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68</v>
      </c>
      <c r="H12" s="9" cm="1">
        <f t="array" aca="1" ref="H12" ca="1">MAX(IF(ResValuesR24&lt;=ROUND(data_DeDietrich_AF60[[#This Row],[Rsonde]],2)-IF(data_DeDietrich_AF60[[#This Row],[Rsonde]]=MIN(data_DeDietrich_AF60[Rsonde]),100,$D13),ResValuesR24))</f>
        <v>62</v>
      </c>
      <c r="I12" s="9">
        <f ca="1">ROUND(data_DeDietrich_AF60[[#This Row],[RaddLow]]+(IF(data_DeDietrich_AF60[[#This Row],[Rsonde]]=MIN(data_DeDietrich_AF60[Rsonde]),0,$D13)-data_DeDietrich_AF60[[#This Row],[Rsonde]]),2)</f>
        <v>-5.15</v>
      </c>
      <c r="J12" s="9" cm="1">
        <f t="array" aca="1" ref="J12" ca="1">MIN(IF(ResValuesR24&gt;=ROUND(data_DeDietrich_AF60[[#This Row],[Rsonde]],2)-IF(data_DeDietrich_AF60[[#This Row],[Rsonde]]=MIN(data_DeDietrich_AF60[Rsonde]),100,$D13),ResValuesR24))</f>
        <v>68</v>
      </c>
      <c r="K12" s="9">
        <f ca="1">ROUND(data_DeDietrich_AF60[[#This Row],[RaddHigh]]+(IF(data_DeDietrich_AF60[[#This Row],[Rsonde]]=MIN(data_DeDietrich_AF60[Rsonde]),0,$D13)-data_DeDietrich_AF60[[#This Row],[Rsonde]]),2)</f>
        <v>0.85</v>
      </c>
      <c r="L12" s="2" cm="1">
        <f t="array" aca="1" ref="L12" ca="1">IF(INDIRECT(RefCell_R77),(data_DeDietrich_AF60[[#This Row],[Rpcb]]*INDIRECT(RefCell_R77))/(data_DeDietrich_AF60[[#This Row],[Rpcb]]+INDIRECT(RefCell_R77)),data_DeDietrich_AF60[[#This Row],[Rpcb]])</f>
        <v>1211</v>
      </c>
      <c r="N12" s="3" t="s">
        <v>179</v>
      </c>
      <c r="O12">
        <f>LN(C17)</f>
        <v>6.8142630335376762</v>
      </c>
      <c r="R12" s="5">
        <f>((1/$O$30) * ($O$28-1/(data_DeDietrich_AF60[[#This Row],[θ]]+273.15)))</f>
        <v>-753.05816744807169</v>
      </c>
      <c r="S12">
        <f t="shared" si="1"/>
        <v>384.93357056666332</v>
      </c>
    </row>
    <row r="13" spans="1:19" x14ac:dyDescent="0.25">
      <c r="A13" t="s">
        <v>38</v>
      </c>
      <c r="B13" s="8">
        <v>0</v>
      </c>
      <c r="C13" s="9">
        <f t="shared" si="0"/>
        <v>1143.3885119338111</v>
      </c>
      <c r="D13" s="9" cm="1">
        <f t="array" aca="1" ref="D13" ca="1">INDIRECT(RefCell_Rpot)+SUM(G13:G$34)</f>
        <v>1143</v>
      </c>
      <c r="E13" s="9">
        <f ca="1">data_DeDietrich_AF60[[#This Row],[Rpcb]]-data_DeDietrich_AF60[[#This Row],[Rsonde]]</f>
        <v>-0.38851193381105986</v>
      </c>
      <c r="F13" s="4">
        <f ca="1">data_DeDietrich_AF60[[#This Row],[Diff R]]/data_DeDietrich_AF60[[#This Row],[Rsonde]]</f>
        <v>-3.3978995744322313E-4</v>
      </c>
      <c r="G13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62</v>
      </c>
      <c r="H13" s="9" cm="1">
        <f t="array" aca="1" ref="H13" ca="1">MAX(IF(ResValuesR24&lt;=ROUND(data_DeDietrich_AF60[[#This Row],[Rsonde]],2)-IF(data_DeDietrich_AF60[[#This Row],[Rsonde]]=MIN(data_DeDietrich_AF60[Rsonde]),100,$D14),ResValuesR24))</f>
        <v>62</v>
      </c>
      <c r="I13" s="9">
        <f ca="1">ROUND(data_DeDietrich_AF60[[#This Row],[RaddLow]]+(IF(data_DeDietrich_AF60[[#This Row],[Rsonde]]=MIN(data_DeDietrich_AF60[Rsonde]),0,$D14)-data_DeDietrich_AF60[[#This Row],[Rsonde]]),2)</f>
        <v>-0.39</v>
      </c>
      <c r="J13" s="9" cm="1">
        <f t="array" aca="1" ref="J13" ca="1">MIN(IF(ResValuesR24&gt;=ROUND(data_DeDietrich_AF60[[#This Row],[Rsonde]],2)-IF(data_DeDietrich_AF60[[#This Row],[Rsonde]]=MIN(data_DeDietrich_AF60[Rsonde]),100,$D14),ResValuesR24))</f>
        <v>68</v>
      </c>
      <c r="K13" s="9">
        <f ca="1">ROUND(data_DeDietrich_AF60[[#This Row],[RaddHigh]]+(IF(data_DeDietrich_AF60[[#This Row],[Rsonde]]=MIN(data_DeDietrich_AF60[Rsonde]),0,$D14)-data_DeDietrich_AF60[[#This Row],[Rsonde]]),2)</f>
        <v>5.61</v>
      </c>
      <c r="L13" s="2" cm="1">
        <f t="array" aca="1" ref="L13" ca="1">IF(INDIRECT(RefCell_R77),(data_DeDietrich_AF60[[#This Row],[Rpcb]]*INDIRECT(RefCell_R77))/(data_DeDietrich_AF60[[#This Row],[Rpcb]]+INDIRECT(RefCell_R77)),data_DeDietrich_AF60[[#This Row],[Rpcb]])</f>
        <v>1143</v>
      </c>
      <c r="N13" s="3" t="s">
        <v>180</v>
      </c>
      <c r="O13">
        <f>LN(C31)</f>
        <v>6.0065048357611968</v>
      </c>
      <c r="R13" s="5">
        <f>((1/$O$30) * ($O$28-1/(data_DeDietrich_AF60[[#This Row],[θ]]+273.15)))</f>
        <v>-741.38706404238519</v>
      </c>
      <c r="S13">
        <f t="shared" si="1"/>
        <v>379.2273691883081</v>
      </c>
    </row>
    <row r="14" spans="1:19" x14ac:dyDescent="0.25">
      <c r="A14" t="s">
        <v>37</v>
      </c>
      <c r="B14" s="8">
        <v>1.5</v>
      </c>
      <c r="C14" s="9">
        <f t="shared" si="0"/>
        <v>1080.2624058621793</v>
      </c>
      <c r="D14" s="9" cm="1">
        <f t="array" aca="1" ref="D14" ca="1">INDIRECT(RefCell_Rpot)+SUM(G14:G$34)</f>
        <v>1081</v>
      </c>
      <c r="E14" s="9">
        <f ca="1">data_DeDietrich_AF60[[#This Row],[Rpcb]]-data_DeDietrich_AF60[[#This Row],[Rsonde]]</f>
        <v>0.73759413782067895</v>
      </c>
      <c r="F14" s="4">
        <f ca="1">data_DeDietrich_AF60[[#This Row],[Diff R]]/data_DeDietrich_AF60[[#This Row],[Rsonde]]</f>
        <v>6.8279163823348101E-4</v>
      </c>
      <c r="G14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62</v>
      </c>
      <c r="H14" s="9" cm="1">
        <f t="array" aca="1" ref="H14" ca="1">MAX(IF(ResValuesR24&lt;=ROUND(data_DeDietrich_AF60[[#This Row],[Rsonde]],2)-IF(data_DeDietrich_AF60[[#This Row],[Rsonde]]=MIN(data_DeDietrich_AF60[Rsonde]),100,$D15),ResValuesR24))</f>
        <v>56</v>
      </c>
      <c r="I14" s="9">
        <f ca="1">ROUND(data_DeDietrich_AF60[[#This Row],[RaddLow]]+(IF(data_DeDietrich_AF60[[#This Row],[Rsonde]]=MIN(data_DeDietrich_AF60[Rsonde]),0,$D15)-data_DeDietrich_AF60[[#This Row],[Rsonde]]),2)</f>
        <v>-5.26</v>
      </c>
      <c r="J14" s="9" cm="1">
        <f t="array" aca="1" ref="J14" ca="1">MIN(IF(ResValuesR24&gt;=ROUND(data_DeDietrich_AF60[[#This Row],[Rsonde]],2)-IF(data_DeDietrich_AF60[[#This Row],[Rsonde]]=MIN(data_DeDietrich_AF60[Rsonde]),100,$D15),ResValuesR24))</f>
        <v>62</v>
      </c>
      <c r="K14" s="9">
        <f ca="1">ROUND(data_DeDietrich_AF60[[#This Row],[RaddHigh]]+(IF(data_DeDietrich_AF60[[#This Row],[Rsonde]]=MIN(data_DeDietrich_AF60[Rsonde]),0,$D15)-data_DeDietrich_AF60[[#This Row],[Rsonde]]),2)</f>
        <v>0.74</v>
      </c>
      <c r="L14" s="2" cm="1">
        <f t="array" aca="1" ref="L14" ca="1">IF(INDIRECT(RefCell_R77),(data_DeDietrich_AF60[[#This Row],[Rpcb]]*INDIRECT(RefCell_R77))/(data_DeDietrich_AF60[[#This Row],[Rpcb]]+INDIRECT(RefCell_R77)),data_DeDietrich_AF60[[#This Row],[Rpcb]])</f>
        <v>1081</v>
      </c>
      <c r="N14" s="3" t="s">
        <v>175</v>
      </c>
      <c r="O14">
        <f>1/(B3+273.15)</f>
        <v>3.8737168312996321E-3</v>
      </c>
      <c r="R14" s="5">
        <f>((1/$O$30) * ($O$28-1/(data_DeDietrich_AF60[[#This Row],[θ]]+273.15)))</f>
        <v>-729.84344401633484</v>
      </c>
      <c r="S14">
        <f t="shared" si="1"/>
        <v>373.58742758897097</v>
      </c>
    </row>
    <row r="15" spans="1:19" x14ac:dyDescent="0.25">
      <c r="A15" t="s">
        <v>36</v>
      </c>
      <c r="B15" s="8">
        <v>3</v>
      </c>
      <c r="C15" s="9">
        <f t="shared" si="0"/>
        <v>1020.5715492166131</v>
      </c>
      <c r="D15" s="9" cm="1">
        <f t="array" aca="1" ref="D15" ca="1">INDIRECT(RefCell_Rpot)+SUM(G15:G$34)</f>
        <v>1019</v>
      </c>
      <c r="E15" s="9">
        <f ca="1">data_DeDietrich_AF60[[#This Row],[Rpcb]]-data_DeDietrich_AF60[[#This Row],[Rsonde]]</f>
        <v>-1.5715492166131071</v>
      </c>
      <c r="F15" s="4">
        <f ca="1">data_DeDietrich_AF60[[#This Row],[Diff R]]/data_DeDietrich_AF60[[#This Row],[Rsonde]]</f>
        <v>-1.5398716707509849E-3</v>
      </c>
      <c r="G15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56</v>
      </c>
      <c r="H15" s="9" cm="1">
        <f t="array" aca="1" ref="H15" ca="1">MAX(IF(ResValuesR24&lt;=ROUND(data_DeDietrich_AF60[[#This Row],[Rsonde]],2)-IF(data_DeDietrich_AF60[[#This Row],[Rsonde]]=MIN(data_DeDietrich_AF60[Rsonde]),100,$D16),ResValuesR24))</f>
        <v>56</v>
      </c>
      <c r="I15" s="9">
        <f ca="1">ROUND(data_DeDietrich_AF60[[#This Row],[RaddLow]]+(IF(data_DeDietrich_AF60[[#This Row],[Rsonde]]=MIN(data_DeDietrich_AF60[Rsonde]),0,$D16)-data_DeDietrich_AF60[[#This Row],[Rsonde]]),2)</f>
        <v>-1.57</v>
      </c>
      <c r="J15" s="9" cm="1">
        <f t="array" aca="1" ref="J15" ca="1">MIN(IF(ResValuesR24&gt;=ROUND(data_DeDietrich_AF60[[#This Row],[Rsonde]],2)-IF(data_DeDietrich_AF60[[#This Row],[Rsonde]]=MIN(data_DeDietrich_AF60[Rsonde]),100,$D16),ResValuesR24))</f>
        <v>62</v>
      </c>
      <c r="K15" s="9">
        <f ca="1">ROUND(data_DeDietrich_AF60[[#This Row],[RaddHigh]]+(IF(data_DeDietrich_AF60[[#This Row],[Rsonde]]=MIN(data_DeDietrich_AF60[Rsonde]),0,$D16)-data_DeDietrich_AF60[[#This Row],[Rsonde]]),2)</f>
        <v>4.43</v>
      </c>
      <c r="L15" s="2" cm="1">
        <f t="array" aca="1" ref="L15" ca="1">IF(INDIRECT(RefCell_R77),(data_DeDietrich_AF60[[#This Row],[Rpcb]]*INDIRECT(RefCell_R77))/(data_DeDietrich_AF60[[#This Row],[Rpcb]]+INDIRECT(RefCell_R77)),data_DeDietrich_AF60[[#This Row],[Rpcb]])</f>
        <v>1019</v>
      </c>
      <c r="N15" s="3" t="s">
        <v>176</v>
      </c>
      <c r="O15">
        <f>1/(B17+273.15)</f>
        <v>3.5823034210997673E-3</v>
      </c>
      <c r="R15" s="5">
        <f>((1/$O$30) * ($O$28-1/(data_DeDietrich_AF60[[#This Row],[θ]]+273.15)))</f>
        <v>-718.42522996558102</v>
      </c>
      <c r="S15">
        <f t="shared" si="1"/>
        <v>368.01277915571478</v>
      </c>
    </row>
    <row r="16" spans="1:19" x14ac:dyDescent="0.25">
      <c r="A16" t="s">
        <v>35</v>
      </c>
      <c r="B16" s="8">
        <v>4.5</v>
      </c>
      <c r="C16" s="9">
        <f t="shared" si="0"/>
        <v>964.12555470933125</v>
      </c>
      <c r="D16" s="9" cm="1">
        <f t="array" aca="1" ref="D16" ca="1">INDIRECT(RefCell_Rpot)+SUM(G16:G$34)</f>
        <v>963</v>
      </c>
      <c r="E16" s="9">
        <f ca="1">data_DeDietrich_AF60[[#This Row],[Rpcb]]-data_DeDietrich_AF60[[#This Row],[Rsonde]]</f>
        <v>-1.1255547093312543</v>
      </c>
      <c r="F16" s="4">
        <f ca="1">data_DeDietrich_AF60[[#This Row],[Diff R]]/data_DeDietrich_AF60[[#This Row],[Rsonde]]</f>
        <v>-1.167435821852675E-3</v>
      </c>
      <c r="G16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51</v>
      </c>
      <c r="H16" s="9" cm="1">
        <f t="array" aca="1" ref="H16" ca="1">MAX(IF(ResValuesR24&lt;=ROUND(data_DeDietrich_AF60[[#This Row],[Rsonde]],2)-IF(data_DeDietrich_AF60[[#This Row],[Rsonde]]=MIN(data_DeDietrich_AF60[Rsonde]),100,$D17),ResValuesR24))</f>
        <v>51</v>
      </c>
      <c r="I16" s="9">
        <f ca="1">ROUND(data_DeDietrich_AF60[[#This Row],[RaddLow]]+(IF(data_DeDietrich_AF60[[#This Row],[Rsonde]]=MIN(data_DeDietrich_AF60[Rsonde]),0,$D17)-data_DeDietrich_AF60[[#This Row],[Rsonde]]),2)</f>
        <v>-1.1299999999999999</v>
      </c>
      <c r="J16" s="9" cm="1">
        <f t="array" aca="1" ref="J16" ca="1">MIN(IF(ResValuesR24&gt;=ROUND(data_DeDietrich_AF60[[#This Row],[Rsonde]],2)-IF(data_DeDietrich_AF60[[#This Row],[Rsonde]]=MIN(data_DeDietrich_AF60[Rsonde]),100,$D17),ResValuesR24))</f>
        <v>56</v>
      </c>
      <c r="K16" s="9">
        <f ca="1">ROUND(data_DeDietrich_AF60[[#This Row],[RaddHigh]]+(IF(data_DeDietrich_AF60[[#This Row],[Rsonde]]=MIN(data_DeDietrich_AF60[Rsonde]),0,$D17)-data_DeDietrich_AF60[[#This Row],[Rsonde]]),2)</f>
        <v>3.87</v>
      </c>
      <c r="L16" s="2" cm="1">
        <f t="array" aca="1" ref="L16" ca="1">IF(INDIRECT(RefCell_R77),(data_DeDietrich_AF60[[#This Row],[Rpcb]]*INDIRECT(RefCell_R77))/(data_DeDietrich_AF60[[#This Row],[Rpcb]]+INDIRECT(RefCell_R77)),data_DeDietrich_AF60[[#This Row],[Rpcb]])</f>
        <v>963</v>
      </c>
      <c r="N16" s="3" t="s">
        <v>177</v>
      </c>
      <c r="O16">
        <f>1/(B31+273.15)</f>
        <v>3.331667499583542E-3</v>
      </c>
      <c r="R16" s="5">
        <f>((1/$O$30) * ($O$28-1/(data_DeDietrich_AF60[[#This Row],[θ]]+273.15)))</f>
        <v>-707.13038937836848</v>
      </c>
      <c r="S16">
        <f t="shared" si="1"/>
        <v>362.50248241183004</v>
      </c>
    </row>
    <row r="17" spans="1:19" x14ac:dyDescent="0.25">
      <c r="A17" t="s">
        <v>34</v>
      </c>
      <c r="B17" s="8">
        <v>6</v>
      </c>
      <c r="C17" s="9">
        <f t="shared" si="0"/>
        <v>910.74507982211969</v>
      </c>
      <c r="D17" s="9" cm="1">
        <f t="array" aca="1" ref="D17" ca="1">INDIRECT(RefCell_Rpot)+SUM(G17:G$34)</f>
        <v>912</v>
      </c>
      <c r="E17" s="9">
        <f ca="1">data_DeDietrich_AF60[[#This Row],[Rpcb]]-data_DeDietrich_AF60[[#This Row],[Rsonde]]</f>
        <v>1.2549201778803081</v>
      </c>
      <c r="F17" s="4">
        <f ca="1">data_DeDietrich_AF60[[#This Row],[Diff R]]/data_DeDietrich_AF60[[#This Row],[Rsonde]]</f>
        <v>1.3779049765774308E-3</v>
      </c>
      <c r="G17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51</v>
      </c>
      <c r="H17" s="9" cm="1">
        <f t="array" aca="1" ref="H17" ca="1">MAX(IF(ResValuesR24&lt;=ROUND(data_DeDietrich_AF60[[#This Row],[Rsonde]],2)-IF(data_DeDietrich_AF60[[#This Row],[Rsonde]]=MIN(data_DeDietrich_AF60[Rsonde]),100,$D18),ResValuesR24))</f>
        <v>47</v>
      </c>
      <c r="I17" s="9">
        <f ca="1">ROUND(data_DeDietrich_AF60[[#This Row],[RaddLow]]+(IF(data_DeDietrich_AF60[[#This Row],[Rsonde]]=MIN(data_DeDietrich_AF60[Rsonde]),0,$D18)-data_DeDietrich_AF60[[#This Row],[Rsonde]]),2)</f>
        <v>-2.75</v>
      </c>
      <c r="J17" s="9" cm="1">
        <f t="array" aca="1" ref="J17" ca="1">MIN(IF(ResValuesR24&gt;=ROUND(data_DeDietrich_AF60[[#This Row],[Rsonde]],2)-IF(data_DeDietrich_AF60[[#This Row],[Rsonde]]=MIN(data_DeDietrich_AF60[Rsonde]),100,$D18),ResValuesR24))</f>
        <v>51</v>
      </c>
      <c r="K17" s="9">
        <f ca="1">ROUND(data_DeDietrich_AF60[[#This Row],[RaddHigh]]+(IF(data_DeDietrich_AF60[[#This Row],[Rsonde]]=MIN(data_DeDietrich_AF60[Rsonde]),0,$D18)-data_DeDietrich_AF60[[#This Row],[Rsonde]]),2)</f>
        <v>1.25</v>
      </c>
      <c r="L17" s="2" cm="1">
        <f t="array" aca="1" ref="L17" ca="1">IF(INDIRECT(RefCell_R77),(data_DeDietrich_AF60[[#This Row],[Rpcb]]*INDIRECT(RefCell_R77))/(data_DeDietrich_AF60[[#This Row],[Rpcb]]+INDIRECT(RefCell_R77)),data_DeDietrich_AF60[[#This Row],[Rpcb]])</f>
        <v>912</v>
      </c>
      <c r="R17" s="5">
        <f>((1/$O$30) * ($O$28-1/(data_DeDietrich_AF60[[#This Row],[θ]]+273.15)))</f>
        <v>-695.95693342938489</v>
      </c>
      <c r="S17">
        <f t="shared" si="1"/>
        <v>357.05562053585817</v>
      </c>
    </row>
    <row r="18" spans="1:19" x14ac:dyDescent="0.25">
      <c r="A18" t="s">
        <v>33</v>
      </c>
      <c r="B18" s="8">
        <v>7.5</v>
      </c>
      <c r="C18" s="9">
        <f t="shared" si="0"/>
        <v>860.26114616975656</v>
      </c>
      <c r="D18" s="9" cm="1">
        <f t="array" aca="1" ref="D18" ca="1">INDIRECT(RefCell_Rpot)+SUM(G18:G$34)</f>
        <v>861</v>
      </c>
      <c r="E18" s="9">
        <f ca="1">data_DeDietrich_AF60[[#This Row],[Rpcb]]-data_DeDietrich_AF60[[#This Row],[Rsonde]]</f>
        <v>0.73885383024344264</v>
      </c>
      <c r="F18" s="4">
        <f ca="1">data_DeDietrich_AF60[[#This Row],[Diff R]]/data_DeDietrich_AF60[[#This Row],[Rsonde]]</f>
        <v>8.5887155723948457E-4</v>
      </c>
      <c r="G18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47</v>
      </c>
      <c r="H18" s="9" cm="1">
        <f t="array" aca="1" ref="H18" ca="1">MAX(IF(ResValuesR24&lt;=ROUND(data_DeDietrich_AF60[[#This Row],[Rsonde]],2)-IF(data_DeDietrich_AF60[[#This Row],[Rsonde]]=MIN(data_DeDietrich_AF60[Rsonde]),100,$D19),ResValuesR24))</f>
        <v>43</v>
      </c>
      <c r="I18" s="9">
        <f ca="1">ROUND(data_DeDietrich_AF60[[#This Row],[RaddLow]]+(IF(data_DeDietrich_AF60[[#This Row],[Rsonde]]=MIN(data_DeDietrich_AF60[Rsonde]),0,$D19)-data_DeDietrich_AF60[[#This Row],[Rsonde]]),2)</f>
        <v>-3.26</v>
      </c>
      <c r="J18" s="9" cm="1">
        <f t="array" aca="1" ref="J18" ca="1">MIN(IF(ResValuesR24&gt;=ROUND(data_DeDietrich_AF60[[#This Row],[Rsonde]],2)-IF(data_DeDietrich_AF60[[#This Row],[Rsonde]]=MIN(data_DeDietrich_AF60[Rsonde]),100,$D19),ResValuesR24))</f>
        <v>47</v>
      </c>
      <c r="K18" s="9">
        <f ca="1">ROUND(data_DeDietrich_AF60[[#This Row],[RaddHigh]]+(IF(data_DeDietrich_AF60[[#This Row],[Rsonde]]=MIN(data_DeDietrich_AF60[Rsonde]),0,$D19)-data_DeDietrich_AF60[[#This Row],[Rsonde]]),2)</f>
        <v>0.74</v>
      </c>
      <c r="L18" s="2" cm="1">
        <f t="array" aca="1" ref="L18" ca="1">IF(INDIRECT(RefCell_R77),(data_DeDietrich_AF60[[#This Row],[Rpcb]]*INDIRECT(RefCell_R77))/(data_DeDietrich_AF60[[#This Row],[Rpcb]]+INDIRECT(RefCell_R77)),data_DeDietrich_AF60[[#This Row],[Rpcb]])</f>
        <v>861</v>
      </c>
      <c r="R18" s="5">
        <f>((1/$O$30) * ($O$28-1/(data_DeDietrich_AF60[[#This Row],[θ]]+273.15)))</f>
        <v>-684.90291581229883</v>
      </c>
      <c r="S18">
        <f t="shared" si="1"/>
        <v>351.67130090637994</v>
      </c>
    </row>
    <row r="19" spans="1:19" x14ac:dyDescent="0.25">
      <c r="A19" t="s">
        <v>32</v>
      </c>
      <c r="B19" s="8">
        <v>9</v>
      </c>
      <c r="C19" s="9">
        <f t="shared" si="0"/>
        <v>812.5145036361705</v>
      </c>
      <c r="D19" s="9" cm="1">
        <f t="array" aca="1" ref="D19" ca="1">INDIRECT(RefCell_Rpot)+SUM(G19:G$34)</f>
        <v>814</v>
      </c>
      <c r="E19" s="9">
        <f ca="1">data_DeDietrich_AF60[[#This Row],[Rpcb]]-data_DeDietrich_AF60[[#This Row],[Rsonde]]</f>
        <v>1.4854963638294976</v>
      </c>
      <c r="F19" s="4">
        <f ca="1">data_DeDietrich_AF60[[#This Row],[Diff R]]/data_DeDietrich_AF60[[#This Row],[Rsonde]]</f>
        <v>1.8282705812408197E-3</v>
      </c>
      <c r="G19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47</v>
      </c>
      <c r="H19" s="9" cm="1">
        <f t="array" aca="1" ref="H19" ca="1">MAX(IF(ResValuesR24&lt;=ROUND(data_DeDietrich_AF60[[#This Row],[Rsonde]],2)-IF(data_DeDietrich_AF60[[#This Row],[Rsonde]]=MIN(data_DeDietrich_AF60[Rsonde]),100,$D20),ResValuesR24))</f>
        <v>43</v>
      </c>
      <c r="I19" s="9">
        <f ca="1">ROUND(data_DeDietrich_AF60[[#This Row],[RaddLow]]+(IF(data_DeDietrich_AF60[[#This Row],[Rsonde]]=MIN(data_DeDietrich_AF60[Rsonde]),0,$D20)-data_DeDietrich_AF60[[#This Row],[Rsonde]]),2)</f>
        <v>-2.5099999999999998</v>
      </c>
      <c r="J19" s="9" cm="1">
        <f t="array" aca="1" ref="J19" ca="1">MIN(IF(ResValuesR24&gt;=ROUND(data_DeDietrich_AF60[[#This Row],[Rsonde]],2)-IF(data_DeDietrich_AF60[[#This Row],[Rsonde]]=MIN(data_DeDietrich_AF60[Rsonde]),100,$D20),ResValuesR24))</f>
        <v>47</v>
      </c>
      <c r="K19" s="9">
        <f ca="1">ROUND(data_DeDietrich_AF60[[#This Row],[RaddHigh]]+(IF(data_DeDietrich_AF60[[#This Row],[Rsonde]]=MIN(data_DeDietrich_AF60[Rsonde]),0,$D20)-data_DeDietrich_AF60[[#This Row],[Rsonde]]),2)</f>
        <v>1.49</v>
      </c>
      <c r="L19" s="2" cm="1">
        <f t="array" aca="1" ref="L19" ca="1">IF(INDIRECT(RefCell_R77),(data_DeDietrich_AF60[[#This Row],[Rpcb]]*INDIRECT(RefCell_R77))/(data_DeDietrich_AF60[[#This Row],[Rpcb]]+INDIRECT(RefCell_R77)),data_DeDietrich_AF60[[#This Row],[Rpcb]])</f>
        <v>814</v>
      </c>
      <c r="R19" s="5">
        <f>((1/$O$30) * ($O$28-1/(data_DeDietrich_AF60[[#This Row],[θ]]+273.15)))</f>
        <v>-673.96643160953556</v>
      </c>
      <c r="S19">
        <f t="shared" si="1"/>
        <v>346.34865467222636</v>
      </c>
    </row>
    <row r="20" spans="1:19" x14ac:dyDescent="0.25">
      <c r="A20" t="s">
        <v>31</v>
      </c>
      <c r="B20" s="8">
        <v>10.5</v>
      </c>
      <c r="C20" s="9">
        <f t="shared" si="0"/>
        <v>767.35503613912692</v>
      </c>
      <c r="D20" s="9" cm="1">
        <f t="array" aca="1" ref="D20" ca="1">INDIRECT(RefCell_Rpot)+SUM(G20:G$34)</f>
        <v>767</v>
      </c>
      <c r="E20" s="9">
        <f ca="1">data_DeDietrich_AF60[[#This Row],[Rpcb]]-data_DeDietrich_AF60[[#This Row],[Rsonde]]</f>
        <v>-0.35503613912692344</v>
      </c>
      <c r="F20" s="4">
        <f ca="1">data_DeDietrich_AF60[[#This Row],[Diff R]]/data_DeDietrich_AF60[[#This Row],[Rsonde]]</f>
        <v>-4.6267519258523884E-4</v>
      </c>
      <c r="G20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43</v>
      </c>
      <c r="H20" s="9" cm="1">
        <f t="array" aca="1" ref="H20" ca="1">MAX(IF(ResValuesR24&lt;=ROUND(data_DeDietrich_AF60[[#This Row],[Rsonde]],2)-IF(data_DeDietrich_AF60[[#This Row],[Rsonde]]=MIN(data_DeDietrich_AF60[Rsonde]),100,$D21),ResValuesR24))</f>
        <v>43</v>
      </c>
      <c r="I20" s="9">
        <f ca="1">ROUND(data_DeDietrich_AF60[[#This Row],[RaddLow]]+(IF(data_DeDietrich_AF60[[#This Row],[Rsonde]]=MIN(data_DeDietrich_AF60[Rsonde]),0,$D21)-data_DeDietrich_AF60[[#This Row],[Rsonde]]),2)</f>
        <v>-0.36</v>
      </c>
      <c r="J20" s="9" cm="1">
        <f t="array" aca="1" ref="J20" ca="1">MIN(IF(ResValuesR24&gt;=ROUND(data_DeDietrich_AF60[[#This Row],[Rsonde]],2)-IF(data_DeDietrich_AF60[[#This Row],[Rsonde]]=MIN(data_DeDietrich_AF60[Rsonde]),100,$D21),ResValuesR24))</f>
        <v>47</v>
      </c>
      <c r="K20" s="9">
        <f ca="1">ROUND(data_DeDietrich_AF60[[#This Row],[RaddHigh]]+(IF(data_DeDietrich_AF60[[#This Row],[Rsonde]]=MIN(data_DeDietrich_AF60[Rsonde]),0,$D21)-data_DeDietrich_AF60[[#This Row],[Rsonde]]),2)</f>
        <v>3.64</v>
      </c>
      <c r="L20" s="2" cm="1">
        <f t="array" aca="1" ref="L20" ca="1">IF(INDIRECT(RefCell_R77),(data_DeDietrich_AF60[[#This Row],[Rpcb]]*INDIRECT(RefCell_R77))/(data_DeDietrich_AF60[[#This Row],[Rpcb]]+INDIRECT(RefCell_R77)),data_DeDietrich_AF60[[#This Row],[Rpcb]])</f>
        <v>767</v>
      </c>
      <c r="R20" s="5">
        <f>((1/$O$30) * ($O$28-1/(data_DeDietrich_AF60[[#This Row],[θ]]+273.15)))</f>
        <v>-663.14561619791766</v>
      </c>
      <c r="S20">
        <f t="shared" si="1"/>
        <v>341.08683634782415</v>
      </c>
    </row>
    <row r="21" spans="1:19" x14ac:dyDescent="0.25">
      <c r="A21" t="s">
        <v>30</v>
      </c>
      <c r="B21" s="8">
        <v>12</v>
      </c>
      <c r="C21" s="9">
        <f t="shared" si="0"/>
        <v>724.64120611413534</v>
      </c>
      <c r="D21" s="9" cm="1">
        <f t="array" aca="1" ref="D21" ca="1">INDIRECT(RefCell_Rpot)+SUM(G21:G$34)</f>
        <v>724</v>
      </c>
      <c r="E21" s="9">
        <f ca="1">data_DeDietrich_AF60[[#This Row],[Rpcb]]-data_DeDietrich_AF60[[#This Row],[Rsonde]]</f>
        <v>-0.64120611413534334</v>
      </c>
      <c r="F21" s="4">
        <f ca="1">data_DeDietrich_AF60[[#This Row],[Diff R]]/data_DeDietrich_AF60[[#This Row],[Rsonde]]</f>
        <v>-8.8486013315995378E-4</v>
      </c>
      <c r="G21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39</v>
      </c>
      <c r="H21" s="9" cm="1">
        <f t="array" aca="1" ref="H21" ca="1">MAX(IF(ResValuesR24&lt;=ROUND(data_DeDietrich_AF60[[#This Row],[Rsonde]],2)-IF(data_DeDietrich_AF60[[#This Row],[Rsonde]]=MIN(data_DeDietrich_AF60[Rsonde]),100,$D22),ResValuesR24))</f>
        <v>39</v>
      </c>
      <c r="I21" s="9">
        <f ca="1">ROUND(data_DeDietrich_AF60[[#This Row],[RaddLow]]+(IF(data_DeDietrich_AF60[[#This Row],[Rsonde]]=MIN(data_DeDietrich_AF60[Rsonde]),0,$D22)-data_DeDietrich_AF60[[#This Row],[Rsonde]]),2)</f>
        <v>-0.64</v>
      </c>
      <c r="J21" s="9" cm="1">
        <f t="array" aca="1" ref="J21" ca="1">MIN(IF(ResValuesR24&gt;=ROUND(data_DeDietrich_AF60[[#This Row],[Rsonde]],2)-IF(data_DeDietrich_AF60[[#This Row],[Rsonde]]=MIN(data_DeDietrich_AF60[Rsonde]),100,$D22),ResValuesR24))</f>
        <v>43</v>
      </c>
      <c r="K21" s="9">
        <f ca="1">ROUND(data_DeDietrich_AF60[[#This Row],[RaddHigh]]+(IF(data_DeDietrich_AF60[[#This Row],[Rsonde]]=MIN(data_DeDietrich_AF60[Rsonde]),0,$D22)-data_DeDietrich_AF60[[#This Row],[Rsonde]]),2)</f>
        <v>3.36</v>
      </c>
      <c r="L21" s="2" cm="1">
        <f t="array" aca="1" ref="L21" ca="1">IF(INDIRECT(RefCell_R77),(data_DeDietrich_AF60[[#This Row],[Rpcb]]*INDIRECT(RefCell_R77))/(data_DeDietrich_AF60[[#This Row],[Rpcb]]+INDIRECT(RefCell_R77)),data_DeDietrich_AF60[[#This Row],[Rpcb]])</f>
        <v>724</v>
      </c>
      <c r="N21" t="s">
        <v>271</v>
      </c>
      <c r="R21" s="5">
        <f>((1/$O$30) * ($O$28-1/(data_DeDietrich_AF60[[#This Row],[θ]]+273.15)))</f>
        <v>-652.43864418884164</v>
      </c>
      <c r="S21">
        <f t="shared" si="1"/>
        <v>335.88502343343902</v>
      </c>
    </row>
    <row r="22" spans="1:19" x14ac:dyDescent="0.25">
      <c r="A22" t="s">
        <v>29</v>
      </c>
      <c r="B22" s="8">
        <v>13.5</v>
      </c>
      <c r="C22" s="9">
        <f t="shared" si="0"/>
        <v>684.239535025245</v>
      </c>
      <c r="D22" s="9" cm="1">
        <f t="array" aca="1" ref="D22" ca="1">INDIRECT(RefCell_Rpot)+SUM(G22:G$34)</f>
        <v>685</v>
      </c>
      <c r="E22" s="9">
        <f ca="1">data_DeDietrich_AF60[[#This Row],[Rpcb]]-data_DeDietrich_AF60[[#This Row],[Rsonde]]</f>
        <v>0.76046497475499564</v>
      </c>
      <c r="F22" s="4">
        <f ca="1">data_DeDietrich_AF60[[#This Row],[Diff R]]/data_DeDietrich_AF60[[#This Row],[Rsonde]]</f>
        <v>1.1114016887769256E-3</v>
      </c>
      <c r="G22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39</v>
      </c>
      <c r="H22" s="9" cm="1">
        <f t="array" aca="1" ref="H22" ca="1">MAX(IF(ResValuesR24&lt;=ROUND(data_DeDietrich_AF60[[#This Row],[Rsonde]],2)-IF(data_DeDietrich_AF60[[#This Row],[Rsonde]]=MIN(data_DeDietrich_AF60[Rsonde]),100,$D23),ResValuesR24))</f>
        <v>36</v>
      </c>
      <c r="I22" s="9">
        <f ca="1">ROUND(data_DeDietrich_AF60[[#This Row],[RaddLow]]+(IF(data_DeDietrich_AF60[[#This Row],[Rsonde]]=MIN(data_DeDietrich_AF60[Rsonde]),0,$D23)-data_DeDietrich_AF60[[#This Row],[Rsonde]]),2)</f>
        <v>-2.2400000000000002</v>
      </c>
      <c r="J22" s="9" cm="1">
        <f t="array" aca="1" ref="J22" ca="1">MIN(IF(ResValuesR24&gt;=ROUND(data_DeDietrich_AF60[[#This Row],[Rsonde]],2)-IF(data_DeDietrich_AF60[[#This Row],[Rsonde]]=MIN(data_DeDietrich_AF60[Rsonde]),100,$D23),ResValuesR24))</f>
        <v>39</v>
      </c>
      <c r="K22" s="9">
        <f ca="1">ROUND(data_DeDietrich_AF60[[#This Row],[RaddHigh]]+(IF(data_DeDietrich_AF60[[#This Row],[Rsonde]]=MIN(data_DeDietrich_AF60[Rsonde]),0,$D23)-data_DeDietrich_AF60[[#This Row],[Rsonde]]),2)</f>
        <v>0.76</v>
      </c>
      <c r="L22" s="2" cm="1">
        <f t="array" aca="1" ref="L22" ca="1">IF(INDIRECT(RefCell_R77),(data_DeDietrich_AF60[[#This Row],[Rpcb]]*INDIRECT(RefCell_R77))/(data_DeDietrich_AF60[[#This Row],[Rpcb]]+INDIRECT(RefCell_R77)),data_DeDietrich_AF60[[#This Row],[Rpcb]])</f>
        <v>685</v>
      </c>
      <c r="N22" t="s">
        <v>272</v>
      </c>
      <c r="O22" t="s">
        <v>144</v>
      </c>
      <c r="R22" s="5">
        <f>((1/$O$30) * ($O$28-1/(data_DeDietrich_AF60[[#This Row],[θ]]+273.15)))</f>
        <v>-641.84372840173387</v>
      </c>
      <c r="S22">
        <f t="shared" si="1"/>
        <v>330.74241606013896</v>
      </c>
    </row>
    <row r="23" spans="1:19" x14ac:dyDescent="0.25">
      <c r="A23" t="s">
        <v>28</v>
      </c>
      <c r="B23" s="8">
        <v>15</v>
      </c>
      <c r="C23" s="9">
        <f t="shared" si="0"/>
        <v>646.02411740959644</v>
      </c>
      <c r="D23" s="9" cm="1">
        <f t="array" aca="1" ref="D23" ca="1">INDIRECT(RefCell_Rpot)+SUM(G23:G$34)</f>
        <v>646</v>
      </c>
      <c r="E23" s="9">
        <f ca="1">data_DeDietrich_AF60[[#This Row],[Rpcb]]-data_DeDietrich_AF60[[#This Row],[Rsonde]]</f>
        <v>-2.4117409596442485E-2</v>
      </c>
      <c r="F23" s="4">
        <f ca="1">data_DeDietrich_AF60[[#This Row],[Diff R]]/data_DeDietrich_AF60[[#This Row],[Rsonde]]</f>
        <v>-3.7332057653122268E-5</v>
      </c>
      <c r="G23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36</v>
      </c>
      <c r="H23" s="9" cm="1">
        <f t="array" aca="1" ref="H23" ca="1">MAX(IF(ResValuesR24&lt;=ROUND(data_DeDietrich_AF60[[#This Row],[Rsonde]],2)-IF(data_DeDietrich_AF60[[#This Row],[Rsonde]]=MIN(data_DeDietrich_AF60[Rsonde]),100,$D24),ResValuesR24))</f>
        <v>36</v>
      </c>
      <c r="I23" s="9">
        <f ca="1">ROUND(data_DeDietrich_AF60[[#This Row],[RaddLow]]+(IF(data_DeDietrich_AF60[[#This Row],[Rsonde]]=MIN(data_DeDietrich_AF60[Rsonde]),0,$D24)-data_DeDietrich_AF60[[#This Row],[Rsonde]]),2)</f>
        <v>-0.02</v>
      </c>
      <c r="J23" s="9" cm="1">
        <f t="array" aca="1" ref="J23" ca="1">MIN(IF(ResValuesR24&gt;=ROUND(data_DeDietrich_AF60[[#This Row],[Rsonde]],2)-IF(data_DeDietrich_AF60[[#This Row],[Rsonde]]=MIN(data_DeDietrich_AF60[Rsonde]),100,$D24),ResValuesR24))</f>
        <v>39</v>
      </c>
      <c r="K23" s="9">
        <f ca="1">ROUND(data_DeDietrich_AF60[[#This Row],[RaddHigh]]+(IF(data_DeDietrich_AF60[[#This Row],[Rsonde]]=MIN(data_DeDietrich_AF60[Rsonde]),0,$D24)-data_DeDietrich_AF60[[#This Row],[Rsonde]]),2)</f>
        <v>2.98</v>
      </c>
      <c r="L23" s="2" cm="1">
        <f t="array" aca="1" ref="L23" ca="1">IF(INDIRECT(RefCell_R77),(data_DeDietrich_AF60[[#This Row],[Rpcb]]*INDIRECT(RefCell_R77))/(data_DeDietrich_AF60[[#This Row],[Rpcb]]+INDIRECT(RefCell_R77)),data_DeDietrich_AF60[[#This Row],[Rpcb]])</f>
        <v>646</v>
      </c>
      <c r="N23">
        <v>-15</v>
      </c>
      <c r="O23">
        <v>2015</v>
      </c>
      <c r="R23" s="5">
        <f>((1/$O$30) * ($O$28-1/(data_DeDietrich_AF60[[#This Row],[θ]]+273.15)))</f>
        <v>-631.3591188695674</v>
      </c>
      <c r="S23">
        <f t="shared" si="1"/>
        <v>325.65823665935051</v>
      </c>
    </row>
    <row r="24" spans="1:19" x14ac:dyDescent="0.25">
      <c r="A24" t="s">
        <v>27</v>
      </c>
      <c r="B24" s="8">
        <v>16.5</v>
      </c>
      <c r="C24" s="9">
        <f t="shared" si="0"/>
        <v>609.87616614649778</v>
      </c>
      <c r="D24" s="9" cm="1">
        <f t="array" aca="1" ref="D24" ca="1">INDIRECT(RefCell_Rpot)+SUM(G24:G$34)</f>
        <v>610</v>
      </c>
      <c r="E24" s="9">
        <f ca="1">data_DeDietrich_AF60[[#This Row],[Rpcb]]-data_DeDietrich_AF60[[#This Row],[Rsonde]]</f>
        <v>0.12383385350221943</v>
      </c>
      <c r="F24" s="4">
        <f ca="1">data_DeDietrich_AF60[[#This Row],[Diff R]]/data_DeDietrich_AF60[[#This Row],[Rsonde]]</f>
        <v>2.030475371494898E-4</v>
      </c>
      <c r="G24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33</v>
      </c>
      <c r="H24" s="9" cm="1">
        <f t="array" aca="1" ref="H24" ca="1">MAX(IF(ResValuesR24&lt;=ROUND(data_DeDietrich_AF60[[#This Row],[Rsonde]],2)-IF(data_DeDietrich_AF60[[#This Row],[Rsonde]]=MIN(data_DeDietrich_AF60[Rsonde]),100,$D25),ResValuesR24))</f>
        <v>30</v>
      </c>
      <c r="I24" s="9">
        <f ca="1">ROUND(data_DeDietrich_AF60[[#This Row],[RaddLow]]+(IF(data_DeDietrich_AF60[[#This Row],[Rsonde]]=MIN(data_DeDietrich_AF60[Rsonde]),0,$D25)-data_DeDietrich_AF60[[#This Row],[Rsonde]]),2)</f>
        <v>-2.88</v>
      </c>
      <c r="J24" s="9" cm="1">
        <f t="array" aca="1" ref="J24" ca="1">MIN(IF(ResValuesR24&gt;=ROUND(data_DeDietrich_AF60[[#This Row],[Rsonde]],2)-IF(data_DeDietrich_AF60[[#This Row],[Rsonde]]=MIN(data_DeDietrich_AF60[Rsonde]),100,$D25),ResValuesR24))</f>
        <v>33</v>
      </c>
      <c r="K24" s="9">
        <f ca="1">ROUND(data_DeDietrich_AF60[[#This Row],[RaddHigh]]+(IF(data_DeDietrich_AF60[[#This Row],[Rsonde]]=MIN(data_DeDietrich_AF60[Rsonde]),0,$D25)-data_DeDietrich_AF60[[#This Row],[Rsonde]]),2)</f>
        <v>0.12</v>
      </c>
      <c r="L24" s="2" cm="1">
        <f t="array" aca="1" ref="L24" ca="1">IF(INDIRECT(RefCell_R77),(data_DeDietrich_AF60[[#This Row],[Rpcb]]*INDIRECT(RefCell_R77))/(data_DeDietrich_AF60[[#This Row],[Rpcb]]+INDIRECT(RefCell_R77)),data_DeDietrich_AF60[[#This Row],[Rpcb]])</f>
        <v>610</v>
      </c>
      <c r="N24">
        <v>5</v>
      </c>
      <c r="O24">
        <v>946</v>
      </c>
      <c r="R24" s="5">
        <f>((1/$O$30) * ($O$28-1/(data_DeDietrich_AF60[[#This Row],[θ]]+273.15)))</f>
        <v>-620.98310187527943</v>
      </c>
      <c r="S24">
        <f t="shared" si="1"/>
        <v>320.6317296569373</v>
      </c>
    </row>
    <row r="25" spans="1:19" x14ac:dyDescent="0.25">
      <c r="A25" t="s">
        <v>26</v>
      </c>
      <c r="B25" s="8">
        <v>18</v>
      </c>
      <c r="C25" s="9">
        <f t="shared" si="0"/>
        <v>575.68358681110294</v>
      </c>
      <c r="D25" s="9" cm="1">
        <f t="array" aca="1" ref="D25" ca="1">INDIRECT(RefCell_Rpot)+SUM(G25:G$34)</f>
        <v>577</v>
      </c>
      <c r="E25" s="9">
        <f ca="1">data_DeDietrich_AF60[[#This Row],[Rpcb]]-data_DeDietrich_AF60[[#This Row],[Rsonde]]</f>
        <v>1.3164131888970587</v>
      </c>
      <c r="F25" s="4">
        <f ca="1">data_DeDietrich_AF60[[#This Row],[Diff R]]/data_DeDietrich_AF60[[#This Row],[Rsonde]]</f>
        <v>2.2866957110747174E-3</v>
      </c>
      <c r="G25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33</v>
      </c>
      <c r="H25" s="9" cm="1">
        <f t="array" aca="1" ref="H25" ca="1">MAX(IF(ResValuesR24&lt;=ROUND(data_DeDietrich_AF60[[#This Row],[Rsonde]],2)-IF(data_DeDietrich_AF60[[#This Row],[Rsonde]]=MIN(data_DeDietrich_AF60[Rsonde]),100,$D26),ResValuesR24))</f>
        <v>30</v>
      </c>
      <c r="I25" s="9">
        <f ca="1">ROUND(data_DeDietrich_AF60[[#This Row],[RaddLow]]+(IF(data_DeDietrich_AF60[[#This Row],[Rsonde]]=MIN(data_DeDietrich_AF60[Rsonde]),0,$D26)-data_DeDietrich_AF60[[#This Row],[Rsonde]]),2)</f>
        <v>-1.68</v>
      </c>
      <c r="J25" s="9" cm="1">
        <f t="array" aca="1" ref="J25" ca="1">MIN(IF(ResValuesR24&gt;=ROUND(data_DeDietrich_AF60[[#This Row],[Rsonde]],2)-IF(data_DeDietrich_AF60[[#This Row],[Rsonde]]=MIN(data_DeDietrich_AF60[Rsonde]),100,$D26),ResValuesR24))</f>
        <v>33</v>
      </c>
      <c r="K25" s="9">
        <f ca="1">ROUND(data_DeDietrich_AF60[[#This Row],[RaddHigh]]+(IF(data_DeDietrich_AF60[[#This Row],[Rsonde]]=MIN(data_DeDietrich_AF60[Rsonde]),0,$D26)-data_DeDietrich_AF60[[#This Row],[Rsonde]]),2)</f>
        <v>1.32</v>
      </c>
      <c r="L25" s="2" cm="1">
        <f t="array" aca="1" ref="L25" ca="1">IF(INDIRECT(RefCell_R77),(data_DeDietrich_AF60[[#This Row],[Rpcb]]*INDIRECT(RefCell_R77))/(data_DeDietrich_AF60[[#This Row],[Rpcb]]+INDIRECT(RefCell_R77)),data_DeDietrich_AF60[[#This Row],[Rpcb]])</f>
        <v>577</v>
      </c>
      <c r="N25">
        <v>30</v>
      </c>
      <c r="O25">
        <v>361</v>
      </c>
      <c r="R25" s="5">
        <f>((1/$O$30) * ($O$28-1/(data_DeDietrich_AF60[[#This Row],[θ]]+273.15)))</f>
        <v>-610.7139990179752</v>
      </c>
      <c r="S25">
        <f t="shared" si="1"/>
        <v>315.66216119178785</v>
      </c>
    </row>
    <row r="26" spans="1:19" x14ac:dyDescent="0.25">
      <c r="A26" t="s">
        <v>25</v>
      </c>
      <c r="B26" s="8">
        <v>19.5</v>
      </c>
      <c r="C26" s="9">
        <f t="shared" si="0"/>
        <v>543.34057912893991</v>
      </c>
      <c r="D26" s="9" cm="1">
        <f t="array" aca="1" ref="D26" ca="1">INDIRECT(RefCell_Rpot)+SUM(G26:G$34)</f>
        <v>544</v>
      </c>
      <c r="E26" s="9">
        <f ca="1">data_DeDietrich_AF60[[#This Row],[Rpcb]]-data_DeDietrich_AF60[[#This Row],[Rsonde]]</f>
        <v>0.6594208710600924</v>
      </c>
      <c r="F26" s="4">
        <f ca="1">data_DeDietrich_AF60[[#This Row],[Diff R]]/data_DeDietrich_AF60[[#This Row],[Rsonde]]</f>
        <v>1.2136418599863227E-3</v>
      </c>
      <c r="G26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30</v>
      </c>
      <c r="H26" s="9" cm="1">
        <f t="array" aca="1" ref="H26" ca="1">MAX(IF(ResValuesR24&lt;=ROUND(data_DeDietrich_AF60[[#This Row],[Rsonde]],2)-IF(data_DeDietrich_AF60[[#This Row],[Rsonde]]=MIN(data_DeDietrich_AF60[Rsonde]),100,$D27),ResValuesR24))</f>
        <v>27</v>
      </c>
      <c r="I26" s="9">
        <f ca="1">ROUND(data_DeDietrich_AF60[[#This Row],[RaddLow]]+(IF(data_DeDietrich_AF60[[#This Row],[Rsonde]]=MIN(data_DeDietrich_AF60[Rsonde]),0,$D27)-data_DeDietrich_AF60[[#This Row],[Rsonde]]),2)</f>
        <v>-2.34</v>
      </c>
      <c r="J26" s="9" cm="1">
        <f t="array" aca="1" ref="J26" ca="1">MIN(IF(ResValuesR24&gt;=ROUND(data_DeDietrich_AF60[[#This Row],[Rsonde]],2)-IF(data_DeDietrich_AF60[[#This Row],[Rsonde]]=MIN(data_DeDietrich_AF60[Rsonde]),100,$D27),ResValuesR24))</f>
        <v>30</v>
      </c>
      <c r="K26" s="9">
        <f ca="1">ROUND(data_DeDietrich_AF60[[#This Row],[RaddHigh]]+(IF(data_DeDietrich_AF60[[#This Row],[Rsonde]]=MIN(data_DeDietrich_AF60[Rsonde]),0,$D27)-data_DeDietrich_AF60[[#This Row],[Rsonde]]),2)</f>
        <v>0.66</v>
      </c>
      <c r="L26" s="2" cm="1">
        <f t="array" aca="1" ref="L26" ca="1">IF(INDIRECT(RefCell_R77),(data_DeDietrich_AF60[[#This Row],[Rpcb]]*INDIRECT(RefCell_R77))/(data_DeDietrich_AF60[[#This Row],[Rpcb]]+INDIRECT(RefCell_R77)),data_DeDietrich_AF60[[#This Row],[Rpcb]])</f>
        <v>544</v>
      </c>
      <c r="N26" t="s">
        <v>273</v>
      </c>
      <c r="R26" s="5">
        <f>((1/$O$30) * ($O$28-1/(data_DeDietrich_AF60[[#This Row],[θ]]+273.15)))</f>
        <v>-600.55016630784996</v>
      </c>
      <c r="S26">
        <f t="shared" si="1"/>
        <v>310.74881885895394</v>
      </c>
    </row>
    <row r="27" spans="1:19" x14ac:dyDescent="0.25">
      <c r="A27" t="s">
        <v>24</v>
      </c>
      <c r="B27" s="8">
        <v>21</v>
      </c>
      <c r="C27" s="9">
        <f t="shared" si="0"/>
        <v>512.74726369170321</v>
      </c>
      <c r="D27" s="9" cm="1">
        <f t="array" aca="1" ref="D27" ca="1">INDIRECT(RefCell_Rpot)+SUM(G27:G$34)</f>
        <v>514</v>
      </c>
      <c r="E27" s="9">
        <f ca="1">data_DeDietrich_AF60[[#This Row],[Rpcb]]-data_DeDietrich_AF60[[#This Row],[Rsonde]]</f>
        <v>1.2527363082967895</v>
      </c>
      <c r="F27" s="4">
        <f ca="1">data_DeDietrich_AF60[[#This Row],[Diff R]]/data_DeDietrich_AF60[[#This Row],[Rsonde]]</f>
        <v>2.4431847754335665E-3</v>
      </c>
      <c r="G27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30</v>
      </c>
      <c r="H27" s="9" cm="1">
        <f t="array" aca="1" ref="H27" ca="1">MAX(IF(ResValuesR24&lt;=ROUND(data_DeDietrich_AF60[[#This Row],[Rsonde]],2)-IF(data_DeDietrich_AF60[[#This Row],[Rsonde]]=MIN(data_DeDietrich_AF60[Rsonde]),100,$D28),ResValuesR24))</f>
        <v>27</v>
      </c>
      <c r="I27" s="9">
        <f ca="1">ROUND(data_DeDietrich_AF60[[#This Row],[RaddLow]]+(IF(data_DeDietrich_AF60[[#This Row],[Rsonde]]=MIN(data_DeDietrich_AF60[Rsonde]),0,$D28)-data_DeDietrich_AF60[[#This Row],[Rsonde]]),2)</f>
        <v>-1.75</v>
      </c>
      <c r="J27" s="9" cm="1">
        <f t="array" aca="1" ref="J27" ca="1">MIN(IF(ResValuesR24&gt;=ROUND(data_DeDietrich_AF60[[#This Row],[Rsonde]],2)-IF(data_DeDietrich_AF60[[#This Row],[Rsonde]]=MIN(data_DeDietrich_AF60[Rsonde]),100,$D28),ResValuesR24))</f>
        <v>30</v>
      </c>
      <c r="K27" s="9">
        <f ca="1">ROUND(data_DeDietrich_AF60[[#This Row],[RaddHigh]]+(IF(data_DeDietrich_AF60[[#This Row],[Rsonde]]=MIN(data_DeDietrich_AF60[Rsonde]),0,$D28)-data_DeDietrich_AF60[[#This Row],[Rsonde]]),2)</f>
        <v>1.25</v>
      </c>
      <c r="L27" s="2" cm="1">
        <f t="array" aca="1" ref="L27" ca="1">IF(INDIRECT(RefCell_R77),(data_DeDietrich_AF60[[#This Row],[Rpcb]]*INDIRECT(RefCell_R77))/(data_DeDietrich_AF60[[#This Row],[Rpcb]]+INDIRECT(RefCell_R77)),data_DeDietrich_AF60[[#This Row],[Rpcb]])</f>
        <v>514</v>
      </c>
      <c r="N27" t="s">
        <v>274</v>
      </c>
      <c r="R27" s="5">
        <f>((1/$O$30) * ($O$28-1/(data_DeDietrich_AF60[[#This Row],[θ]]+273.15)))</f>
        <v>-590.48999328880211</v>
      </c>
      <c r="S27">
        <f t="shared" si="1"/>
        <v>305.89101147743912</v>
      </c>
    </row>
    <row r="28" spans="1:19" x14ac:dyDescent="0.25">
      <c r="A28" t="s">
        <v>23</v>
      </c>
      <c r="B28" s="8">
        <v>22.5</v>
      </c>
      <c r="C28" s="9">
        <f t="shared" si="0"/>
        <v>483.809332227494</v>
      </c>
      <c r="D28" s="9" cm="1">
        <f t="array" aca="1" ref="D28" ca="1">INDIRECT(RefCell_Rpot)+SUM(G28:G$34)</f>
        <v>484</v>
      </c>
      <c r="E28" s="9">
        <f ca="1">data_DeDietrich_AF60[[#This Row],[Rpcb]]-data_DeDietrich_AF60[[#This Row],[Rsonde]]</f>
        <v>0.19066777250600353</v>
      </c>
      <c r="F28" s="4">
        <f ca="1">data_DeDietrich_AF60[[#This Row],[Diff R]]/data_DeDietrich_AF60[[#This Row],[Rsonde]]</f>
        <v>3.9409692993757478E-4</v>
      </c>
      <c r="G28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27</v>
      </c>
      <c r="H28" s="9" cm="1">
        <f t="array" aca="1" ref="H28" ca="1">MAX(IF(ResValuesR24&lt;=ROUND(data_DeDietrich_AF60[[#This Row],[Rsonde]],2)-IF(data_DeDietrich_AF60[[#This Row],[Rsonde]]=MIN(data_DeDietrich_AF60[Rsonde]),100,$D29),ResValuesR24))</f>
        <v>24</v>
      </c>
      <c r="I28" s="9">
        <f ca="1">ROUND(data_DeDietrich_AF60[[#This Row],[RaddLow]]+(IF(data_DeDietrich_AF60[[#This Row],[Rsonde]]=MIN(data_DeDietrich_AF60[Rsonde]),0,$D29)-data_DeDietrich_AF60[[#This Row],[Rsonde]]),2)</f>
        <v>-2.81</v>
      </c>
      <c r="J28" s="9" cm="1">
        <f t="array" aca="1" ref="J28" ca="1">MIN(IF(ResValuesR24&gt;=ROUND(data_DeDietrich_AF60[[#This Row],[Rsonde]],2)-IF(data_DeDietrich_AF60[[#This Row],[Rsonde]]=MIN(data_DeDietrich_AF60[Rsonde]),100,$D29),ResValuesR24))</f>
        <v>27</v>
      </c>
      <c r="K28" s="9">
        <f ca="1">ROUND(data_DeDietrich_AF60[[#This Row],[RaddHigh]]+(IF(data_DeDietrich_AF60[[#This Row],[Rsonde]]=MIN(data_DeDietrich_AF60[Rsonde]),0,$D29)-data_DeDietrich_AF60[[#This Row],[Rsonde]]),2)</f>
        <v>0.19</v>
      </c>
      <c r="L28" s="2" cm="1">
        <f t="array" aca="1" ref="L28" ca="1">IF(INDIRECT(RefCell_R77),(data_DeDietrich_AF60[[#This Row],[Rpcb]]*INDIRECT(RefCell_R77))/(data_DeDietrich_AF60[[#This Row],[Rpcb]]+INDIRECT(RefCell_R77)),data_DeDietrich_AF60[[#This Row],[Rpcb]])</f>
        <v>484</v>
      </c>
      <c r="N28" t="s">
        <v>131</v>
      </c>
      <c r="O28" s="5">
        <v>2.3768490009999999E-3</v>
      </c>
      <c r="R28" s="5">
        <f>((1/$O$30) * ($O$28-1/(data_DeDietrich_AF60[[#This Row],[θ]]+273.15)))</f>
        <v>-580.53190218775569</v>
      </c>
      <c r="S28">
        <f t="shared" si="1"/>
        <v>301.08806888279696</v>
      </c>
    </row>
    <row r="29" spans="1:19" x14ac:dyDescent="0.25">
      <c r="A29" t="s">
        <v>22</v>
      </c>
      <c r="B29" s="8">
        <v>24</v>
      </c>
      <c r="C29" s="9">
        <f t="shared" si="0"/>
        <v>456.43771984164073</v>
      </c>
      <c r="D29" s="9" cm="1">
        <f t="array" aca="1" ref="D29" ca="1">INDIRECT(RefCell_Rpot)+SUM(G29:G$34)</f>
        <v>457</v>
      </c>
      <c r="E29" s="9">
        <f ca="1">data_DeDietrich_AF60[[#This Row],[Rpcb]]-data_DeDietrich_AF60[[#This Row],[Rsonde]]</f>
        <v>0.56228015835927181</v>
      </c>
      <c r="F29" s="4">
        <f ca="1">data_DeDietrich_AF60[[#This Row],[Diff R]]/data_DeDietrich_AF60[[#This Row],[Rsonde]]</f>
        <v>1.2318880187079033E-3</v>
      </c>
      <c r="G29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27</v>
      </c>
      <c r="H29" s="9" cm="1">
        <f t="array" aca="1" ref="H29" ca="1">MAX(IF(ResValuesR24&lt;=ROUND(data_DeDietrich_AF60[[#This Row],[Rsonde]],2)-IF(data_DeDietrich_AF60[[#This Row],[Rsonde]]=MIN(data_DeDietrich_AF60[Rsonde]),100,$D30),ResValuesR24))</f>
        <v>24</v>
      </c>
      <c r="I29" s="9">
        <f ca="1">ROUND(data_DeDietrich_AF60[[#This Row],[RaddLow]]+(IF(data_DeDietrich_AF60[[#This Row],[Rsonde]]=MIN(data_DeDietrich_AF60[Rsonde]),0,$D30)-data_DeDietrich_AF60[[#This Row],[Rsonde]]),2)</f>
        <v>-2.44</v>
      </c>
      <c r="J29" s="9" cm="1">
        <f t="array" aca="1" ref="J29" ca="1">MIN(IF(ResValuesR24&gt;=ROUND(data_DeDietrich_AF60[[#This Row],[Rsonde]],2)-IF(data_DeDietrich_AF60[[#This Row],[Rsonde]]=MIN(data_DeDietrich_AF60[Rsonde]),100,$D30),ResValuesR24))</f>
        <v>27</v>
      </c>
      <c r="K29" s="9">
        <f ca="1">ROUND(data_DeDietrich_AF60[[#This Row],[RaddHigh]]+(IF(data_DeDietrich_AF60[[#This Row],[Rsonde]]=MIN(data_DeDietrich_AF60[Rsonde]),0,$D30)-data_DeDietrich_AF60[[#This Row],[Rsonde]]),2)</f>
        <v>0.56000000000000005</v>
      </c>
      <c r="L29" s="2" cm="1">
        <f t="array" aca="1" ref="L29" ca="1">IF(INDIRECT(RefCell_R77),(data_DeDietrich_AF60[[#This Row],[Rpcb]]*INDIRECT(RefCell_R77))/(data_DeDietrich_AF60[[#This Row],[Rpcb]]+INDIRECT(RefCell_R77)),data_DeDietrich_AF60[[#This Row],[Rpcb]])</f>
        <v>457</v>
      </c>
      <c r="N29" t="s">
        <v>130</v>
      </c>
      <c r="O29" s="5">
        <v>9.6473851990000004E-5</v>
      </c>
      <c r="R29" s="5">
        <f>((1/$O$30) * ($O$28-1/(data_DeDietrich_AF60[[#This Row],[θ]]+273.15)))</f>
        <v>-570.67434708974861</v>
      </c>
      <c r="S29">
        <f t="shared" si="1"/>
        <v>296.33934174475741</v>
      </c>
    </row>
    <row r="30" spans="1:19" x14ac:dyDescent="0.25">
      <c r="A30" t="s">
        <v>21</v>
      </c>
      <c r="B30" s="8">
        <v>25.5</v>
      </c>
      <c r="C30" s="9">
        <f t="shared" si="0"/>
        <v>430.54829775745435</v>
      </c>
      <c r="D30" s="9" cm="1">
        <f t="array" aca="1" ref="D30" ca="1">INDIRECT(RefCell_Rpot)+SUM(G30:G$34)</f>
        <v>430</v>
      </c>
      <c r="E30" s="9">
        <f ca="1">data_DeDietrich_AF60[[#This Row],[Rpcb]]-data_DeDietrich_AF60[[#This Row],[Rsonde]]</f>
        <v>-0.54829775745434972</v>
      </c>
      <c r="F30" s="4">
        <f ca="1">data_DeDietrich_AF60[[#This Row],[Diff R]]/data_DeDietrich_AF60[[#This Row],[Rsonde]]</f>
        <v>-1.2734872261955348E-3</v>
      </c>
      <c r="G30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24</v>
      </c>
      <c r="H30" s="9" cm="1">
        <f t="array" aca="1" ref="H30" ca="1">MAX(IF(ResValuesR24&lt;=ROUND(data_DeDietrich_AF60[[#This Row],[Rsonde]],2)-IF(data_DeDietrich_AF60[[#This Row],[Rsonde]]=MIN(data_DeDietrich_AF60[Rsonde]),100,$D31),ResValuesR24))</f>
        <v>24</v>
      </c>
      <c r="I30" s="9">
        <f ca="1">ROUND(data_DeDietrich_AF60[[#This Row],[RaddLow]]+(IF(data_DeDietrich_AF60[[#This Row],[Rsonde]]=MIN(data_DeDietrich_AF60[Rsonde]),0,$D31)-data_DeDietrich_AF60[[#This Row],[Rsonde]]),2)</f>
        <v>-0.55000000000000004</v>
      </c>
      <c r="J30" s="9" cm="1">
        <f t="array" aca="1" ref="J30" ca="1">MIN(IF(ResValuesR24&gt;=ROUND(data_DeDietrich_AF60[[#This Row],[Rsonde]],2)-IF(data_DeDietrich_AF60[[#This Row],[Rsonde]]=MIN(data_DeDietrich_AF60[Rsonde]),100,$D31),ResValuesR24))</f>
        <v>27</v>
      </c>
      <c r="K30" s="9">
        <f ca="1">ROUND(data_DeDietrich_AF60[[#This Row],[RaddHigh]]+(IF(data_DeDietrich_AF60[[#This Row],[Rsonde]]=MIN(data_DeDietrich_AF60[Rsonde]),0,$D31)-data_DeDietrich_AF60[[#This Row],[Rsonde]]),2)</f>
        <v>2.4500000000000002</v>
      </c>
      <c r="L30" s="2" cm="1">
        <f t="array" aca="1" ref="L30" ca="1">IF(INDIRECT(RefCell_R77),(data_DeDietrich_AF60[[#This Row],[Rpcb]]*INDIRECT(RefCell_R77))/(data_DeDietrich_AF60[[#This Row],[Rpcb]]+INDIRECT(RefCell_R77)),data_DeDietrich_AF60[[#This Row],[Rpcb]])</f>
        <v>430</v>
      </c>
      <c r="N30" t="s">
        <v>129</v>
      </c>
      <c r="O30" s="5">
        <v>1.732081918E-6</v>
      </c>
      <c r="R30" s="5">
        <f>((1/$O$30) * ($O$28-1/(data_DeDietrich_AF60[[#This Row],[θ]]+273.15)))</f>
        <v>-560.91581313787924</v>
      </c>
      <c r="S30">
        <f t="shared" si="1"/>
        <v>291.64420141016086</v>
      </c>
    </row>
    <row r="31" spans="1:19" x14ac:dyDescent="0.25">
      <c r="A31" t="s">
        <v>20</v>
      </c>
      <c r="B31" s="8">
        <v>27</v>
      </c>
      <c r="C31" s="9">
        <f t="shared" si="0"/>
        <v>406.06158519112699</v>
      </c>
      <c r="D31" s="9" cm="1">
        <f t="array" aca="1" ref="D31" ca="1">INDIRECT(RefCell_Rpot)+SUM(G31:G$34)</f>
        <v>406</v>
      </c>
      <c r="E31" s="9">
        <f ca="1">data_DeDietrich_AF60[[#This Row],[Rpcb]]-data_DeDietrich_AF60[[#This Row],[Rsonde]]</f>
        <v>-6.1585191126994232E-2</v>
      </c>
      <c r="F31" s="4">
        <f ca="1">data_DeDietrich_AF60[[#This Row],[Diff R]]/data_DeDietrich_AF60[[#This Row],[Rsonde]]</f>
        <v>-1.5166465721697616E-4</v>
      </c>
      <c r="G31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24</v>
      </c>
      <c r="H31" s="9" cm="1">
        <f t="array" aca="1" ref="H31" ca="1">MAX(IF(ResValuesR24&lt;=ROUND(data_DeDietrich_AF60[[#This Row],[Rsonde]],2)-IF(data_DeDietrich_AF60[[#This Row],[Rsonde]]=MIN(data_DeDietrich_AF60[Rsonde]),100,$D32),ResValuesR24))</f>
        <v>24</v>
      </c>
      <c r="I31" s="9">
        <f ca="1">ROUND(data_DeDietrich_AF60[[#This Row],[RaddLow]]+(IF(data_DeDietrich_AF60[[#This Row],[Rsonde]]=MIN(data_DeDietrich_AF60[Rsonde]),0,$D32)-data_DeDietrich_AF60[[#This Row],[Rsonde]]),2)</f>
        <v>-0.06</v>
      </c>
      <c r="J31" s="9" cm="1">
        <f t="array" aca="1" ref="J31" ca="1">MIN(IF(ResValuesR24&gt;=ROUND(data_DeDietrich_AF60[[#This Row],[Rsonde]],2)-IF(data_DeDietrich_AF60[[#This Row],[Rsonde]]=MIN(data_DeDietrich_AF60[Rsonde]),100,$D32),ResValuesR24))</f>
        <v>27</v>
      </c>
      <c r="K31" s="9">
        <f ca="1">ROUND(data_DeDietrich_AF60[[#This Row],[RaddHigh]]+(IF(data_DeDietrich_AF60[[#This Row],[Rsonde]]=MIN(data_DeDietrich_AF60[Rsonde]),0,$D32)-data_DeDietrich_AF60[[#This Row],[Rsonde]]),2)</f>
        <v>2.94</v>
      </c>
      <c r="L31" s="2" cm="1">
        <f t="array" aca="1" ref="L31" ca="1">IF(INDIRECT(RefCell_R77),(data_DeDietrich_AF60[[#This Row],[Rpcb]]*INDIRECT(RefCell_R77))/(data_DeDietrich_AF60[[#This Row],[Rpcb]]+INDIRECT(RefCell_R77)),data_DeDietrich_AF60[[#This Row],[Rpcb]])</f>
        <v>406</v>
      </c>
      <c r="R31" s="5">
        <f>((1/$O$30) * ($O$28-1/(data_DeDietrich_AF60[[#This Row],[θ]]+273.15)))</f>
        <v>-551.25481575724302</v>
      </c>
      <c r="S31">
        <f t="shared" si="1"/>
        <v>287.00203977154308</v>
      </c>
    </row>
    <row r="32" spans="1:19" x14ac:dyDescent="0.25">
      <c r="A32" t="s">
        <v>19</v>
      </c>
      <c r="B32" s="8">
        <v>28.5</v>
      </c>
      <c r="C32" s="9">
        <f t="shared" si="0"/>
        <v>382.90247909173598</v>
      </c>
      <c r="D32" s="9" cm="1">
        <f t="array" aca="1" ref="D32" ca="1">INDIRECT(RefCell_Rpot)+SUM(G32:G$34)</f>
        <v>382</v>
      </c>
      <c r="E32" s="9">
        <f ca="1">data_DeDietrich_AF60[[#This Row],[Rpcb]]-data_DeDietrich_AF60[[#This Row],[Rsonde]]</f>
        <v>-0.90247909173598373</v>
      </c>
      <c r="F32" s="4">
        <f ca="1">data_DeDietrich_AF60[[#This Row],[Diff R]]/data_DeDietrich_AF60[[#This Row],[Rsonde]]</f>
        <v>-2.3569424096618798E-3</v>
      </c>
      <c r="G32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22</v>
      </c>
      <c r="H32" s="9" cm="1">
        <f t="array" aca="1" ref="H32" ca="1">MAX(IF(ResValuesR24&lt;=ROUND(data_DeDietrich_AF60[[#This Row],[Rsonde]],2)-IF(data_DeDietrich_AF60[[#This Row],[Rsonde]]=MIN(data_DeDietrich_AF60[Rsonde]),100,$D33),ResValuesR24))</f>
        <v>22</v>
      </c>
      <c r="I32" s="9">
        <f ca="1">ROUND(data_DeDietrich_AF60[[#This Row],[RaddLow]]+(IF(data_DeDietrich_AF60[[#This Row],[Rsonde]]=MIN(data_DeDietrich_AF60[Rsonde]),0,$D33)-data_DeDietrich_AF60[[#This Row],[Rsonde]]),2)</f>
        <v>-0.9</v>
      </c>
      <c r="J32" s="9" cm="1">
        <f t="array" aca="1" ref="J32" ca="1">MIN(IF(ResValuesR24&gt;=ROUND(data_DeDietrich_AF60[[#This Row],[Rsonde]],2)-IF(data_DeDietrich_AF60[[#This Row],[Rsonde]]=MIN(data_DeDietrich_AF60[Rsonde]),100,$D33),ResValuesR24))</f>
        <v>24</v>
      </c>
      <c r="K32" s="9">
        <f ca="1">ROUND(data_DeDietrich_AF60[[#This Row],[RaddHigh]]+(IF(data_DeDietrich_AF60[[#This Row],[Rsonde]]=MIN(data_DeDietrich_AF60[Rsonde]),0,$D33)-data_DeDietrich_AF60[[#This Row],[Rsonde]]),2)</f>
        <v>1.1000000000000001</v>
      </c>
      <c r="L32" s="2" cm="1">
        <f t="array" aca="1" ref="L32" ca="1">IF(INDIRECT(RefCell_R77),(data_DeDietrich_AF60[[#This Row],[Rpcb]]*INDIRECT(RefCell_R77))/(data_DeDietrich_AF60[[#This Row],[Rpcb]]+INDIRECT(RefCell_R77)),data_DeDietrich_AF60[[#This Row],[Rpcb]])</f>
        <v>382</v>
      </c>
      <c r="R32" s="5">
        <f>((1/$O$30) * ($O$28-1/(data_DeDietrich_AF60[[#This Row],[θ]]+273.15)))</f>
        <v>-541.68989990202317</v>
      </c>
      <c r="S32">
        <f t="shared" si="1"/>
        <v>282.41226916177771</v>
      </c>
    </row>
    <row r="33" spans="1:19" x14ac:dyDescent="0.25">
      <c r="A33" t="s">
        <v>18</v>
      </c>
      <c r="B33" s="8">
        <v>30</v>
      </c>
      <c r="C33" s="9">
        <f t="shared" si="0"/>
        <v>361.00000056694142</v>
      </c>
      <c r="D33" s="9" cm="1">
        <f t="array" aca="1" ref="D33" ca="1">INDIRECT(RefCell_Rpot)+SUM(G33:G$34)</f>
        <v>360</v>
      </c>
      <c r="E33" s="9">
        <f ca="1">data_DeDietrich_AF60[[#This Row],[Rpcb]]-data_DeDietrich_AF60[[#This Row],[Rsonde]]</f>
        <v>-1.0000005669414236</v>
      </c>
      <c r="F33" s="4">
        <f ca="1">data_DeDietrich_AF60[[#This Row],[Diff R]]/data_DeDietrich_AF60[[#This Row],[Rsonde]]</f>
        <v>-2.770084668617584E-3</v>
      </c>
      <c r="G33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20</v>
      </c>
      <c r="H33" s="9" cm="1">
        <f t="array" aca="1" ref="H33" ca="1">MAX(IF(ResValuesR24&lt;=ROUND(data_DeDietrich_AF60[[#This Row],[Rsonde]],2)-IF(data_DeDietrich_AF60[[#This Row],[Rsonde]]=MIN(data_DeDietrich_AF60[Rsonde]),100,$D34),ResValuesR24))</f>
        <v>20</v>
      </c>
      <c r="I33" s="9">
        <f ca="1">ROUND(data_DeDietrich_AF60[[#This Row],[RaddLow]]+(IF(data_DeDietrich_AF60[[#This Row],[Rsonde]]=MIN(data_DeDietrich_AF60[Rsonde]),0,$D34)-data_DeDietrich_AF60[[#This Row],[Rsonde]]),2)</f>
        <v>-1</v>
      </c>
      <c r="J33" s="9" cm="1">
        <f t="array" aca="1" ref="J33" ca="1">MIN(IF(ResValuesR24&gt;=ROUND(data_DeDietrich_AF60[[#This Row],[Rsonde]],2)-IF(data_DeDietrich_AF60[[#This Row],[Rsonde]]=MIN(data_DeDietrich_AF60[Rsonde]),100,$D34),ResValuesR24))</f>
        <v>22</v>
      </c>
      <c r="K33" s="9">
        <f ca="1">ROUND(data_DeDietrich_AF60[[#This Row],[RaddHigh]]+(IF(data_DeDietrich_AF60[[#This Row],[Rsonde]]=MIN(data_DeDietrich_AF60[Rsonde]),0,$D34)-data_DeDietrich_AF60[[#This Row],[Rsonde]]),2)</f>
        <v>1</v>
      </c>
      <c r="L33" s="2" cm="1">
        <f t="array" aca="1" ref="L33" ca="1">IF(INDIRECT(RefCell_R77),(data_DeDietrich_AF60[[#This Row],[Rpcb]]*INDIRECT(RefCell_R77))/(data_DeDietrich_AF60[[#This Row],[Rpcb]]+INDIRECT(RefCell_R77)),data_DeDietrich_AF60[[#This Row],[Rpcb]])</f>
        <v>360</v>
      </c>
      <c r="R33" s="5">
        <f>((1/$O$30) * ($O$28-1/(data_DeDietrich_AF60[[#This Row],[θ]]+273.15)))</f>
        <v>-532.21963932493532</v>
      </c>
      <c r="S33">
        <f t="shared" si="1"/>
        <v>277.87432227524994</v>
      </c>
    </row>
    <row r="34" spans="1:19" x14ac:dyDescent="0.25">
      <c r="A34" t="s">
        <v>17</v>
      </c>
      <c r="B34" s="8">
        <v>31.5</v>
      </c>
      <c r="C34" s="9">
        <f t="shared" si="0"/>
        <v>340.28705689770516</v>
      </c>
      <c r="D34" s="9" cm="1">
        <f t="array" aca="1" ref="D34" ca="1">INDIRECT(RefCell_Rpot)+SUM(G34:G$34)</f>
        <v>340</v>
      </c>
      <c r="E34" s="9">
        <f ca="1">data_DeDietrich_AF60[[#This Row],[Rpcb]]-data_DeDietrich_AF60[[#This Row],[Rsonde]]</f>
        <v>-0.28705689770515619</v>
      </c>
      <c r="F34" s="4">
        <f ca="1">data_DeDietrich_AF60[[#This Row],[Diff R]]/data_DeDietrich_AF60[[#This Row],[Rsonde]]</f>
        <v>-8.4357277741377431E-4</v>
      </c>
      <c r="G34" s="9">
        <f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240</v>
      </c>
      <c r="H34" s="9" cm="1">
        <f t="array" ref="H34">MAX(IF(ResValuesR24&lt;=ROUND(data_DeDietrich_AF60[[#This Row],[Rsonde]],2)-IF(data_DeDietrich_AF60[[#This Row],[Rsonde]]=MIN(data_DeDietrich_AF60[Rsonde]),100,$D35),ResValuesR24))</f>
        <v>240</v>
      </c>
      <c r="I34" s="9">
        <f>ROUND(data_DeDietrich_AF60[[#This Row],[RaddLow]]+(IF(data_DeDietrich_AF60[[#This Row],[Rsonde]]=MIN(data_DeDietrich_AF60[Rsonde]),0,$D35)-data_DeDietrich_AF60[[#This Row],[Rsonde]]),2)</f>
        <v>-100.29</v>
      </c>
      <c r="J34" s="9" cm="1">
        <f t="array" ref="J34">MIN(IF(ResValuesR24&gt;=ROUND(data_DeDietrich_AF60[[#This Row],[Rsonde]],2)-IF(data_DeDietrich_AF60[[#This Row],[Rsonde]]=MIN(data_DeDietrich_AF60[Rsonde]),100,$D35),ResValuesR24))</f>
        <v>270</v>
      </c>
      <c r="K34" s="9">
        <f>ROUND(data_DeDietrich_AF60[[#This Row],[RaddHigh]]+(IF(data_DeDietrich_AF60[[#This Row],[Rsonde]]=MIN(data_DeDietrich_AF60[Rsonde]),0,$D35)-data_DeDietrich_AF60[[#This Row],[Rsonde]]),2)</f>
        <v>-70.290000000000006</v>
      </c>
      <c r="L34" s="2" cm="1">
        <f t="array" aca="1" ref="L34" ca="1">IF(INDIRECT(RefCell_R77),(data_DeDietrich_AF60[[#This Row],[Rpcb]]*INDIRECT(RefCell_R77))/(data_DeDietrich_AF60[[#This Row],[Rpcb]]+INDIRECT(RefCell_R77)),data_DeDietrich_AF60[[#This Row],[Rpcb]])</f>
        <v>340</v>
      </c>
      <c r="R34" s="5">
        <f>((1/$O$30) * ($O$28-1/(data_DeDietrich_AF60[[#This Row],[θ]]+273.15)))</f>
        <v>-522.84263586825182</v>
      </c>
      <c r="S34">
        <f>SQRT(($O$29/(3*$O$30))^3+(R34/2)^2)</f>
        <v>273.38765211610001</v>
      </c>
    </row>
  </sheetData>
  <mergeCells count="1">
    <mergeCell ref="A1:L1"/>
  </mergeCells>
  <conditionalFormatting sqref="F3:F34">
    <cfRule type="cellIs" dxfId="219" priority="1" operator="between">
      <formula>-0.005</formula>
      <formula>0.005</formula>
    </cfRule>
  </conditionalFormatting>
  <dataValidations count="1">
    <dataValidation type="list" allowBlank="1" showInputMessage="1" showErrorMessage="1" sqref="O3" xr:uid="{41F1D791-ED38-42BC-8490-3FEB5094309B}">
      <formula1>INDIRECT("TableR77[R]")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761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2" r:id="rId5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3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4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5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6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7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8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9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70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6BD27A-30B5-40E1-BA2F-041F965EE253}">
  <sheetPr codeName="Feuil20"/>
  <dimension ref="A1:Q46"/>
  <sheetViews>
    <sheetView workbookViewId="0">
      <selection activeCell="I3" sqref="I3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2">
        <f>ROUND(C3-G3,0)</f>
        <v>123</v>
      </c>
      <c r="P2" s="7" t="s">
        <v>113</v>
      </c>
    </row>
    <row r="3" spans="1:16" x14ac:dyDescent="0.25">
      <c r="A3" t="s">
        <v>17</v>
      </c>
      <c r="B3" s="8">
        <v>-15</v>
      </c>
      <c r="C3" s="9">
        <f>data_KTY81_210[[#This Row],[θ]]*$N$46+$O$46</f>
        <v>1423.3375056895766</v>
      </c>
      <c r="D3" s="9" cm="1">
        <f t="array" aca="1" ref="D3" ca="1">INDIRECT(RefCell_Rpot)+SUM($G$3:G3)</f>
        <v>1423</v>
      </c>
      <c r="E3" s="9">
        <f ca="1">data_KTY81_210[[#This Row],[Rpcb]]-data_KTY81_210[[#This Row],[Rsonde]]</f>
        <v>-0.33750568957657379</v>
      </c>
      <c r="F3" s="4">
        <f ca="1">data_KTY81_210[[#This Row],[Diff R]]/data_KTY81_210[[#This Row],[Rsonde]]</f>
        <v>-2.3712274019861473E-4</v>
      </c>
      <c r="G3" s="9">
        <f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1300</v>
      </c>
      <c r="H3" s="9" cm="1">
        <f t="array" ref="H3">MAX(IF(ResValuesR24&lt;=ROUND(data_KTY81_210[[#This Row],[Rsonde]],2)-IF(data_KTY81_210[[#This Row],[Rsonde]]=MIN(data_KTY81_210[Rsonde]),100,$D2),ResValuesR24))</f>
        <v>1300</v>
      </c>
      <c r="I3" s="9">
        <f>ROUND(data_KTY81_210[[#This Row],[RaddLow]]+(IF(data_KTY81_210[[#This Row],[Rsonde]]=MIN(data_KTY81_210[Rsonde]),0,$D2)-data_KTY81_210[[#This Row],[Rsonde]]),2)</f>
        <v>-123.34</v>
      </c>
      <c r="J3" s="9" cm="1">
        <f t="array" ref="J3">MIN(IF(ResValuesR24&gt;=ROUND(data_KTY81_210[[#This Row],[Rsonde]],2)-IF(data_KTY81_210[[#This Row],[Rsonde]]=MIN(data_KTY81_210[Rsonde]),100,$D2),ResValuesR24))</f>
        <v>1500</v>
      </c>
      <c r="K3" s="9">
        <f>ROUND(data_KTY81_210[[#This Row],[RaddHigh]]+(IF(data_KTY81_210[[#This Row],[Rsonde]]=MIN(data_KTY81_210[Rsonde]),0,$D2)-data_KTY81_210[[#This Row],[Rsonde]]),2)</f>
        <v>76.66</v>
      </c>
      <c r="L3" s="2" cm="1">
        <f t="array" aca="1" ref="L3" ca="1">IF(INDIRECT(RefCell_R77),(data_KTY81_210[[#This Row],[Rpcb]]*INDIRECT(RefCell_R77))/(data_KTY81_210[[#This Row],[Rpcb]]+INDIRECT(RefCell_R77)),data_KTY81_210[[#This Row],[Rpcb]])</f>
        <v>1423</v>
      </c>
      <c r="N3" t="s">
        <v>112</v>
      </c>
      <c r="P3" s="7" t="s">
        <v>113</v>
      </c>
    </row>
    <row r="4" spans="1:16" x14ac:dyDescent="0.25">
      <c r="A4" t="s">
        <v>18</v>
      </c>
      <c r="B4" s="8">
        <v>-13.5</v>
      </c>
      <c r="C4" s="9">
        <f>data_KTY81_210[[#This Row],[θ]]*$N$46+$O$46</f>
        <v>1444.7705052344104</v>
      </c>
      <c r="D4" s="9" cm="1">
        <f t="array" aca="1" ref="D4" ca="1">INDIRECT(RefCell_Rpot)+SUM($G$3:G4)</f>
        <v>1445</v>
      </c>
      <c r="E4" s="9">
        <f ca="1">data_KTY81_210[[#This Row],[Rpcb]]-data_KTY81_210[[#This Row],[Rsonde]]</f>
        <v>0.22949476558960669</v>
      </c>
      <c r="F4" s="4">
        <f ca="1">data_KTY81_210[[#This Row],[Diff R]]/data_KTY81_210[[#This Row],[Rsonde]]</f>
        <v>1.5884513475195269E-4</v>
      </c>
      <c r="G4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4" s="9" cm="1">
        <f t="array" aca="1" ref="H4" ca="1">MAX(IF(ResValuesR24&lt;=ROUND(data_KTY81_210[[#This Row],[Rsonde]],2)-IF(data_KTY81_210[[#This Row],[Rsonde]]=MIN(data_KTY81_210[Rsonde]),100,$D3),ResValuesR24))</f>
        <v>20</v>
      </c>
      <c r="I4" s="9">
        <f ca="1">ROUND(data_KTY81_210[[#This Row],[RaddLow]]+(IF(data_KTY81_210[[#This Row],[Rsonde]]=MIN(data_KTY81_210[Rsonde]),0,$D3)-data_KTY81_210[[#This Row],[Rsonde]]),2)</f>
        <v>-1.77</v>
      </c>
      <c r="J4" s="9" cm="1">
        <f t="array" aca="1" ref="J4" ca="1">MIN(IF(ResValuesR24&gt;=ROUND(data_KTY81_210[[#This Row],[Rsonde]],2)-IF(data_KTY81_210[[#This Row],[Rsonde]]=MIN(data_KTY81_210[Rsonde]),100,$D3),ResValuesR24))</f>
        <v>22</v>
      </c>
      <c r="K4" s="9">
        <f ca="1">ROUND(data_KTY81_210[[#This Row],[RaddHigh]]+(IF(data_KTY81_210[[#This Row],[Rsonde]]=MIN(data_KTY81_210[Rsonde]),0,$D3)-data_KTY81_210[[#This Row],[Rsonde]]),2)</f>
        <v>0.23</v>
      </c>
      <c r="L4" s="2" cm="1">
        <f t="array" aca="1" ref="L4" ca="1">IF(INDIRECT(RefCell_R77),(data_KTY81_210[[#This Row],[Rpcb]]*INDIRECT(RefCell_R77))/(data_KTY81_210[[#This Row],[Rpcb]]+INDIRECT(RefCell_R77)),data_KTY81_210[[#This Row],[Rpcb]])</f>
        <v>1445</v>
      </c>
    </row>
    <row r="5" spans="1:16" x14ac:dyDescent="0.25">
      <c r="A5" t="s">
        <v>19</v>
      </c>
      <c r="B5" s="8">
        <v>-12</v>
      </c>
      <c r="C5" s="9">
        <f>data_KTY81_210[[#This Row],[θ]]*$N$46+$O$46</f>
        <v>1466.2035047792442</v>
      </c>
      <c r="D5" s="9" cm="1">
        <f t="array" aca="1" ref="D5" ca="1">INDIRECT(RefCell_Rpot)+SUM($G$3:G5)</f>
        <v>1467</v>
      </c>
      <c r="E5" s="9">
        <f ca="1">data_KTY81_210[[#This Row],[Rpcb]]-data_KTY81_210[[#This Row],[Rsonde]]</f>
        <v>0.79649522075578716</v>
      </c>
      <c r="F5" s="4">
        <f ca="1">data_KTY81_210[[#This Row],[Diff R]]/data_KTY81_210[[#This Row],[Rsonde]]</f>
        <v>5.4323647308134743E-4</v>
      </c>
      <c r="G5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5" s="9" cm="1">
        <f t="array" aca="1" ref="H5" ca="1">MAX(IF(ResValuesR24&lt;=ROUND(data_KTY81_210[[#This Row],[Rsonde]],2)-IF(data_KTY81_210[[#This Row],[Rsonde]]=MIN(data_KTY81_210[Rsonde]),100,$D4),ResValuesR24))</f>
        <v>20</v>
      </c>
      <c r="I5" s="9">
        <f ca="1">ROUND(data_KTY81_210[[#This Row],[RaddLow]]+(IF(data_KTY81_210[[#This Row],[Rsonde]]=MIN(data_KTY81_210[Rsonde]),0,$D4)-data_KTY81_210[[#This Row],[Rsonde]]),2)</f>
        <v>-1.2</v>
      </c>
      <c r="J5" s="9" cm="1">
        <f t="array" aca="1" ref="J5" ca="1">MIN(IF(ResValuesR24&gt;=ROUND(data_KTY81_210[[#This Row],[Rsonde]],2)-IF(data_KTY81_210[[#This Row],[Rsonde]]=MIN(data_KTY81_210[Rsonde]),100,$D4),ResValuesR24))</f>
        <v>22</v>
      </c>
      <c r="K5" s="9">
        <f ca="1">ROUND(data_KTY81_210[[#This Row],[RaddHigh]]+(IF(data_KTY81_210[[#This Row],[Rsonde]]=MIN(data_KTY81_210[Rsonde]),0,$D4)-data_KTY81_210[[#This Row],[Rsonde]]),2)</f>
        <v>0.8</v>
      </c>
      <c r="L5" s="2" cm="1">
        <f t="array" aca="1" ref="L5" ca="1">IF(INDIRECT(RefCell_R77),(data_KTY81_210[[#This Row],[Rpcb]]*INDIRECT(RefCell_R77))/(data_KTY81_210[[#This Row],[Rpcb]]+INDIRECT(RefCell_R77)),data_KTY81_210[[#This Row],[Rpcb]])</f>
        <v>1467</v>
      </c>
      <c r="N5" s="1" t="s">
        <v>215</v>
      </c>
    </row>
    <row r="6" spans="1:16" x14ac:dyDescent="0.25">
      <c r="A6" t="s">
        <v>20</v>
      </c>
      <c r="B6" s="8">
        <v>-10.5</v>
      </c>
      <c r="C6" s="9">
        <f>data_KTY81_210[[#This Row],[θ]]*$N$46+$O$46</f>
        <v>1487.636504324078</v>
      </c>
      <c r="D6" s="9" cm="1">
        <f t="array" aca="1" ref="D6" ca="1">INDIRECT(RefCell_Rpot)+SUM($G$3:G6)</f>
        <v>1487</v>
      </c>
      <c r="E6" s="9">
        <f ca="1">data_KTY81_210[[#This Row],[Rpcb]]-data_KTY81_210[[#This Row],[Rsonde]]</f>
        <v>-0.63650432407803237</v>
      </c>
      <c r="F6" s="4">
        <f ca="1">data_KTY81_210[[#This Row],[Diff R]]/data_KTY81_210[[#This Row],[Rsonde]]</f>
        <v>-4.2786280265906372E-4</v>
      </c>
      <c r="G6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6" s="9" cm="1">
        <f t="array" aca="1" ref="H6" ca="1">MAX(IF(ResValuesR24&lt;=ROUND(data_KTY81_210[[#This Row],[Rsonde]],2)-IF(data_KTY81_210[[#This Row],[Rsonde]]=MIN(data_KTY81_210[Rsonde]),100,$D5),ResValuesR24))</f>
        <v>20</v>
      </c>
      <c r="I6" s="9">
        <f ca="1">ROUND(data_KTY81_210[[#This Row],[RaddLow]]+(IF(data_KTY81_210[[#This Row],[Rsonde]]=MIN(data_KTY81_210[Rsonde]),0,$D5)-data_KTY81_210[[#This Row],[Rsonde]]),2)</f>
        <v>-0.64</v>
      </c>
      <c r="J6" s="9" cm="1">
        <f t="array" aca="1" ref="J6" ca="1">MIN(IF(ResValuesR24&gt;=ROUND(data_KTY81_210[[#This Row],[Rsonde]],2)-IF(data_KTY81_210[[#This Row],[Rsonde]]=MIN(data_KTY81_210[Rsonde]),100,$D5),ResValuesR24))</f>
        <v>22</v>
      </c>
      <c r="K6" s="9">
        <f ca="1">ROUND(data_KTY81_210[[#This Row],[RaddHigh]]+(IF(data_KTY81_210[[#This Row],[Rsonde]]=MIN(data_KTY81_210[Rsonde]),0,$D5)-data_KTY81_210[[#This Row],[Rsonde]]),2)</f>
        <v>1.36</v>
      </c>
      <c r="L6" s="2" cm="1">
        <f t="array" aca="1" ref="L6" ca="1">IF(INDIRECT(RefCell_R77),(data_KTY81_210[[#This Row],[Rpcb]]*INDIRECT(RefCell_R77))/(data_KTY81_210[[#This Row],[Rpcb]]+INDIRECT(RefCell_R77)),data_KTY81_210[[#This Row],[Rpcb]])</f>
        <v>1487</v>
      </c>
      <c r="N6" s="35" t="s">
        <v>131</v>
      </c>
      <c r="O6">
        <f t="shared" ref="O6" si="0">O14 - O11*O7 - O11^3*O8</f>
        <v>1.107171875181936E-2</v>
      </c>
    </row>
    <row r="7" spans="1:16" x14ac:dyDescent="0.25">
      <c r="A7" t="s">
        <v>21</v>
      </c>
      <c r="B7" s="8">
        <v>-9</v>
      </c>
      <c r="C7" s="9">
        <f>data_KTY81_210[[#This Row],[θ]]*$N$46+$O$46</f>
        <v>1509.0695038689121</v>
      </c>
      <c r="D7" s="9" cm="1">
        <f t="array" aca="1" ref="D7" ca="1">INDIRECT(RefCell_Rpot)+SUM($G$3:G7)</f>
        <v>1509</v>
      </c>
      <c r="E7" s="9">
        <f ca="1">data_KTY81_210[[#This Row],[Rpcb]]-data_KTY81_210[[#This Row],[Rsonde]]</f>
        <v>-6.950386891207927E-2</v>
      </c>
      <c r="F7" s="4">
        <f ca="1">data_KTY81_210[[#This Row],[Diff R]]/data_KTY81_210[[#This Row],[Rsonde]]</f>
        <v>-4.6057433891472267E-5</v>
      </c>
      <c r="G7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7" s="9" cm="1">
        <f t="array" aca="1" ref="H7" ca="1">MAX(IF(ResValuesR24&lt;=ROUND(data_KTY81_210[[#This Row],[Rsonde]],2)-IF(data_KTY81_210[[#This Row],[Rsonde]]=MIN(data_KTY81_210[Rsonde]),100,$D6),ResValuesR24))</f>
        <v>22</v>
      </c>
      <c r="I7" s="9">
        <f ca="1">ROUND(data_KTY81_210[[#This Row],[RaddLow]]+(IF(data_KTY81_210[[#This Row],[Rsonde]]=MIN(data_KTY81_210[Rsonde]),0,$D6)-data_KTY81_210[[#This Row],[Rsonde]]),2)</f>
        <v>-7.0000000000000007E-2</v>
      </c>
      <c r="J7" s="9" cm="1">
        <f t="array" aca="1" ref="J7" ca="1">MIN(IF(ResValuesR24&gt;=ROUND(data_KTY81_210[[#This Row],[Rsonde]],2)-IF(data_KTY81_210[[#This Row],[Rsonde]]=MIN(data_KTY81_210[Rsonde]),100,$D6),ResValuesR24))</f>
        <v>24</v>
      </c>
      <c r="K7" s="9">
        <f ca="1">ROUND(data_KTY81_210[[#This Row],[RaddHigh]]+(IF(data_KTY81_210[[#This Row],[Rsonde]]=MIN(data_KTY81_210[Rsonde]),0,$D6)-data_KTY81_210[[#This Row],[Rsonde]]),2)</f>
        <v>1.93</v>
      </c>
      <c r="L7" s="2" cm="1">
        <f t="array" aca="1" ref="L7" ca="1">IF(INDIRECT(RefCell_R77),(data_KTY81_210[[#This Row],[Rpcb]]*INDIRECT(RefCell_R77))/(data_KTY81_210[[#This Row],[Rpcb]]+INDIRECT(RefCell_R77)),data_KTY81_210[[#This Row],[Rpcb]])</f>
        <v>1509</v>
      </c>
      <c r="N7" s="35" t="s">
        <v>130</v>
      </c>
      <c r="O7">
        <f t="shared" ref="O7" si="1">(1/(O11-O12)) * (O14-O15-(O11^3-O12^3)*O8)</f>
        <v>-7.3554460503092974E-4</v>
      </c>
    </row>
    <row r="8" spans="1:16" x14ac:dyDescent="0.25">
      <c r="A8" t="s">
        <v>22</v>
      </c>
      <c r="B8" s="8">
        <v>-7.5</v>
      </c>
      <c r="C8" s="9">
        <f>data_KTY81_210[[#This Row],[θ]]*$N$46+$O$46</f>
        <v>1530.5025034137459</v>
      </c>
      <c r="D8" s="9" cm="1">
        <f t="array" aca="1" ref="D8" ca="1">INDIRECT(RefCell_Rpot)+SUM($G$3:G8)</f>
        <v>1531</v>
      </c>
      <c r="E8" s="9">
        <f ca="1">data_KTY81_210[[#This Row],[Rpcb]]-data_KTY81_210[[#This Row],[Rsonde]]</f>
        <v>0.4974965862541012</v>
      </c>
      <c r="F8" s="4">
        <f ca="1">data_KTY81_210[[#This Row],[Diff R]]/data_KTY81_210[[#This Row],[Rsonde]]</f>
        <v>3.2505440869547619E-4</v>
      </c>
      <c r="G8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8" s="9" cm="1">
        <f t="array" aca="1" ref="H8" ca="1">MAX(IF(ResValuesR24&lt;=ROUND(data_KTY81_210[[#This Row],[Rsonde]],2)-IF(data_KTY81_210[[#This Row],[Rsonde]]=MIN(data_KTY81_210[Rsonde]),100,$D7),ResValuesR24))</f>
        <v>20</v>
      </c>
      <c r="I8" s="9">
        <f ca="1">ROUND(data_KTY81_210[[#This Row],[RaddLow]]+(IF(data_KTY81_210[[#This Row],[Rsonde]]=MIN(data_KTY81_210[Rsonde]),0,$D7)-data_KTY81_210[[#This Row],[Rsonde]]),2)</f>
        <v>-1.5</v>
      </c>
      <c r="J8" s="9" cm="1">
        <f t="array" aca="1" ref="J8" ca="1">MIN(IF(ResValuesR24&gt;=ROUND(data_KTY81_210[[#This Row],[Rsonde]],2)-IF(data_KTY81_210[[#This Row],[Rsonde]]=MIN(data_KTY81_210[Rsonde]),100,$D7),ResValuesR24))</f>
        <v>22</v>
      </c>
      <c r="K8" s="9">
        <f ca="1">ROUND(data_KTY81_210[[#This Row],[RaddHigh]]+(IF(data_KTY81_210[[#This Row],[Rsonde]]=MIN(data_KTY81_210[Rsonde]),0,$D7)-data_KTY81_210[[#This Row],[Rsonde]]),2)</f>
        <v>0.5</v>
      </c>
      <c r="L8" s="2" cm="1">
        <f t="array" aca="1" ref="L8" ca="1">IF(INDIRECT(RefCell_R77),(data_KTY81_210[[#This Row],[Rpcb]]*INDIRECT(RefCell_R77))/(data_KTY81_210[[#This Row],[Rpcb]]+INDIRECT(RefCell_R77)),data_KTY81_210[[#This Row],[Rpcb]])</f>
        <v>1531</v>
      </c>
      <c r="N8" s="35" t="s">
        <v>129</v>
      </c>
      <c r="O8">
        <f t="shared" ref="O8" si="2">O10/O9</f>
        <v>-4.8524015165378425E-6</v>
      </c>
    </row>
    <row r="9" spans="1:16" x14ac:dyDescent="0.25">
      <c r="A9" t="s">
        <v>23</v>
      </c>
      <c r="B9" s="8">
        <v>-6</v>
      </c>
      <c r="C9" s="9">
        <f>data_KTY81_210[[#This Row],[θ]]*$N$46+$O$46</f>
        <v>1551.9355029585797</v>
      </c>
      <c r="D9" s="9" cm="1">
        <f t="array" aca="1" ref="D9" ca="1">INDIRECT(RefCell_Rpot)+SUM($G$3:G9)</f>
        <v>1551</v>
      </c>
      <c r="E9" s="9">
        <f ca="1">data_KTY81_210[[#This Row],[Rpcb]]-data_KTY81_210[[#This Row],[Rsonde]]</f>
        <v>-0.93550295857971832</v>
      </c>
      <c r="F9" s="4">
        <f ca="1">data_KTY81_210[[#This Row],[Diff R]]/data_KTY81_210[[#This Row],[Rsonde]]</f>
        <v>-6.0279757554118304E-4</v>
      </c>
      <c r="G9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9" s="9" cm="1">
        <f t="array" aca="1" ref="H9" ca="1">MAX(IF(ResValuesR24&lt;=ROUND(data_KTY81_210[[#This Row],[Rsonde]],2)-IF(data_KTY81_210[[#This Row],[Rsonde]]=MIN(data_KTY81_210[Rsonde]),100,$D8),ResValuesR24))</f>
        <v>20</v>
      </c>
      <c r="I9" s="9">
        <f ca="1">ROUND(data_KTY81_210[[#This Row],[RaddLow]]+(IF(data_KTY81_210[[#This Row],[Rsonde]]=MIN(data_KTY81_210[Rsonde]),0,$D8)-data_KTY81_210[[#This Row],[Rsonde]]),2)</f>
        <v>-0.94</v>
      </c>
      <c r="J9" s="9" cm="1">
        <f t="array" aca="1" ref="J9" ca="1">MIN(IF(ResValuesR24&gt;=ROUND(data_KTY81_210[[#This Row],[Rsonde]],2)-IF(data_KTY81_210[[#This Row],[Rsonde]]=MIN(data_KTY81_210[Rsonde]),100,$D8),ResValuesR24))</f>
        <v>22</v>
      </c>
      <c r="K9" s="9">
        <f ca="1">ROUND(data_KTY81_210[[#This Row],[RaddHigh]]+(IF(data_KTY81_210[[#This Row],[Rsonde]]=MIN(data_KTY81_210[Rsonde]),0,$D8)-data_KTY81_210[[#This Row],[Rsonde]]),2)</f>
        <v>1.06</v>
      </c>
      <c r="L9" s="2" cm="1">
        <f t="array" aca="1" ref="L9" ca="1">IF(INDIRECT(RefCell_R77),(data_KTY81_210[[#This Row],[Rpcb]]*INDIRECT(RefCell_R77))/(data_KTY81_210[[#This Row],[Rpcb]]+INDIRECT(RefCell_R77)),data_KTY81_210[[#This Row],[Rpcb]])</f>
        <v>1551</v>
      </c>
      <c r="N9" s="3" t="s">
        <v>181</v>
      </c>
      <c r="O9">
        <f t="shared" ref="O9" si="3">(O12-O13)/(O11-O12) * (O12^3-O11^3) + (O12^3-O13^3)</f>
        <v>-1.2606818450039476</v>
      </c>
    </row>
    <row r="10" spans="1:16" x14ac:dyDescent="0.25">
      <c r="A10" t="s">
        <v>24</v>
      </c>
      <c r="B10" s="8">
        <v>-4.5</v>
      </c>
      <c r="C10" s="9">
        <f>data_KTY81_210[[#This Row],[θ]]*$N$46+$O$46</f>
        <v>1573.3685025034135</v>
      </c>
      <c r="D10" s="9" cm="1">
        <f t="array" aca="1" ref="D10" ca="1">INDIRECT(RefCell_Rpot)+SUM($G$3:G10)</f>
        <v>1573</v>
      </c>
      <c r="E10" s="9">
        <f ca="1">data_KTY81_210[[#This Row],[Rpcb]]-data_KTY81_210[[#This Row],[Rsonde]]</f>
        <v>-0.36850250341353785</v>
      </c>
      <c r="F10" s="4">
        <f ca="1">data_KTY81_210[[#This Row],[Diff R]]/data_KTY81_210[[#This Row],[Rsonde]]</f>
        <v>-2.3421245742952603E-4</v>
      </c>
      <c r="G10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10" s="9" cm="1">
        <f t="array" aca="1" ref="H10" ca="1">MAX(IF(ResValuesR24&lt;=ROUND(data_KTY81_210[[#This Row],[Rsonde]],2)-IF(data_KTY81_210[[#This Row],[Rsonde]]=MIN(data_KTY81_210[Rsonde]),100,$D9),ResValuesR24))</f>
        <v>22</v>
      </c>
      <c r="I10" s="9">
        <f ca="1">ROUND(data_KTY81_210[[#This Row],[RaddLow]]+(IF(data_KTY81_210[[#This Row],[Rsonde]]=MIN(data_KTY81_210[Rsonde]),0,$D9)-data_KTY81_210[[#This Row],[Rsonde]]),2)</f>
        <v>-0.37</v>
      </c>
      <c r="J10" s="9" cm="1">
        <f t="array" aca="1" ref="J10" ca="1">MIN(IF(ResValuesR24&gt;=ROUND(data_KTY81_210[[#This Row],[Rsonde]],2)-IF(data_KTY81_210[[#This Row],[Rsonde]]=MIN(data_KTY81_210[Rsonde]),100,$D9),ResValuesR24))</f>
        <v>24</v>
      </c>
      <c r="K10" s="9">
        <f ca="1">ROUND(data_KTY81_210[[#This Row],[RaddHigh]]+(IF(data_KTY81_210[[#This Row],[Rsonde]]=MIN(data_KTY81_210[Rsonde]),0,$D9)-data_KTY81_210[[#This Row],[Rsonde]]),2)</f>
        <v>1.63</v>
      </c>
      <c r="L10" s="2" cm="1">
        <f t="array" aca="1" ref="L10" ca="1">IF(INDIRECT(RefCell_R77),(data_KTY81_210[[#This Row],[Rpcb]]*INDIRECT(RefCell_R77))/(data_KTY81_210[[#This Row],[Rpcb]]+INDIRECT(RefCell_R77)),data_KTY81_210[[#This Row],[Rpcb]])</f>
        <v>1573</v>
      </c>
      <c r="N10" s="3" t="s">
        <v>182</v>
      </c>
      <c r="O10">
        <f t="shared" ref="O10" si="4">O15 - O16 - ( (O12-O13)/(O11-O12) ) * (O14-O15)</f>
        <v>6.1173344965688805E-6</v>
      </c>
    </row>
    <row r="11" spans="1:16" x14ac:dyDescent="0.25">
      <c r="A11" t="s">
        <v>25</v>
      </c>
      <c r="B11" s="8">
        <v>-3</v>
      </c>
      <c r="C11" s="9">
        <f>data_KTY81_210[[#This Row],[θ]]*$N$46+$O$46</f>
        <v>1594.8015020482476</v>
      </c>
      <c r="D11" s="9" cm="1">
        <f t="array" aca="1" ref="D11" ca="1">INDIRECT(RefCell_Rpot)+SUM($G$3:G11)</f>
        <v>1595</v>
      </c>
      <c r="E11" s="9">
        <f ca="1">data_KTY81_210[[#This Row],[Rpcb]]-data_KTY81_210[[#This Row],[Rsonde]]</f>
        <v>0.19849795175241525</v>
      </c>
      <c r="F11" s="4">
        <f ca="1">data_KTY81_210[[#This Row],[Diff R]]/data_KTY81_210[[#This Row],[Rsonde]]</f>
        <v>1.2446561625222878E-4</v>
      </c>
      <c r="G11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11" s="9" cm="1">
        <f t="array" aca="1" ref="H11" ca="1">MAX(IF(ResValuesR24&lt;=ROUND(data_KTY81_210[[#This Row],[Rsonde]],2)-IF(data_KTY81_210[[#This Row],[Rsonde]]=MIN(data_KTY81_210[Rsonde]),100,$D10),ResValuesR24))</f>
        <v>20</v>
      </c>
      <c r="I11" s="9">
        <f ca="1">ROUND(data_KTY81_210[[#This Row],[RaddLow]]+(IF(data_KTY81_210[[#This Row],[Rsonde]]=MIN(data_KTY81_210[Rsonde]),0,$D10)-data_KTY81_210[[#This Row],[Rsonde]]),2)</f>
        <v>-1.8</v>
      </c>
      <c r="J11" s="9" cm="1">
        <f t="array" aca="1" ref="J11" ca="1">MIN(IF(ResValuesR24&gt;=ROUND(data_KTY81_210[[#This Row],[Rsonde]],2)-IF(data_KTY81_210[[#This Row],[Rsonde]]=MIN(data_KTY81_210[Rsonde]),100,$D10),ResValuesR24))</f>
        <v>22</v>
      </c>
      <c r="K11" s="9">
        <f ca="1">ROUND(data_KTY81_210[[#This Row],[RaddHigh]]+(IF(data_KTY81_210[[#This Row],[Rsonde]]=MIN(data_KTY81_210[Rsonde]),0,$D10)-data_KTY81_210[[#This Row],[Rsonde]]),2)</f>
        <v>0.2</v>
      </c>
      <c r="L11" s="2" cm="1">
        <f t="array" aca="1" ref="L11" ca="1">IF(INDIRECT(RefCell_R77),(data_KTY81_210[[#This Row],[Rpcb]]*INDIRECT(RefCell_R77))/(data_KTY81_210[[#This Row],[Rpcb]]+INDIRECT(RefCell_R77)),data_KTY81_210[[#This Row],[Rpcb]])</f>
        <v>1595</v>
      </c>
      <c r="N11" s="3" t="s">
        <v>178</v>
      </c>
      <c r="O11">
        <f>LN(C3)</f>
        <v>7.2607597489480931</v>
      </c>
    </row>
    <row r="12" spans="1:16" x14ac:dyDescent="0.25">
      <c r="A12" t="s">
        <v>26</v>
      </c>
      <c r="B12" s="8">
        <v>-1.5</v>
      </c>
      <c r="C12" s="9">
        <f>data_KTY81_210[[#This Row],[θ]]*$N$46+$O$46</f>
        <v>1616.2345015930814</v>
      </c>
      <c r="D12" s="9" cm="1">
        <f t="array" aca="1" ref="D12" ca="1">INDIRECT(RefCell_Rpot)+SUM($G$3:G12)</f>
        <v>1617</v>
      </c>
      <c r="E12" s="9">
        <f ca="1">data_KTY81_210[[#This Row],[Rpcb]]-data_KTY81_210[[#This Row],[Rsonde]]</f>
        <v>0.76549840691859572</v>
      </c>
      <c r="F12" s="4">
        <f ca="1">data_KTY81_210[[#This Row],[Diff R]]/data_KTY81_210[[#This Row],[Rsonde]]</f>
        <v>4.7363077954595286E-4</v>
      </c>
      <c r="G12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12" s="9" cm="1">
        <f t="array" aca="1" ref="H12" ca="1">MAX(IF(ResValuesR24&lt;=ROUND(data_KTY81_210[[#This Row],[Rsonde]],2)-IF(data_KTY81_210[[#This Row],[Rsonde]]=MIN(data_KTY81_210[Rsonde]),100,$D11),ResValuesR24))</f>
        <v>20</v>
      </c>
      <c r="I12" s="9">
        <f ca="1">ROUND(data_KTY81_210[[#This Row],[RaddLow]]+(IF(data_KTY81_210[[#This Row],[Rsonde]]=MIN(data_KTY81_210[Rsonde]),0,$D11)-data_KTY81_210[[#This Row],[Rsonde]]),2)</f>
        <v>-1.23</v>
      </c>
      <c r="J12" s="9" cm="1">
        <f t="array" aca="1" ref="J12" ca="1">MIN(IF(ResValuesR24&gt;=ROUND(data_KTY81_210[[#This Row],[Rsonde]],2)-IF(data_KTY81_210[[#This Row],[Rsonde]]=MIN(data_KTY81_210[Rsonde]),100,$D11),ResValuesR24))</f>
        <v>22</v>
      </c>
      <c r="K12" s="9">
        <f ca="1">ROUND(data_KTY81_210[[#This Row],[RaddHigh]]+(IF(data_KTY81_210[[#This Row],[Rsonde]]=MIN(data_KTY81_210[Rsonde]),0,$D11)-data_KTY81_210[[#This Row],[Rsonde]]),2)</f>
        <v>0.77</v>
      </c>
      <c r="L12" s="2" cm="1">
        <f t="array" aca="1" ref="L12" ca="1">IF(INDIRECT(RefCell_R77),(data_KTY81_210[[#This Row],[Rpcb]]*INDIRECT(RefCell_R77))/(data_KTY81_210[[#This Row],[Rpcb]]+INDIRECT(RefCell_R77)),data_KTY81_210[[#This Row],[Rpcb]])</f>
        <v>1617</v>
      </c>
      <c r="N12" s="3" t="s">
        <v>179</v>
      </c>
      <c r="O12">
        <f>LN(C17)</f>
        <v>7.4520540722852866</v>
      </c>
    </row>
    <row r="13" spans="1:16" x14ac:dyDescent="0.25">
      <c r="A13" t="s">
        <v>27</v>
      </c>
      <c r="B13" s="8">
        <v>0</v>
      </c>
      <c r="C13" s="9">
        <f>data_KTY81_210[[#This Row],[θ]]*$N$46+$O$46</f>
        <v>1637.6675011379152</v>
      </c>
      <c r="D13" s="9" cm="1">
        <f t="array" aca="1" ref="D13" ca="1">INDIRECT(RefCell_Rpot)+SUM($G$3:G13)</f>
        <v>1637</v>
      </c>
      <c r="E13" s="9">
        <f ca="1">data_KTY81_210[[#This Row],[Rpcb]]-data_KTY81_210[[#This Row],[Rsonde]]</f>
        <v>-0.66750113791522381</v>
      </c>
      <c r="F13" s="4">
        <f ca="1">data_KTY81_210[[#This Row],[Diff R]]/data_KTY81_210[[#This Row],[Rsonde]]</f>
        <v>-4.0759258973596164E-4</v>
      </c>
      <c r="G13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13" s="9" cm="1">
        <f t="array" aca="1" ref="H13" ca="1">MAX(IF(ResValuesR24&lt;=ROUND(data_KTY81_210[[#This Row],[Rsonde]],2)-IF(data_KTY81_210[[#This Row],[Rsonde]]=MIN(data_KTY81_210[Rsonde]),100,$D12),ResValuesR24))</f>
        <v>20</v>
      </c>
      <c r="I13" s="9">
        <f ca="1">ROUND(data_KTY81_210[[#This Row],[RaddLow]]+(IF(data_KTY81_210[[#This Row],[Rsonde]]=MIN(data_KTY81_210[Rsonde]),0,$D12)-data_KTY81_210[[#This Row],[Rsonde]]),2)</f>
        <v>-0.67</v>
      </c>
      <c r="J13" s="9" cm="1">
        <f t="array" aca="1" ref="J13" ca="1">MIN(IF(ResValuesR24&gt;=ROUND(data_KTY81_210[[#This Row],[Rsonde]],2)-IF(data_KTY81_210[[#This Row],[Rsonde]]=MIN(data_KTY81_210[Rsonde]),100,$D12),ResValuesR24))</f>
        <v>22</v>
      </c>
      <c r="K13" s="9">
        <f ca="1">ROUND(data_KTY81_210[[#This Row],[RaddHigh]]+(IF(data_KTY81_210[[#This Row],[Rsonde]]=MIN(data_KTY81_210[Rsonde]),0,$D12)-data_KTY81_210[[#This Row],[Rsonde]]),2)</f>
        <v>1.33</v>
      </c>
      <c r="L13" s="2" cm="1">
        <f t="array" aca="1" ref="L13" ca="1">IF(INDIRECT(RefCell_R77),(data_KTY81_210[[#This Row],[Rpcb]]*INDIRECT(RefCell_R77))/(data_KTY81_210[[#This Row],[Rpcb]]+INDIRECT(RefCell_R77)),data_KTY81_210[[#This Row],[Rpcb]])</f>
        <v>1637</v>
      </c>
      <c r="N13" s="3" t="s">
        <v>180</v>
      </c>
      <c r="O13">
        <f>LN(C31)</f>
        <v>7.6125649342089412</v>
      </c>
    </row>
    <row r="14" spans="1:16" x14ac:dyDescent="0.25">
      <c r="A14" t="s">
        <v>28</v>
      </c>
      <c r="B14" s="8">
        <v>1.5</v>
      </c>
      <c r="C14" s="9">
        <f>data_KTY81_210[[#This Row],[θ]]*$N$46+$O$46</f>
        <v>1659.100500682749</v>
      </c>
      <c r="D14" s="9" cm="1">
        <f t="array" aca="1" ref="D14" ca="1">INDIRECT(RefCell_Rpot)+SUM($G$3:G14)</f>
        <v>1659</v>
      </c>
      <c r="E14" s="9">
        <f ca="1">data_KTY81_210[[#This Row],[Rpcb]]-data_KTY81_210[[#This Row],[Rsonde]]</f>
        <v>-0.10050068274904334</v>
      </c>
      <c r="F14" s="4">
        <f ca="1">data_KTY81_210[[#This Row],[Diff R]]/data_KTY81_210[[#This Row],[Rsonde]]</f>
        <v>-6.0575403785174881E-5</v>
      </c>
      <c r="G14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14" s="9" cm="1">
        <f t="array" aca="1" ref="H14" ca="1">MAX(IF(ResValuesR24&lt;=ROUND(data_KTY81_210[[#This Row],[Rsonde]],2)-IF(data_KTY81_210[[#This Row],[Rsonde]]=MIN(data_KTY81_210[Rsonde]),100,$D13),ResValuesR24))</f>
        <v>22</v>
      </c>
      <c r="I14" s="9">
        <f ca="1">ROUND(data_KTY81_210[[#This Row],[RaddLow]]+(IF(data_KTY81_210[[#This Row],[Rsonde]]=MIN(data_KTY81_210[Rsonde]),0,$D13)-data_KTY81_210[[#This Row],[Rsonde]]),2)</f>
        <v>-0.1</v>
      </c>
      <c r="J14" s="9" cm="1">
        <f t="array" aca="1" ref="J14" ca="1">MIN(IF(ResValuesR24&gt;=ROUND(data_KTY81_210[[#This Row],[Rsonde]],2)-IF(data_KTY81_210[[#This Row],[Rsonde]]=MIN(data_KTY81_210[Rsonde]),100,$D13),ResValuesR24))</f>
        <v>24</v>
      </c>
      <c r="K14" s="9">
        <f ca="1">ROUND(data_KTY81_210[[#This Row],[RaddHigh]]+(IF(data_KTY81_210[[#This Row],[Rsonde]]=MIN(data_KTY81_210[Rsonde]),0,$D13)-data_KTY81_210[[#This Row],[Rsonde]]),2)</f>
        <v>1.9</v>
      </c>
      <c r="L14" s="2" cm="1">
        <f t="array" aca="1" ref="L14" ca="1">IF(INDIRECT(RefCell_R77),(data_KTY81_210[[#This Row],[Rpcb]]*INDIRECT(RefCell_R77))/(data_KTY81_210[[#This Row],[Rpcb]]+INDIRECT(RefCell_R77)),data_KTY81_210[[#This Row],[Rpcb]])</f>
        <v>1659</v>
      </c>
      <c r="N14" s="3" t="s">
        <v>175</v>
      </c>
      <c r="O14">
        <f>1/(B3+273.15)</f>
        <v>3.8737168312996321E-3</v>
      </c>
    </row>
    <row r="15" spans="1:16" x14ac:dyDescent="0.25">
      <c r="A15" t="s">
        <v>29</v>
      </c>
      <c r="B15" s="8">
        <v>3</v>
      </c>
      <c r="C15" s="9">
        <f>data_KTY81_210[[#This Row],[θ]]*$N$46+$O$46</f>
        <v>1680.5335002275829</v>
      </c>
      <c r="D15" s="9" cm="1">
        <f t="array" aca="1" ref="D15" ca="1">INDIRECT(RefCell_Rpot)+SUM($G$3:G15)</f>
        <v>1681</v>
      </c>
      <c r="E15" s="9">
        <f ca="1">data_KTY81_210[[#This Row],[Rpcb]]-data_KTY81_210[[#This Row],[Rsonde]]</f>
        <v>0.46649977241713714</v>
      </c>
      <c r="F15" s="4">
        <f ca="1">data_KTY81_210[[#This Row],[Diff R]]/data_KTY81_210[[#This Row],[Rsonde]]</f>
        <v>2.7759028448642192E-4</v>
      </c>
      <c r="G15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15" s="9" cm="1">
        <f t="array" aca="1" ref="H15" ca="1">MAX(IF(ResValuesR24&lt;=ROUND(data_KTY81_210[[#This Row],[Rsonde]],2)-IF(data_KTY81_210[[#This Row],[Rsonde]]=MIN(data_KTY81_210[Rsonde]),100,$D14),ResValuesR24))</f>
        <v>20</v>
      </c>
      <c r="I15" s="9">
        <f ca="1">ROUND(data_KTY81_210[[#This Row],[RaddLow]]+(IF(data_KTY81_210[[#This Row],[Rsonde]]=MIN(data_KTY81_210[Rsonde]),0,$D14)-data_KTY81_210[[#This Row],[Rsonde]]),2)</f>
        <v>-1.53</v>
      </c>
      <c r="J15" s="9" cm="1">
        <f t="array" aca="1" ref="J15" ca="1">MIN(IF(ResValuesR24&gt;=ROUND(data_KTY81_210[[#This Row],[Rsonde]],2)-IF(data_KTY81_210[[#This Row],[Rsonde]]=MIN(data_KTY81_210[Rsonde]),100,$D14),ResValuesR24))</f>
        <v>22</v>
      </c>
      <c r="K15" s="9">
        <f ca="1">ROUND(data_KTY81_210[[#This Row],[RaddHigh]]+(IF(data_KTY81_210[[#This Row],[Rsonde]]=MIN(data_KTY81_210[Rsonde]),0,$D14)-data_KTY81_210[[#This Row],[Rsonde]]),2)</f>
        <v>0.47</v>
      </c>
      <c r="L15" s="2" cm="1">
        <f t="array" aca="1" ref="L15" ca="1">IF(INDIRECT(RefCell_R77),(data_KTY81_210[[#This Row],[Rpcb]]*INDIRECT(RefCell_R77))/(data_KTY81_210[[#This Row],[Rpcb]]+INDIRECT(RefCell_R77)),data_KTY81_210[[#This Row],[Rpcb]])</f>
        <v>1681</v>
      </c>
      <c r="N15" s="3" t="s">
        <v>176</v>
      </c>
      <c r="O15">
        <f>1/(B17+273.15)</f>
        <v>3.5823034210997673E-3</v>
      </c>
    </row>
    <row r="16" spans="1:16" x14ac:dyDescent="0.25">
      <c r="A16" t="s">
        <v>30</v>
      </c>
      <c r="B16" s="8">
        <v>4.5</v>
      </c>
      <c r="C16" s="9">
        <f>data_KTY81_210[[#This Row],[θ]]*$N$46+$O$46</f>
        <v>1701.9664997724169</v>
      </c>
      <c r="D16" s="9" cm="1">
        <f t="array" aca="1" ref="D16" ca="1">INDIRECT(RefCell_Rpot)+SUM($G$3:G16)</f>
        <v>1701</v>
      </c>
      <c r="E16" s="9">
        <f ca="1">data_KTY81_210[[#This Row],[Rpcb]]-data_KTY81_210[[#This Row],[Rsonde]]</f>
        <v>-0.96649977241690976</v>
      </c>
      <c r="F16" s="4">
        <f ca="1">data_KTY81_210[[#This Row],[Diff R]]/data_KTY81_210[[#This Row],[Rsonde]]</f>
        <v>-5.6787238323794732E-4</v>
      </c>
      <c r="G16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16" s="9" cm="1">
        <f t="array" aca="1" ref="H16" ca="1">MAX(IF(ResValuesR24&lt;=ROUND(data_KTY81_210[[#This Row],[Rsonde]],2)-IF(data_KTY81_210[[#This Row],[Rsonde]]=MIN(data_KTY81_210[Rsonde]),100,$D15),ResValuesR24))</f>
        <v>20</v>
      </c>
      <c r="I16" s="9">
        <f ca="1">ROUND(data_KTY81_210[[#This Row],[RaddLow]]+(IF(data_KTY81_210[[#This Row],[Rsonde]]=MIN(data_KTY81_210[Rsonde]),0,$D15)-data_KTY81_210[[#This Row],[Rsonde]]),2)</f>
        <v>-0.97</v>
      </c>
      <c r="J16" s="9" cm="1">
        <f t="array" aca="1" ref="J16" ca="1">MIN(IF(ResValuesR24&gt;=ROUND(data_KTY81_210[[#This Row],[Rsonde]],2)-IF(data_KTY81_210[[#This Row],[Rsonde]]=MIN(data_KTY81_210[Rsonde]),100,$D15),ResValuesR24))</f>
        <v>22</v>
      </c>
      <c r="K16" s="9">
        <f ca="1">ROUND(data_KTY81_210[[#This Row],[RaddHigh]]+(IF(data_KTY81_210[[#This Row],[Rsonde]]=MIN(data_KTY81_210[Rsonde]),0,$D15)-data_KTY81_210[[#This Row],[Rsonde]]),2)</f>
        <v>1.03</v>
      </c>
      <c r="L16" s="2" cm="1">
        <f t="array" aca="1" ref="L16" ca="1">IF(INDIRECT(RefCell_R77),(data_KTY81_210[[#This Row],[Rpcb]]*INDIRECT(RefCell_R77))/(data_KTY81_210[[#This Row],[Rpcb]]+INDIRECT(RefCell_R77)),data_KTY81_210[[#This Row],[Rpcb]])</f>
        <v>1701</v>
      </c>
      <c r="N16" s="3" t="s">
        <v>177</v>
      </c>
      <c r="O16">
        <f>1/(B31+273.15)</f>
        <v>3.331667499583542E-3</v>
      </c>
    </row>
    <row r="17" spans="1:17" x14ac:dyDescent="0.25">
      <c r="A17" t="s">
        <v>31</v>
      </c>
      <c r="B17" s="8">
        <v>6</v>
      </c>
      <c r="C17" s="9">
        <f>data_KTY81_210[[#This Row],[θ]]*$N$46+$O$46</f>
        <v>1723.3994993172507</v>
      </c>
      <c r="D17" s="9" cm="1">
        <f t="array" aca="1" ref="D17" ca="1">INDIRECT(RefCell_Rpot)+SUM($G$3:G17)</f>
        <v>1723</v>
      </c>
      <c r="E17" s="9">
        <f ca="1">data_KTY81_210[[#This Row],[Rpcb]]-data_KTY81_210[[#This Row],[Rsonde]]</f>
        <v>-0.39949931725072929</v>
      </c>
      <c r="F17" s="4">
        <f ca="1">data_KTY81_210[[#This Row],[Diff R]]/data_KTY81_210[[#This Row],[Rsonde]]</f>
        <v>-2.3180888552479947E-4</v>
      </c>
      <c r="G17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17" s="9" cm="1">
        <f t="array" aca="1" ref="H17" ca="1">MAX(IF(ResValuesR24&lt;=ROUND(data_KTY81_210[[#This Row],[Rsonde]],2)-IF(data_KTY81_210[[#This Row],[Rsonde]]=MIN(data_KTY81_210[Rsonde]),100,$D16),ResValuesR24))</f>
        <v>22</v>
      </c>
      <c r="I17" s="9">
        <f ca="1">ROUND(data_KTY81_210[[#This Row],[RaddLow]]+(IF(data_KTY81_210[[#This Row],[Rsonde]]=MIN(data_KTY81_210[Rsonde]),0,$D16)-data_KTY81_210[[#This Row],[Rsonde]]),2)</f>
        <v>-0.4</v>
      </c>
      <c r="J17" s="9" cm="1">
        <f t="array" aca="1" ref="J17" ca="1">MIN(IF(ResValuesR24&gt;=ROUND(data_KTY81_210[[#This Row],[Rsonde]],2)-IF(data_KTY81_210[[#This Row],[Rsonde]]=MIN(data_KTY81_210[Rsonde]),100,$D16),ResValuesR24))</f>
        <v>24</v>
      </c>
      <c r="K17" s="9">
        <f ca="1">ROUND(data_KTY81_210[[#This Row],[RaddHigh]]+(IF(data_KTY81_210[[#This Row],[Rsonde]]=MIN(data_KTY81_210[Rsonde]),0,$D16)-data_KTY81_210[[#This Row],[Rsonde]]),2)</f>
        <v>1.6</v>
      </c>
      <c r="L17" s="2" cm="1">
        <f t="array" aca="1" ref="L17" ca="1">IF(INDIRECT(RefCell_R77),(data_KTY81_210[[#This Row],[Rpcb]]*INDIRECT(RefCell_R77))/(data_KTY81_210[[#This Row],[Rpcb]]+INDIRECT(RefCell_R77)),data_KTY81_210[[#This Row],[Rpcb]])</f>
        <v>1723</v>
      </c>
    </row>
    <row r="18" spans="1:17" x14ac:dyDescent="0.25">
      <c r="A18" t="s">
        <v>32</v>
      </c>
      <c r="B18" s="8">
        <v>7.5</v>
      </c>
      <c r="C18" s="9">
        <f>data_KTY81_210[[#This Row],[θ]]*$N$46+$O$46</f>
        <v>1744.8324988620845</v>
      </c>
      <c r="D18" s="9" cm="1">
        <f t="array" aca="1" ref="D18" ca="1">INDIRECT(RefCell_Rpot)+SUM($G$3:G18)</f>
        <v>1745</v>
      </c>
      <c r="E18" s="9">
        <f ca="1">data_KTY81_210[[#This Row],[Rpcb]]-data_KTY81_210[[#This Row],[Rsonde]]</f>
        <v>0.16750113791545118</v>
      </c>
      <c r="F18" s="4">
        <f ca="1">data_KTY81_210[[#This Row],[Diff R]]/data_KTY81_210[[#This Row],[Rsonde]]</f>
        <v>9.5998405591762675E-5</v>
      </c>
      <c r="G18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18" s="9" cm="1">
        <f t="array" aca="1" ref="H18" ca="1">MAX(IF(ResValuesR24&lt;=ROUND(data_KTY81_210[[#This Row],[Rsonde]],2)-IF(data_KTY81_210[[#This Row],[Rsonde]]=MIN(data_KTY81_210[Rsonde]),100,$D17),ResValuesR24))</f>
        <v>20</v>
      </c>
      <c r="I18" s="9">
        <f ca="1">ROUND(data_KTY81_210[[#This Row],[RaddLow]]+(IF(data_KTY81_210[[#This Row],[Rsonde]]=MIN(data_KTY81_210[Rsonde]),0,$D17)-data_KTY81_210[[#This Row],[Rsonde]]),2)</f>
        <v>-1.83</v>
      </c>
      <c r="J18" s="9" cm="1">
        <f t="array" aca="1" ref="J18" ca="1">MIN(IF(ResValuesR24&gt;=ROUND(data_KTY81_210[[#This Row],[Rsonde]],2)-IF(data_KTY81_210[[#This Row],[Rsonde]]=MIN(data_KTY81_210[Rsonde]),100,$D17),ResValuesR24))</f>
        <v>22</v>
      </c>
      <c r="K18" s="9">
        <f ca="1">ROUND(data_KTY81_210[[#This Row],[RaddHigh]]+(IF(data_KTY81_210[[#This Row],[Rsonde]]=MIN(data_KTY81_210[Rsonde]),0,$D17)-data_KTY81_210[[#This Row],[Rsonde]]),2)</f>
        <v>0.17</v>
      </c>
      <c r="L18" s="2" cm="1">
        <f t="array" aca="1" ref="L18" ca="1">IF(INDIRECT(RefCell_R77),(data_KTY81_210[[#This Row],[Rpcb]]*INDIRECT(RefCell_R77))/(data_KTY81_210[[#This Row],[Rpcb]]+INDIRECT(RefCell_R77)),data_KTY81_210[[#This Row],[Rpcb]])</f>
        <v>1745</v>
      </c>
    </row>
    <row r="19" spans="1:17" x14ac:dyDescent="0.25">
      <c r="A19" t="s">
        <v>33</v>
      </c>
      <c r="B19" s="8">
        <v>9</v>
      </c>
      <c r="C19" s="9">
        <f>data_KTY81_210[[#This Row],[θ]]*$N$46+$O$46</f>
        <v>1766.2654984069184</v>
      </c>
      <c r="D19" s="9" cm="1">
        <f t="array" aca="1" ref="D19" ca="1">INDIRECT(RefCell_Rpot)+SUM($G$3:G19)</f>
        <v>1767</v>
      </c>
      <c r="E19" s="9">
        <f ca="1">data_KTY81_210[[#This Row],[Rpcb]]-data_KTY81_210[[#This Row],[Rsonde]]</f>
        <v>0.73450159308163165</v>
      </c>
      <c r="F19" s="4">
        <f ca="1">data_KTY81_210[[#This Row],[Diff R]]/data_KTY81_210[[#This Row],[Rsonde]]</f>
        <v>4.1585004844634893E-4</v>
      </c>
      <c r="G19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19" s="9" cm="1">
        <f t="array" aca="1" ref="H19" ca="1">MAX(IF(ResValuesR24&lt;=ROUND(data_KTY81_210[[#This Row],[Rsonde]],2)-IF(data_KTY81_210[[#This Row],[Rsonde]]=MIN(data_KTY81_210[Rsonde]),100,$D18),ResValuesR24))</f>
        <v>20</v>
      </c>
      <c r="I19" s="9">
        <f ca="1">ROUND(data_KTY81_210[[#This Row],[RaddLow]]+(IF(data_KTY81_210[[#This Row],[Rsonde]]=MIN(data_KTY81_210[Rsonde]),0,$D18)-data_KTY81_210[[#This Row],[Rsonde]]),2)</f>
        <v>-1.27</v>
      </c>
      <c r="J19" s="9" cm="1">
        <f t="array" aca="1" ref="J19" ca="1">MIN(IF(ResValuesR24&gt;=ROUND(data_KTY81_210[[#This Row],[Rsonde]],2)-IF(data_KTY81_210[[#This Row],[Rsonde]]=MIN(data_KTY81_210[Rsonde]),100,$D18),ResValuesR24))</f>
        <v>22</v>
      </c>
      <c r="K19" s="9">
        <f ca="1">ROUND(data_KTY81_210[[#This Row],[RaddHigh]]+(IF(data_KTY81_210[[#This Row],[Rsonde]]=MIN(data_KTY81_210[Rsonde]),0,$D18)-data_KTY81_210[[#This Row],[Rsonde]]),2)</f>
        <v>0.73</v>
      </c>
      <c r="L19" s="2" cm="1">
        <f t="array" aca="1" ref="L19" ca="1">IF(INDIRECT(RefCell_R77),(data_KTY81_210[[#This Row],[Rpcb]]*INDIRECT(RefCell_R77))/(data_KTY81_210[[#This Row],[Rpcb]]+INDIRECT(RefCell_R77)),data_KTY81_210[[#This Row],[Rpcb]])</f>
        <v>1767</v>
      </c>
      <c r="N19" s="37" t="s">
        <v>260</v>
      </c>
    </row>
    <row r="20" spans="1:17" x14ac:dyDescent="0.25">
      <c r="A20" t="s">
        <v>34</v>
      </c>
      <c r="B20" s="8">
        <v>10.5</v>
      </c>
      <c r="C20" s="9">
        <f>data_KTY81_210[[#This Row],[θ]]*$N$46+$O$46</f>
        <v>1787.6984979517524</v>
      </c>
      <c r="D20" s="9" cm="1">
        <f t="array" aca="1" ref="D20" ca="1">INDIRECT(RefCell_Rpot)+SUM($G$3:G20)</f>
        <v>1787</v>
      </c>
      <c r="E20" s="9">
        <f ca="1">data_KTY81_210[[#This Row],[Rpcb]]-data_KTY81_210[[#This Row],[Rsonde]]</f>
        <v>-0.69849795175241525</v>
      </c>
      <c r="F20" s="4">
        <f ca="1">data_KTY81_210[[#This Row],[Diff R]]/data_KTY81_210[[#This Row],[Rsonde]]</f>
        <v>-3.9072469577656197E-4</v>
      </c>
      <c r="G20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20" s="9" cm="1">
        <f t="array" aca="1" ref="H20" ca="1">MAX(IF(ResValuesR24&lt;=ROUND(data_KTY81_210[[#This Row],[Rsonde]],2)-IF(data_KTY81_210[[#This Row],[Rsonde]]=MIN(data_KTY81_210[Rsonde]),100,$D19),ResValuesR24))</f>
        <v>20</v>
      </c>
      <c r="I20" s="9">
        <f ca="1">ROUND(data_KTY81_210[[#This Row],[RaddLow]]+(IF(data_KTY81_210[[#This Row],[Rsonde]]=MIN(data_KTY81_210[Rsonde]),0,$D19)-data_KTY81_210[[#This Row],[Rsonde]]),2)</f>
        <v>-0.7</v>
      </c>
      <c r="J20" s="9" cm="1">
        <f t="array" aca="1" ref="J20" ca="1">MIN(IF(ResValuesR24&gt;=ROUND(data_KTY81_210[[#This Row],[Rsonde]],2)-IF(data_KTY81_210[[#This Row],[Rsonde]]=MIN(data_KTY81_210[Rsonde]),100,$D19),ResValuesR24))</f>
        <v>22</v>
      </c>
      <c r="K20" s="9">
        <f ca="1">ROUND(data_KTY81_210[[#This Row],[RaddHigh]]+(IF(data_KTY81_210[[#This Row],[Rsonde]]=MIN(data_KTY81_210[Rsonde]),0,$D19)-data_KTY81_210[[#This Row],[Rsonde]]),2)</f>
        <v>1.3</v>
      </c>
      <c r="L20" s="2" cm="1">
        <f t="array" aca="1" ref="L20" ca="1">IF(INDIRECT(RefCell_R77),(data_KTY81_210[[#This Row],[Rpcb]]*INDIRECT(RefCell_R77))/(data_KTY81_210[[#This Row],[Rpcb]]+INDIRECT(RefCell_R77)),data_KTY81_210[[#This Row],[Rpcb]])</f>
        <v>1787</v>
      </c>
      <c r="N20">
        <v>-20</v>
      </c>
      <c r="O20">
        <v>1368</v>
      </c>
      <c r="P20" s="8">
        <f>N20*$N$46+$O$46</f>
        <v>1351.8941738734636</v>
      </c>
      <c r="Q20" s="53">
        <f>P20/O20-1</f>
        <v>-1.1773264712380382E-2</v>
      </c>
    </row>
    <row r="21" spans="1:17" x14ac:dyDescent="0.25">
      <c r="A21" t="s">
        <v>35</v>
      </c>
      <c r="B21" s="8">
        <v>12</v>
      </c>
      <c r="C21" s="9">
        <f>data_KTY81_210[[#This Row],[θ]]*$N$46+$O$46</f>
        <v>1809.1314974965862</v>
      </c>
      <c r="D21" s="9" cm="1">
        <f t="array" aca="1" ref="D21" ca="1">INDIRECT(RefCell_Rpot)+SUM($G$3:G21)</f>
        <v>1809</v>
      </c>
      <c r="E21" s="9">
        <f ca="1">data_KTY81_210[[#This Row],[Rpcb]]-data_KTY81_210[[#This Row],[Rsonde]]</f>
        <v>-0.13149749658623477</v>
      </c>
      <c r="F21" s="4">
        <f ca="1">data_KTY81_210[[#This Row],[Diff R]]/data_KTY81_210[[#This Row],[Rsonde]]</f>
        <v>-7.2685427658628724E-5</v>
      </c>
      <c r="G21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21" s="9" cm="1">
        <f t="array" aca="1" ref="H21" ca="1">MAX(IF(ResValuesR24&lt;=ROUND(data_KTY81_210[[#This Row],[Rsonde]],2)-IF(data_KTY81_210[[#This Row],[Rsonde]]=MIN(data_KTY81_210[Rsonde]),100,$D20),ResValuesR24))</f>
        <v>22</v>
      </c>
      <c r="I21" s="9">
        <f ca="1">ROUND(data_KTY81_210[[#This Row],[RaddLow]]+(IF(data_KTY81_210[[#This Row],[Rsonde]]=MIN(data_KTY81_210[Rsonde]),0,$D20)-data_KTY81_210[[#This Row],[Rsonde]]),2)</f>
        <v>-0.13</v>
      </c>
      <c r="J21" s="9" cm="1">
        <f t="array" aca="1" ref="J21" ca="1">MIN(IF(ResValuesR24&gt;=ROUND(data_KTY81_210[[#This Row],[Rsonde]],2)-IF(data_KTY81_210[[#This Row],[Rsonde]]=MIN(data_KTY81_210[Rsonde]),100,$D20),ResValuesR24))</f>
        <v>24</v>
      </c>
      <c r="K21" s="9">
        <f ca="1">ROUND(data_KTY81_210[[#This Row],[RaddHigh]]+(IF(data_KTY81_210[[#This Row],[Rsonde]]=MIN(data_KTY81_210[Rsonde]),0,$D20)-data_KTY81_210[[#This Row],[Rsonde]]),2)</f>
        <v>1.87</v>
      </c>
      <c r="L21" s="2" cm="1">
        <f t="array" aca="1" ref="L21" ca="1">IF(INDIRECT(RefCell_R77),(data_KTY81_210[[#This Row],[Rpcb]]*INDIRECT(RefCell_R77))/(data_KTY81_210[[#This Row],[Rpcb]]+INDIRECT(RefCell_R77)),data_KTY81_210[[#This Row],[Rpcb]])</f>
        <v>1809</v>
      </c>
      <c r="N21">
        <v>-18</v>
      </c>
      <c r="O21">
        <v>1393</v>
      </c>
      <c r="P21" s="8">
        <f t="shared" ref="P21:P43" si="5">N21*$N$46+$O$46</f>
        <v>1380.4715065999089</v>
      </c>
      <c r="Q21" s="53">
        <f t="shared" ref="Q21:Q43" si="6">P21/O21-1</f>
        <v>-8.9938933238270513E-3</v>
      </c>
    </row>
    <row r="22" spans="1:17" x14ac:dyDescent="0.25">
      <c r="A22" t="s">
        <v>36</v>
      </c>
      <c r="B22" s="8">
        <v>13.5</v>
      </c>
      <c r="C22" s="9">
        <f>data_KTY81_210[[#This Row],[θ]]*$N$46+$O$46</f>
        <v>1830.5644970414201</v>
      </c>
      <c r="D22" s="9" cm="1">
        <f t="array" aca="1" ref="D22" ca="1">INDIRECT(RefCell_Rpot)+SUM($G$3:G22)</f>
        <v>1831</v>
      </c>
      <c r="E22" s="9">
        <f ca="1">data_KTY81_210[[#This Row],[Rpcb]]-data_KTY81_210[[#This Row],[Rsonde]]</f>
        <v>0.4355029585799457</v>
      </c>
      <c r="F22" s="4">
        <f ca="1">data_KTY81_210[[#This Row],[Diff R]]/data_KTY81_210[[#This Row],[Rsonde]]</f>
        <v>2.3790637220584727E-4</v>
      </c>
      <c r="G22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22" s="9" cm="1">
        <f t="array" aca="1" ref="H22" ca="1">MAX(IF(ResValuesR24&lt;=ROUND(data_KTY81_210[[#This Row],[Rsonde]],2)-IF(data_KTY81_210[[#This Row],[Rsonde]]=MIN(data_KTY81_210[Rsonde]),100,$D21),ResValuesR24))</f>
        <v>20</v>
      </c>
      <c r="I22" s="9">
        <f ca="1">ROUND(data_KTY81_210[[#This Row],[RaddLow]]+(IF(data_KTY81_210[[#This Row],[Rsonde]]=MIN(data_KTY81_210[Rsonde]),0,$D21)-data_KTY81_210[[#This Row],[Rsonde]]),2)</f>
        <v>-1.56</v>
      </c>
      <c r="J22" s="9" cm="1">
        <f t="array" aca="1" ref="J22" ca="1">MIN(IF(ResValuesR24&gt;=ROUND(data_KTY81_210[[#This Row],[Rsonde]],2)-IF(data_KTY81_210[[#This Row],[Rsonde]]=MIN(data_KTY81_210[Rsonde]),100,$D21),ResValuesR24))</f>
        <v>22</v>
      </c>
      <c r="K22" s="9">
        <f ca="1">ROUND(data_KTY81_210[[#This Row],[RaddHigh]]+(IF(data_KTY81_210[[#This Row],[Rsonde]]=MIN(data_KTY81_210[Rsonde]),0,$D21)-data_KTY81_210[[#This Row],[Rsonde]]),2)</f>
        <v>0.44</v>
      </c>
      <c r="L22" s="2" cm="1">
        <f t="array" aca="1" ref="L22" ca="1">IF(INDIRECT(RefCell_R77),(data_KTY81_210[[#This Row],[Rpcb]]*INDIRECT(RefCell_R77))/(data_KTY81_210[[#This Row],[Rpcb]]+INDIRECT(RefCell_R77)),data_KTY81_210[[#This Row],[Rpcb]])</f>
        <v>1831</v>
      </c>
      <c r="N22">
        <v>-16</v>
      </c>
      <c r="O22">
        <v>1418</v>
      </c>
      <c r="P22" s="8">
        <f t="shared" si="5"/>
        <v>1409.048839326354</v>
      </c>
      <c r="Q22" s="53">
        <f t="shared" si="6"/>
        <v>-6.3125251577192953E-3</v>
      </c>
    </row>
    <row r="23" spans="1:17" x14ac:dyDescent="0.25">
      <c r="A23" t="s">
        <v>37</v>
      </c>
      <c r="B23" s="8">
        <v>15</v>
      </c>
      <c r="C23" s="9">
        <f>data_KTY81_210[[#This Row],[θ]]*$N$46+$O$46</f>
        <v>1851.9974965862539</v>
      </c>
      <c r="D23" s="9" cm="1">
        <f t="array" aca="1" ref="D23" ca="1">INDIRECT(RefCell_Rpot)+SUM($G$3:G23)</f>
        <v>1853</v>
      </c>
      <c r="E23" s="9">
        <f ca="1">data_KTY81_210[[#This Row],[Rpcb]]-data_KTY81_210[[#This Row],[Rsonde]]</f>
        <v>1.0025034137461262</v>
      </c>
      <c r="F23" s="4">
        <f ca="1">data_KTY81_210[[#This Row],[Diff R]]/data_KTY81_210[[#This Row],[Rsonde]]</f>
        <v>5.4130927044664936E-4</v>
      </c>
      <c r="G23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23" s="9" cm="1">
        <f t="array" aca="1" ref="H23" ca="1">MAX(IF(ResValuesR24&lt;=ROUND(data_KTY81_210[[#This Row],[Rsonde]],2)-IF(data_KTY81_210[[#This Row],[Rsonde]]=MIN(data_KTY81_210[Rsonde]),100,$D22),ResValuesR24))</f>
        <v>20</v>
      </c>
      <c r="I23" s="9">
        <f ca="1">ROUND(data_KTY81_210[[#This Row],[RaddLow]]+(IF(data_KTY81_210[[#This Row],[Rsonde]]=MIN(data_KTY81_210[Rsonde]),0,$D22)-data_KTY81_210[[#This Row],[Rsonde]]),2)</f>
        <v>-1</v>
      </c>
      <c r="J23" s="9" cm="1">
        <f t="array" aca="1" ref="J23" ca="1">MIN(IF(ResValuesR24&gt;=ROUND(data_KTY81_210[[#This Row],[Rsonde]],2)-IF(data_KTY81_210[[#This Row],[Rsonde]]=MIN(data_KTY81_210[Rsonde]),100,$D22),ResValuesR24))</f>
        <v>22</v>
      </c>
      <c r="K23" s="9">
        <f ca="1">ROUND(data_KTY81_210[[#This Row],[RaddHigh]]+(IF(data_KTY81_210[[#This Row],[Rsonde]]=MIN(data_KTY81_210[Rsonde]),0,$D22)-data_KTY81_210[[#This Row],[Rsonde]]),2)</f>
        <v>1</v>
      </c>
      <c r="L23" s="2" cm="1">
        <f t="array" aca="1" ref="L23" ca="1">IF(INDIRECT(RefCell_R77),(data_KTY81_210[[#This Row],[Rpcb]]*INDIRECT(RefCell_R77))/(data_KTY81_210[[#This Row],[Rpcb]]+INDIRECT(RefCell_R77)),data_KTY81_210[[#This Row],[Rpcb]])</f>
        <v>1853</v>
      </c>
      <c r="N23">
        <v>-14</v>
      </c>
      <c r="O23">
        <v>1444</v>
      </c>
      <c r="P23" s="8">
        <f t="shared" si="5"/>
        <v>1437.6261720527991</v>
      </c>
      <c r="Q23" s="53">
        <f t="shared" si="6"/>
        <v>-4.4140082736847663E-3</v>
      </c>
    </row>
    <row r="24" spans="1:17" x14ac:dyDescent="0.25">
      <c r="A24" t="s">
        <v>38</v>
      </c>
      <c r="B24" s="8">
        <v>16.5</v>
      </c>
      <c r="C24" s="9">
        <f>data_KTY81_210[[#This Row],[θ]]*$N$46+$O$46</f>
        <v>1873.4304961310877</v>
      </c>
      <c r="D24" s="9" cm="1">
        <f t="array" aca="1" ref="D24" ca="1">INDIRECT(RefCell_Rpot)+SUM($G$3:G24)</f>
        <v>1873</v>
      </c>
      <c r="E24" s="9">
        <f ca="1">data_KTY81_210[[#This Row],[Rpcb]]-data_KTY81_210[[#This Row],[Rsonde]]</f>
        <v>-0.43049613108769336</v>
      </c>
      <c r="F24" s="4">
        <f ca="1">data_KTY81_210[[#This Row],[Diff R]]/data_KTY81_210[[#This Row],[Rsonde]]</f>
        <v>-2.2979028684369759E-4</v>
      </c>
      <c r="G24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24" s="9" cm="1">
        <f t="array" aca="1" ref="H24" ca="1">MAX(IF(ResValuesR24&lt;=ROUND(data_KTY81_210[[#This Row],[Rsonde]],2)-IF(data_KTY81_210[[#This Row],[Rsonde]]=MIN(data_KTY81_210[Rsonde]),100,$D23),ResValuesR24))</f>
        <v>20</v>
      </c>
      <c r="I24" s="9">
        <f ca="1">ROUND(data_KTY81_210[[#This Row],[RaddLow]]+(IF(data_KTY81_210[[#This Row],[Rsonde]]=MIN(data_KTY81_210[Rsonde]),0,$D23)-data_KTY81_210[[#This Row],[Rsonde]]),2)</f>
        <v>-0.43</v>
      </c>
      <c r="J24" s="9" cm="1">
        <f t="array" aca="1" ref="J24" ca="1">MIN(IF(ResValuesR24&gt;=ROUND(data_KTY81_210[[#This Row],[Rsonde]],2)-IF(data_KTY81_210[[#This Row],[Rsonde]]=MIN(data_KTY81_210[Rsonde]),100,$D23),ResValuesR24))</f>
        <v>22</v>
      </c>
      <c r="K24" s="9">
        <f ca="1">ROUND(data_KTY81_210[[#This Row],[RaddHigh]]+(IF(data_KTY81_210[[#This Row],[Rsonde]]=MIN(data_KTY81_210[Rsonde]),0,$D23)-data_KTY81_210[[#This Row],[Rsonde]]),2)</f>
        <v>1.57</v>
      </c>
      <c r="L24" s="2" cm="1">
        <f t="array" aca="1" ref="L24" ca="1">IF(INDIRECT(RefCell_R77),(data_KTY81_210[[#This Row],[Rpcb]]*INDIRECT(RefCell_R77))/(data_KTY81_210[[#This Row],[Rpcb]]+INDIRECT(RefCell_R77)),data_KTY81_210[[#This Row],[Rpcb]])</f>
        <v>1873</v>
      </c>
      <c r="N24">
        <v>-12</v>
      </c>
      <c r="O24">
        <v>1469</v>
      </c>
      <c r="P24" s="8">
        <f t="shared" si="5"/>
        <v>1466.2035047792442</v>
      </c>
      <c r="Q24" s="53">
        <f t="shared" si="6"/>
        <v>-1.9036727166479306E-3</v>
      </c>
    </row>
    <row r="25" spans="1:17" x14ac:dyDescent="0.25">
      <c r="A25" t="s">
        <v>39</v>
      </c>
      <c r="B25" s="8">
        <v>18</v>
      </c>
      <c r="C25" s="9">
        <f>data_KTY81_210[[#This Row],[θ]]*$N$46+$O$46</f>
        <v>1894.8634956759215</v>
      </c>
      <c r="D25" s="9" cm="1">
        <f t="array" aca="1" ref="D25" ca="1">INDIRECT(RefCell_Rpot)+SUM($G$3:G25)</f>
        <v>1895</v>
      </c>
      <c r="E25" s="9">
        <f ca="1">data_KTY81_210[[#This Row],[Rpcb]]-data_KTY81_210[[#This Row],[Rsonde]]</f>
        <v>0.13650432407848712</v>
      </c>
      <c r="F25" s="4">
        <f ca="1">data_KTY81_210[[#This Row],[Diff R]]/data_KTY81_210[[#This Row],[Rsonde]]</f>
        <v>7.2039133367648894E-5</v>
      </c>
      <c r="G25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25" s="9" cm="1">
        <f t="array" aca="1" ref="H25" ca="1">MAX(IF(ResValuesR24&lt;=ROUND(data_KTY81_210[[#This Row],[Rsonde]],2)-IF(data_KTY81_210[[#This Row],[Rsonde]]=MIN(data_KTY81_210[Rsonde]),100,$D24),ResValuesR24))</f>
        <v>20</v>
      </c>
      <c r="I25" s="9">
        <f ca="1">ROUND(data_KTY81_210[[#This Row],[RaddLow]]+(IF(data_KTY81_210[[#This Row],[Rsonde]]=MIN(data_KTY81_210[Rsonde]),0,$D24)-data_KTY81_210[[#This Row],[Rsonde]]),2)</f>
        <v>-1.86</v>
      </c>
      <c r="J25" s="9" cm="1">
        <f t="array" aca="1" ref="J25" ca="1">MIN(IF(ResValuesR24&gt;=ROUND(data_KTY81_210[[#This Row],[Rsonde]],2)-IF(data_KTY81_210[[#This Row],[Rsonde]]=MIN(data_KTY81_210[Rsonde]),100,$D24),ResValuesR24))</f>
        <v>22</v>
      </c>
      <c r="K25" s="9">
        <f ca="1">ROUND(data_KTY81_210[[#This Row],[RaddHigh]]+(IF(data_KTY81_210[[#This Row],[Rsonde]]=MIN(data_KTY81_210[Rsonde]),0,$D24)-data_KTY81_210[[#This Row],[Rsonde]]),2)</f>
        <v>0.14000000000000001</v>
      </c>
      <c r="L25" s="2" cm="1">
        <f t="array" aca="1" ref="L25" ca="1">IF(INDIRECT(RefCell_R77),(data_KTY81_210[[#This Row],[Rpcb]]*INDIRECT(RefCell_R77))/(data_KTY81_210[[#This Row],[Rpcb]]+INDIRECT(RefCell_R77)),data_KTY81_210[[#This Row],[Rpcb]])</f>
        <v>1895</v>
      </c>
      <c r="N25">
        <v>-10</v>
      </c>
      <c r="O25">
        <v>1495</v>
      </c>
      <c r="P25" s="8">
        <f t="shared" si="5"/>
        <v>1494.7808375056895</v>
      </c>
      <c r="Q25" s="53">
        <f t="shared" si="6"/>
        <v>-1.4659698616081851E-4</v>
      </c>
    </row>
    <row r="26" spans="1:17" x14ac:dyDescent="0.25">
      <c r="A26" t="s">
        <v>40</v>
      </c>
      <c r="B26" s="8">
        <v>19.5</v>
      </c>
      <c r="C26" s="9">
        <f>data_KTY81_210[[#This Row],[θ]]*$N$46+$O$46</f>
        <v>1916.2964952207556</v>
      </c>
      <c r="D26" s="9" cm="1">
        <f t="array" aca="1" ref="D26" ca="1">INDIRECT(RefCell_Rpot)+SUM($G$3:G26)</f>
        <v>1917</v>
      </c>
      <c r="E26" s="9">
        <f ca="1">data_KTY81_210[[#This Row],[Rpcb]]-data_KTY81_210[[#This Row],[Rsonde]]</f>
        <v>0.70350477924444021</v>
      </c>
      <c r="F26" s="4">
        <f ca="1">data_KTY81_210[[#This Row],[Diff R]]/data_KTY81_210[[#This Row],[Rsonde]]</f>
        <v>3.6711687413663885E-4</v>
      </c>
      <c r="G26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26" s="9" cm="1">
        <f t="array" aca="1" ref="H26" ca="1">MAX(IF(ResValuesR24&lt;=ROUND(data_KTY81_210[[#This Row],[Rsonde]],2)-IF(data_KTY81_210[[#This Row],[Rsonde]]=MIN(data_KTY81_210[Rsonde]),100,$D25),ResValuesR24))</f>
        <v>20</v>
      </c>
      <c r="I26" s="9">
        <f ca="1">ROUND(data_KTY81_210[[#This Row],[RaddLow]]+(IF(data_KTY81_210[[#This Row],[Rsonde]]=MIN(data_KTY81_210[Rsonde]),0,$D25)-data_KTY81_210[[#This Row],[Rsonde]]),2)</f>
        <v>-1.3</v>
      </c>
      <c r="J26" s="9" cm="1">
        <f t="array" aca="1" ref="J26" ca="1">MIN(IF(ResValuesR24&gt;=ROUND(data_KTY81_210[[#This Row],[Rsonde]],2)-IF(data_KTY81_210[[#This Row],[Rsonde]]=MIN(data_KTY81_210[Rsonde]),100,$D25),ResValuesR24))</f>
        <v>22</v>
      </c>
      <c r="K26" s="9">
        <f ca="1">ROUND(data_KTY81_210[[#This Row],[RaddHigh]]+(IF(data_KTY81_210[[#This Row],[Rsonde]]=MIN(data_KTY81_210[Rsonde]),0,$D25)-data_KTY81_210[[#This Row],[Rsonde]]),2)</f>
        <v>0.7</v>
      </c>
      <c r="L26" s="2" cm="1">
        <f t="array" aca="1" ref="L26" ca="1">IF(INDIRECT(RefCell_R77),(data_KTY81_210[[#This Row],[Rpcb]]*INDIRECT(RefCell_R77))/(data_KTY81_210[[#This Row],[Rpcb]]+INDIRECT(RefCell_R77)),data_KTY81_210[[#This Row],[Rpcb]])</f>
        <v>1917</v>
      </c>
      <c r="N26">
        <v>-8</v>
      </c>
      <c r="O26">
        <v>1522</v>
      </c>
      <c r="P26" s="8">
        <f t="shared" si="5"/>
        <v>1523.3581702321346</v>
      </c>
      <c r="Q26" s="53">
        <f t="shared" si="6"/>
        <v>8.9235889102146082E-4</v>
      </c>
    </row>
    <row r="27" spans="1:17" x14ac:dyDescent="0.25">
      <c r="A27" t="s">
        <v>41</v>
      </c>
      <c r="B27" s="8">
        <v>21</v>
      </c>
      <c r="C27" s="9">
        <f>data_KTY81_210[[#This Row],[θ]]*$N$46+$O$46</f>
        <v>1937.7294947655894</v>
      </c>
      <c r="D27" s="9" cm="1">
        <f t="array" aca="1" ref="D27" ca="1">INDIRECT(RefCell_Rpot)+SUM($G$3:G27)</f>
        <v>1937</v>
      </c>
      <c r="E27" s="9">
        <f ca="1">data_KTY81_210[[#This Row],[Rpcb]]-data_KTY81_210[[#This Row],[Rsonde]]</f>
        <v>-0.72949476558937931</v>
      </c>
      <c r="F27" s="4">
        <f ca="1">data_KTY81_210[[#This Row],[Diff R]]/data_KTY81_210[[#This Row],[Rsonde]]</f>
        <v>-3.7646883507732725E-4</v>
      </c>
      <c r="G27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27" s="9" cm="1">
        <f t="array" aca="1" ref="H27" ca="1">MAX(IF(ResValuesR24&lt;=ROUND(data_KTY81_210[[#This Row],[Rsonde]],2)-IF(data_KTY81_210[[#This Row],[Rsonde]]=MIN(data_KTY81_210[Rsonde]),100,$D26),ResValuesR24))</f>
        <v>20</v>
      </c>
      <c r="I27" s="9">
        <f ca="1">ROUND(data_KTY81_210[[#This Row],[RaddLow]]+(IF(data_KTY81_210[[#This Row],[Rsonde]]=MIN(data_KTY81_210[Rsonde]),0,$D26)-data_KTY81_210[[#This Row],[Rsonde]]),2)</f>
        <v>-0.73</v>
      </c>
      <c r="J27" s="9" cm="1">
        <f t="array" aca="1" ref="J27" ca="1">MIN(IF(ResValuesR24&gt;=ROUND(data_KTY81_210[[#This Row],[Rsonde]],2)-IF(data_KTY81_210[[#This Row],[Rsonde]]=MIN(data_KTY81_210[Rsonde]),100,$D26),ResValuesR24))</f>
        <v>22</v>
      </c>
      <c r="K27" s="9">
        <f ca="1">ROUND(data_KTY81_210[[#This Row],[RaddHigh]]+(IF(data_KTY81_210[[#This Row],[Rsonde]]=MIN(data_KTY81_210[Rsonde]),0,$D26)-data_KTY81_210[[#This Row],[Rsonde]]),2)</f>
        <v>1.27</v>
      </c>
      <c r="L27" s="2" cm="1">
        <f t="array" aca="1" ref="L27" ca="1">IF(INDIRECT(RefCell_R77),(data_KTY81_210[[#This Row],[Rpcb]]*INDIRECT(RefCell_R77))/(data_KTY81_210[[#This Row],[Rpcb]]+INDIRECT(RefCell_R77)),data_KTY81_210[[#This Row],[Rpcb]])</f>
        <v>1937</v>
      </c>
      <c r="N27">
        <v>-6</v>
      </c>
      <c r="O27">
        <v>1549</v>
      </c>
      <c r="P27" s="8">
        <f t="shared" si="5"/>
        <v>1551.9355029585797</v>
      </c>
      <c r="Q27" s="53">
        <f t="shared" si="6"/>
        <v>1.8950955187733154E-3</v>
      </c>
    </row>
    <row r="28" spans="1:17" x14ac:dyDescent="0.25">
      <c r="A28" t="s">
        <v>42</v>
      </c>
      <c r="B28" s="8">
        <v>22.5</v>
      </c>
      <c r="C28" s="9">
        <f>data_KTY81_210[[#This Row],[θ]]*$N$46+$O$46</f>
        <v>1959.1624943104232</v>
      </c>
      <c r="D28" s="9" cm="1">
        <f t="array" aca="1" ref="D28" ca="1">INDIRECT(RefCell_Rpot)+SUM($G$3:G28)</f>
        <v>1959</v>
      </c>
      <c r="E28" s="9">
        <f ca="1">data_KTY81_210[[#This Row],[Rpcb]]-data_KTY81_210[[#This Row],[Rsonde]]</f>
        <v>-0.16249431042319884</v>
      </c>
      <c r="F28" s="4">
        <f ca="1">data_KTY81_210[[#This Row],[Diff R]]/data_KTY81_210[[#This Row],[Rsonde]]</f>
        <v>-8.2940700883717575E-5</v>
      </c>
      <c r="G28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28" s="9" cm="1">
        <f t="array" aca="1" ref="H28" ca="1">MAX(IF(ResValuesR24&lt;=ROUND(data_KTY81_210[[#This Row],[Rsonde]],2)-IF(data_KTY81_210[[#This Row],[Rsonde]]=MIN(data_KTY81_210[Rsonde]),100,$D27),ResValuesR24))</f>
        <v>22</v>
      </c>
      <c r="I28" s="9">
        <f ca="1">ROUND(data_KTY81_210[[#This Row],[RaddLow]]+(IF(data_KTY81_210[[#This Row],[Rsonde]]=MIN(data_KTY81_210[Rsonde]),0,$D27)-data_KTY81_210[[#This Row],[Rsonde]]),2)</f>
        <v>-0.16</v>
      </c>
      <c r="J28" s="9" cm="1">
        <f t="array" aca="1" ref="J28" ca="1">MIN(IF(ResValuesR24&gt;=ROUND(data_KTY81_210[[#This Row],[Rsonde]],2)-IF(data_KTY81_210[[#This Row],[Rsonde]]=MIN(data_KTY81_210[Rsonde]),100,$D27),ResValuesR24))</f>
        <v>24</v>
      </c>
      <c r="K28" s="9">
        <f ca="1">ROUND(data_KTY81_210[[#This Row],[RaddHigh]]+(IF(data_KTY81_210[[#This Row],[Rsonde]]=MIN(data_KTY81_210[Rsonde]),0,$D27)-data_KTY81_210[[#This Row],[Rsonde]]),2)</f>
        <v>1.84</v>
      </c>
      <c r="L28" s="2" cm="1">
        <f t="array" aca="1" ref="L28" ca="1">IF(INDIRECT(RefCell_R77),(data_KTY81_210[[#This Row],[Rpcb]]*INDIRECT(RefCell_R77))/(data_KTY81_210[[#This Row],[Rpcb]]+INDIRECT(RefCell_R77)),data_KTY81_210[[#This Row],[Rpcb]])</f>
        <v>1959</v>
      </c>
      <c r="N28">
        <v>-4</v>
      </c>
      <c r="O28">
        <v>1576</v>
      </c>
      <c r="P28" s="8">
        <f t="shared" si="5"/>
        <v>1580.5128356850248</v>
      </c>
      <c r="Q28" s="53">
        <f t="shared" si="6"/>
        <v>2.8634744194320216E-3</v>
      </c>
    </row>
    <row r="29" spans="1:17" x14ac:dyDescent="0.25">
      <c r="A29" t="s">
        <v>43</v>
      </c>
      <c r="B29" s="8">
        <v>24</v>
      </c>
      <c r="C29" s="9">
        <f>data_KTY81_210[[#This Row],[θ]]*$N$46+$O$46</f>
        <v>1980.5954938552572</v>
      </c>
      <c r="D29" s="9" cm="1">
        <f t="array" aca="1" ref="D29" ca="1">INDIRECT(RefCell_Rpot)+SUM($G$3:G29)</f>
        <v>1981</v>
      </c>
      <c r="E29" s="9">
        <f ca="1">data_KTY81_210[[#This Row],[Rpcb]]-data_KTY81_210[[#This Row],[Rsonde]]</f>
        <v>0.40450614474275426</v>
      </c>
      <c r="F29" s="4">
        <f ca="1">data_KTY81_210[[#This Row],[Diff R]]/data_KTY81_210[[#This Row],[Rsonde]]</f>
        <v>2.0423460822652752E-4</v>
      </c>
      <c r="G29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29" s="9" cm="1">
        <f t="array" aca="1" ref="H29" ca="1">MAX(IF(ResValuesR24&lt;=ROUND(data_KTY81_210[[#This Row],[Rsonde]],2)-IF(data_KTY81_210[[#This Row],[Rsonde]]=MIN(data_KTY81_210[Rsonde]),100,$D28),ResValuesR24))</f>
        <v>20</v>
      </c>
      <c r="I29" s="9">
        <f ca="1">ROUND(data_KTY81_210[[#This Row],[RaddLow]]+(IF(data_KTY81_210[[#This Row],[Rsonde]]=MIN(data_KTY81_210[Rsonde]),0,$D28)-data_KTY81_210[[#This Row],[Rsonde]]),2)</f>
        <v>-1.6</v>
      </c>
      <c r="J29" s="9" cm="1">
        <f t="array" aca="1" ref="J29" ca="1">MIN(IF(ResValuesR24&gt;=ROUND(data_KTY81_210[[#This Row],[Rsonde]],2)-IF(data_KTY81_210[[#This Row],[Rsonde]]=MIN(data_KTY81_210[Rsonde]),100,$D28),ResValuesR24))</f>
        <v>22</v>
      </c>
      <c r="K29" s="9">
        <f ca="1">ROUND(data_KTY81_210[[#This Row],[RaddHigh]]+(IF(data_KTY81_210[[#This Row],[Rsonde]]=MIN(data_KTY81_210[Rsonde]),0,$D28)-data_KTY81_210[[#This Row],[Rsonde]]),2)</f>
        <v>0.4</v>
      </c>
      <c r="L29" s="2" cm="1">
        <f t="array" aca="1" ref="L29" ca="1">IF(INDIRECT(RefCell_R77),(data_KTY81_210[[#This Row],[Rpcb]]*INDIRECT(RefCell_R77))/(data_KTY81_210[[#This Row],[Rpcb]]+INDIRECT(RefCell_R77)),data_KTY81_210[[#This Row],[Rpcb]])</f>
        <v>1981</v>
      </c>
      <c r="N29">
        <v>-2</v>
      </c>
      <c r="O29">
        <v>1603</v>
      </c>
      <c r="P29" s="8">
        <f t="shared" si="5"/>
        <v>1609.0901684114701</v>
      </c>
      <c r="Q29" s="53">
        <f t="shared" si="6"/>
        <v>3.79923169773555E-3</v>
      </c>
    </row>
    <row r="30" spans="1:17" x14ac:dyDescent="0.25">
      <c r="A30" t="s">
        <v>44</v>
      </c>
      <c r="B30" s="8">
        <v>25.5</v>
      </c>
      <c r="C30" s="9">
        <f>data_KTY81_210[[#This Row],[θ]]*$N$46+$O$46</f>
        <v>2002.0284934000911</v>
      </c>
      <c r="D30" s="9" cm="1">
        <f t="array" aca="1" ref="D30" ca="1">INDIRECT(RefCell_Rpot)+SUM($G$3:G30)</f>
        <v>2003</v>
      </c>
      <c r="E30" s="9">
        <f ca="1">data_KTY81_210[[#This Row],[Rpcb]]-data_KTY81_210[[#This Row],[Rsonde]]</f>
        <v>0.97150659990893473</v>
      </c>
      <c r="F30" s="4">
        <f ca="1">data_KTY81_210[[#This Row],[Diff R]]/data_KTY81_210[[#This Row],[Rsonde]]</f>
        <v>4.8526112545930989E-4</v>
      </c>
      <c r="G30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30" s="9" cm="1">
        <f t="array" aca="1" ref="H30" ca="1">MAX(IF(ResValuesR24&lt;=ROUND(data_KTY81_210[[#This Row],[Rsonde]],2)-IF(data_KTY81_210[[#This Row],[Rsonde]]=MIN(data_KTY81_210[Rsonde]),100,$D29),ResValuesR24))</f>
        <v>20</v>
      </c>
      <c r="I30" s="9">
        <f ca="1">ROUND(data_KTY81_210[[#This Row],[RaddLow]]+(IF(data_KTY81_210[[#This Row],[Rsonde]]=MIN(data_KTY81_210[Rsonde]),0,$D29)-data_KTY81_210[[#This Row],[Rsonde]]),2)</f>
        <v>-1.03</v>
      </c>
      <c r="J30" s="9" cm="1">
        <f t="array" aca="1" ref="J30" ca="1">MIN(IF(ResValuesR24&gt;=ROUND(data_KTY81_210[[#This Row],[Rsonde]],2)-IF(data_KTY81_210[[#This Row],[Rsonde]]=MIN(data_KTY81_210[Rsonde]),100,$D29),ResValuesR24))</f>
        <v>22</v>
      </c>
      <c r="K30" s="9">
        <f ca="1">ROUND(data_KTY81_210[[#This Row],[RaddHigh]]+(IF(data_KTY81_210[[#This Row],[Rsonde]]=MIN(data_KTY81_210[Rsonde]),0,$D29)-data_KTY81_210[[#This Row],[Rsonde]]),2)</f>
        <v>0.97</v>
      </c>
      <c r="L30" s="2" cm="1">
        <f t="array" aca="1" ref="L30" ca="1">IF(INDIRECT(RefCell_R77),(data_KTY81_210[[#This Row],[Rpcb]]*INDIRECT(RefCell_R77))/(data_KTY81_210[[#This Row],[Rpcb]]+INDIRECT(RefCell_R77)),data_KTY81_210[[#This Row],[Rpcb]])</f>
        <v>2003</v>
      </c>
      <c r="N30">
        <v>0</v>
      </c>
      <c r="O30">
        <v>1630</v>
      </c>
      <c r="P30" s="8">
        <f t="shared" si="5"/>
        <v>1637.6675011379152</v>
      </c>
      <c r="Q30" s="53">
        <f t="shared" si="6"/>
        <v>4.7039884281687705E-3</v>
      </c>
    </row>
    <row r="31" spans="1:17" x14ac:dyDescent="0.25">
      <c r="A31" t="s">
        <v>45</v>
      </c>
      <c r="B31" s="8">
        <v>27</v>
      </c>
      <c r="C31" s="9">
        <f>data_KTY81_210[[#This Row],[θ]]*$N$46+$O$46</f>
        <v>2023.4614929449249</v>
      </c>
      <c r="D31" s="9" cm="1">
        <f t="array" aca="1" ref="D31" ca="1">INDIRECT(RefCell_Rpot)+SUM($G$3:G31)</f>
        <v>2023</v>
      </c>
      <c r="E31" s="9">
        <f ca="1">data_KTY81_210[[#This Row],[Rpcb]]-data_KTY81_210[[#This Row],[Rsonde]]</f>
        <v>-0.4614929449248848</v>
      </c>
      <c r="F31" s="4">
        <f ca="1">data_KTY81_210[[#This Row],[Diff R]]/data_KTY81_210[[#This Row],[Rsonde]]</f>
        <v>-2.2807102904302506E-4</v>
      </c>
      <c r="G31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31" s="9" cm="1">
        <f t="array" aca="1" ref="H31" ca="1">MAX(IF(ResValuesR24&lt;=ROUND(data_KTY81_210[[#This Row],[Rsonde]],2)-IF(data_KTY81_210[[#This Row],[Rsonde]]=MIN(data_KTY81_210[Rsonde]),100,$D30),ResValuesR24))</f>
        <v>20</v>
      </c>
      <c r="I31" s="9">
        <f ca="1">ROUND(data_KTY81_210[[#This Row],[RaddLow]]+(IF(data_KTY81_210[[#This Row],[Rsonde]]=MIN(data_KTY81_210[Rsonde]),0,$D30)-data_KTY81_210[[#This Row],[Rsonde]]),2)</f>
        <v>-0.46</v>
      </c>
      <c r="J31" s="9" cm="1">
        <f t="array" aca="1" ref="J31" ca="1">MIN(IF(ResValuesR24&gt;=ROUND(data_KTY81_210[[#This Row],[Rsonde]],2)-IF(data_KTY81_210[[#This Row],[Rsonde]]=MIN(data_KTY81_210[Rsonde]),100,$D30),ResValuesR24))</f>
        <v>22</v>
      </c>
      <c r="K31" s="9">
        <f ca="1">ROUND(data_KTY81_210[[#This Row],[RaddHigh]]+(IF(data_KTY81_210[[#This Row],[Rsonde]]=MIN(data_KTY81_210[Rsonde]),0,$D30)-data_KTY81_210[[#This Row],[Rsonde]]),2)</f>
        <v>1.54</v>
      </c>
      <c r="L31" s="2" cm="1">
        <f t="array" aca="1" ref="L31" ca="1">IF(INDIRECT(RefCell_R77),(data_KTY81_210[[#This Row],[Rpcb]]*INDIRECT(RefCell_R77))/(data_KTY81_210[[#This Row],[Rpcb]]+INDIRECT(RefCell_R77)),data_KTY81_210[[#This Row],[Rpcb]])</f>
        <v>2023</v>
      </c>
      <c r="N31">
        <v>2</v>
      </c>
      <c r="O31">
        <v>1658</v>
      </c>
      <c r="P31" s="8">
        <f t="shared" si="5"/>
        <v>1666.2448338643603</v>
      </c>
      <c r="Q31" s="53">
        <f t="shared" si="6"/>
        <v>4.9727586636671983E-3</v>
      </c>
    </row>
    <row r="32" spans="1:17" x14ac:dyDescent="0.25">
      <c r="A32" t="s">
        <v>46</v>
      </c>
      <c r="B32" s="8">
        <v>28.5</v>
      </c>
      <c r="C32" s="9">
        <f>data_KTY81_210[[#This Row],[θ]]*$N$46+$O$46</f>
        <v>2044.8944924897587</v>
      </c>
      <c r="D32" s="9" cm="1">
        <f t="array" aca="1" ref="D32" ca="1">INDIRECT(RefCell_Rpot)+SUM($G$3:G32)</f>
        <v>2045</v>
      </c>
      <c r="E32" s="9">
        <f ca="1">data_KTY81_210[[#This Row],[Rpcb]]-data_KTY81_210[[#This Row],[Rsonde]]</f>
        <v>0.10550751024129568</v>
      </c>
      <c r="F32" s="4">
        <f ca="1">data_KTY81_210[[#This Row],[Diff R]]/data_KTY81_210[[#This Row],[Rsonde]]</f>
        <v>5.1595576509590544E-5</v>
      </c>
      <c r="G32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32" s="9" cm="1">
        <f t="array" aca="1" ref="H32" ca="1">MAX(IF(ResValuesR24&lt;=ROUND(data_KTY81_210[[#This Row],[Rsonde]],2)-IF(data_KTY81_210[[#This Row],[Rsonde]]=MIN(data_KTY81_210[Rsonde]),100,$D31),ResValuesR24))</f>
        <v>20</v>
      </c>
      <c r="I32" s="9">
        <f ca="1">ROUND(data_KTY81_210[[#This Row],[RaddLow]]+(IF(data_KTY81_210[[#This Row],[Rsonde]]=MIN(data_KTY81_210[Rsonde]),0,$D31)-data_KTY81_210[[#This Row],[Rsonde]]),2)</f>
        <v>-1.89</v>
      </c>
      <c r="J32" s="9" cm="1">
        <f t="array" aca="1" ref="J32" ca="1">MIN(IF(ResValuesR24&gt;=ROUND(data_KTY81_210[[#This Row],[Rsonde]],2)-IF(data_KTY81_210[[#This Row],[Rsonde]]=MIN(data_KTY81_210[Rsonde]),100,$D31),ResValuesR24))</f>
        <v>22</v>
      </c>
      <c r="K32" s="9">
        <f ca="1">ROUND(data_KTY81_210[[#This Row],[RaddHigh]]+(IF(data_KTY81_210[[#This Row],[Rsonde]]=MIN(data_KTY81_210[Rsonde]),0,$D31)-data_KTY81_210[[#This Row],[Rsonde]]),2)</f>
        <v>0.11</v>
      </c>
      <c r="L32" s="2" cm="1">
        <f t="array" aca="1" ref="L32" ca="1">IF(INDIRECT(RefCell_R77),(data_KTY81_210[[#This Row],[Rpcb]]*INDIRECT(RefCell_R77))/(data_KTY81_210[[#This Row],[Rpcb]]+INDIRECT(RefCell_R77)),data_KTY81_210[[#This Row],[Rpcb]])</f>
        <v>2045</v>
      </c>
      <c r="N32">
        <v>4</v>
      </c>
      <c r="O32">
        <v>1686</v>
      </c>
      <c r="P32" s="8">
        <f t="shared" si="5"/>
        <v>1694.8221665908056</v>
      </c>
      <c r="Q32" s="53">
        <f t="shared" si="6"/>
        <v>5.2326017739061648E-3</v>
      </c>
    </row>
    <row r="33" spans="1:17" x14ac:dyDescent="0.25">
      <c r="A33" t="s">
        <v>47</v>
      </c>
      <c r="B33" s="8">
        <v>30</v>
      </c>
      <c r="C33" s="9">
        <f>data_KTY81_210[[#This Row],[θ]]*$N$46+$O$46</f>
        <v>2066.3274920345925</v>
      </c>
      <c r="D33" s="9" cm="1">
        <f t="array" aca="1" ref="D33" ca="1">INDIRECT(RefCell_Rpot)+SUM($G$3:G33)</f>
        <v>2067</v>
      </c>
      <c r="E33" s="9">
        <f ca="1">data_KTY81_210[[#This Row],[Rpcb]]-data_KTY81_210[[#This Row],[Rsonde]]</f>
        <v>0.67250796540747615</v>
      </c>
      <c r="F33" s="4">
        <f ca="1">data_KTY81_210[[#This Row],[Diff R]]/data_KTY81_210[[#This Row],[Rsonde]]</f>
        <v>3.2546049355675787E-4</v>
      </c>
      <c r="G33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33" s="9" cm="1">
        <f t="array" aca="1" ref="H33" ca="1">MAX(IF(ResValuesR24&lt;=ROUND(data_KTY81_210[[#This Row],[Rsonde]],2)-IF(data_KTY81_210[[#This Row],[Rsonde]]=MIN(data_KTY81_210[Rsonde]),100,$D32),ResValuesR24))</f>
        <v>20</v>
      </c>
      <c r="I33" s="9">
        <f ca="1">ROUND(data_KTY81_210[[#This Row],[RaddLow]]+(IF(data_KTY81_210[[#This Row],[Rsonde]]=MIN(data_KTY81_210[Rsonde]),0,$D32)-data_KTY81_210[[#This Row],[Rsonde]]),2)</f>
        <v>-1.33</v>
      </c>
      <c r="J33" s="9" cm="1">
        <f t="array" aca="1" ref="J33" ca="1">MIN(IF(ResValuesR24&gt;=ROUND(data_KTY81_210[[#This Row],[Rsonde]],2)-IF(data_KTY81_210[[#This Row],[Rsonde]]=MIN(data_KTY81_210[Rsonde]),100,$D32),ResValuesR24))</f>
        <v>22</v>
      </c>
      <c r="K33" s="9">
        <f ca="1">ROUND(data_KTY81_210[[#This Row],[RaddHigh]]+(IF(data_KTY81_210[[#This Row],[Rsonde]]=MIN(data_KTY81_210[Rsonde]),0,$D32)-data_KTY81_210[[#This Row],[Rsonde]]),2)</f>
        <v>0.67</v>
      </c>
      <c r="L33" s="2" cm="1">
        <f t="array" aca="1" ref="L33" ca="1">IF(INDIRECT(RefCell_R77),(data_KTY81_210[[#This Row],[Rpcb]]*INDIRECT(RefCell_R77))/(data_KTY81_210[[#This Row],[Rpcb]]+INDIRECT(RefCell_R77)),data_KTY81_210[[#This Row],[Rpcb]])</f>
        <v>2067</v>
      </c>
      <c r="N33">
        <v>6</v>
      </c>
      <c r="O33">
        <v>1714</v>
      </c>
      <c r="P33" s="8">
        <f t="shared" si="5"/>
        <v>1723.3994993172507</v>
      </c>
      <c r="Q33" s="53">
        <f t="shared" si="6"/>
        <v>5.4839552609398101E-3</v>
      </c>
    </row>
    <row r="34" spans="1:17" x14ac:dyDescent="0.25">
      <c r="A34" t="s">
        <v>48</v>
      </c>
      <c r="B34" s="8">
        <v>31.5</v>
      </c>
      <c r="C34" s="9">
        <f>data_KTY81_210[[#This Row],[θ]]*$N$46+$O$46</f>
        <v>2087.7604915794263</v>
      </c>
      <c r="D34" s="9" cm="1">
        <f t="array" aca="1" ref="D34" ca="1">INDIRECT(RefCell_Rpot)+SUM($G$3:G34)</f>
        <v>2087</v>
      </c>
      <c r="E34" s="9">
        <f ca="1">data_KTY81_210[[#This Row],[Rpcb]]-data_KTY81_210[[#This Row],[Rsonde]]</f>
        <v>-0.76049157942634338</v>
      </c>
      <c r="F34" s="4">
        <f ca="1">data_KTY81_210[[#This Row],[Diff R]]/data_KTY81_210[[#This Row],[Rsonde]]</f>
        <v>-3.6426188851337952E-4</v>
      </c>
      <c r="G34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34" s="9" cm="1">
        <f t="array" aca="1" ref="H34" ca="1">MAX(IF(ResValuesR24&lt;=ROUND(data_KTY81_210[[#This Row],[Rsonde]],2)-IF(data_KTY81_210[[#This Row],[Rsonde]]=MIN(data_KTY81_210[Rsonde]),100,$D33),ResValuesR24))</f>
        <v>20</v>
      </c>
      <c r="I34" s="9">
        <f ca="1">ROUND(data_KTY81_210[[#This Row],[RaddLow]]+(IF(data_KTY81_210[[#This Row],[Rsonde]]=MIN(data_KTY81_210[Rsonde]),0,$D33)-data_KTY81_210[[#This Row],[Rsonde]]),2)</f>
        <v>-0.76</v>
      </c>
      <c r="J34" s="9" cm="1">
        <f t="array" aca="1" ref="J34" ca="1">MIN(IF(ResValuesR24&gt;=ROUND(data_KTY81_210[[#This Row],[Rsonde]],2)-IF(data_KTY81_210[[#This Row],[Rsonde]]=MIN(data_KTY81_210[Rsonde]),100,$D33),ResValuesR24))</f>
        <v>22</v>
      </c>
      <c r="K34" s="9">
        <f ca="1">ROUND(data_KTY81_210[[#This Row],[RaddHigh]]+(IF(data_KTY81_210[[#This Row],[Rsonde]]=MIN(data_KTY81_210[Rsonde]),0,$D33)-data_KTY81_210[[#This Row],[Rsonde]]),2)</f>
        <v>1.24</v>
      </c>
      <c r="L34" s="2" cm="1">
        <f t="array" aca="1" ref="L34" ca="1">IF(INDIRECT(RefCell_R77),(data_KTY81_210[[#This Row],[Rpcb]]*INDIRECT(RefCell_R77))/(data_KTY81_210[[#This Row],[Rpcb]]+INDIRECT(RefCell_R77)),data_KTY81_210[[#This Row],[Rpcb]])</f>
        <v>2087</v>
      </c>
      <c r="N34">
        <v>8</v>
      </c>
      <c r="O34">
        <v>1743</v>
      </c>
      <c r="P34" s="8">
        <f t="shared" si="5"/>
        <v>1751.9768320436958</v>
      </c>
      <c r="Q34" s="53">
        <f t="shared" si="6"/>
        <v>5.1502191874330805E-3</v>
      </c>
    </row>
    <row r="35" spans="1:17" x14ac:dyDescent="0.25">
      <c r="N35">
        <v>10</v>
      </c>
      <c r="O35">
        <v>1772</v>
      </c>
      <c r="P35" s="8">
        <f t="shared" si="5"/>
        <v>1780.5541647701409</v>
      </c>
      <c r="Q35" s="53">
        <f t="shared" si="6"/>
        <v>4.8274067551585809E-3</v>
      </c>
    </row>
    <row r="36" spans="1:17" x14ac:dyDescent="0.25">
      <c r="N36">
        <v>12</v>
      </c>
      <c r="O36">
        <v>1802</v>
      </c>
      <c r="P36" s="8">
        <f t="shared" si="5"/>
        <v>1809.1314974965862</v>
      </c>
      <c r="Q36" s="53">
        <f t="shared" si="6"/>
        <v>3.9575457805693937E-3</v>
      </c>
    </row>
    <row r="37" spans="1:17" x14ac:dyDescent="0.25">
      <c r="N37">
        <v>14</v>
      </c>
      <c r="O37">
        <v>1831</v>
      </c>
      <c r="P37" s="8">
        <f t="shared" si="5"/>
        <v>1837.7088302230313</v>
      </c>
      <c r="Q37" s="53">
        <f t="shared" si="6"/>
        <v>3.6640252446922261E-3</v>
      </c>
    </row>
    <row r="38" spans="1:17" x14ac:dyDescent="0.25">
      <c r="N38">
        <v>16</v>
      </c>
      <c r="O38">
        <v>1862</v>
      </c>
      <c r="P38" s="8">
        <f t="shared" si="5"/>
        <v>1866.2861629494764</v>
      </c>
      <c r="Q38" s="53">
        <f t="shared" si="6"/>
        <v>2.3019135067006147E-3</v>
      </c>
    </row>
    <row r="39" spans="1:17" x14ac:dyDescent="0.25">
      <c r="N39">
        <v>18</v>
      </c>
      <c r="O39">
        <v>1892</v>
      </c>
      <c r="P39" s="8">
        <f t="shared" si="5"/>
        <v>1894.8634956759215</v>
      </c>
      <c r="Q39" s="53">
        <f t="shared" si="6"/>
        <v>1.5134755158148216E-3</v>
      </c>
    </row>
    <row r="40" spans="1:17" x14ac:dyDescent="0.25">
      <c r="N40">
        <v>20</v>
      </c>
      <c r="O40">
        <v>1922</v>
      </c>
      <c r="P40" s="8">
        <f t="shared" si="5"/>
        <v>1923.4408284023668</v>
      </c>
      <c r="Q40" s="53">
        <f t="shared" si="6"/>
        <v>7.496505735520298E-4</v>
      </c>
    </row>
    <row r="41" spans="1:17" x14ac:dyDescent="0.25">
      <c r="N41">
        <v>25</v>
      </c>
      <c r="O41">
        <v>2000</v>
      </c>
      <c r="P41" s="8">
        <f t="shared" si="5"/>
        <v>1994.8841602184798</v>
      </c>
      <c r="Q41" s="53">
        <f t="shared" si="6"/>
        <v>-2.5579198907601519E-3</v>
      </c>
    </row>
    <row r="42" spans="1:17" x14ac:dyDescent="0.25">
      <c r="N42">
        <v>30</v>
      </c>
      <c r="O42">
        <v>2080</v>
      </c>
      <c r="P42" s="8">
        <f t="shared" si="5"/>
        <v>2066.3274920345925</v>
      </c>
      <c r="Q42" s="53">
        <f t="shared" si="6"/>
        <v>-6.5733211372150935E-3</v>
      </c>
    </row>
    <row r="43" spans="1:17" x14ac:dyDescent="0.25">
      <c r="N43">
        <v>35</v>
      </c>
      <c r="O43">
        <v>2161</v>
      </c>
      <c r="P43" s="8">
        <f t="shared" si="5"/>
        <v>2137.7708238507057</v>
      </c>
      <c r="Q43" s="53">
        <f t="shared" si="6"/>
        <v>-1.074927170258877E-2</v>
      </c>
    </row>
    <row r="45" spans="1:17" x14ac:dyDescent="0.25">
      <c r="N45" t="s">
        <v>261</v>
      </c>
    </row>
    <row r="46" spans="1:17" x14ac:dyDescent="0.25">
      <c r="N46" cm="1">
        <f t="array" ref="N46:O46">LINEST(O20:O43,N20:N43)</f>
        <v>14.288666363222578</v>
      </c>
      <c r="O46">
        <v>1637.6675011379152</v>
      </c>
    </row>
  </sheetData>
  <mergeCells count="1">
    <mergeCell ref="A1:L1"/>
  </mergeCells>
  <conditionalFormatting sqref="F3:F34">
    <cfRule type="cellIs" dxfId="207" priority="1" operator="between">
      <formula>-0.005</formula>
      <formula>0.005</formula>
    </cfRule>
  </conditionalFormatting>
  <dataValidations count="1">
    <dataValidation type="list" allowBlank="1" showInputMessage="1" showErrorMessage="1" sqref="O3" xr:uid="{237019DE-B9CE-4686-AE10-6EFC4979C6CD}">
      <formula1>INDIRECT("TableR77[R]")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281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2" r:id="rId5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3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4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5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6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7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8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9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0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6DC54-FA49-4BFA-AAE5-0727B9D6A9C3}">
  <sheetPr codeName="Feuil5"/>
  <dimension ref="A1:X34"/>
  <sheetViews>
    <sheetView workbookViewId="0">
      <selection activeCell="A20" sqref="A20:XFD20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7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7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2">
        <f>ROUND(C3-G3,0)</f>
        <v>115</v>
      </c>
      <c r="P2" s="7" t="s">
        <v>113</v>
      </c>
    </row>
    <row r="3" spans="1:17" x14ac:dyDescent="0.25">
      <c r="A3" t="s">
        <v>17</v>
      </c>
      <c r="B3" s="8">
        <v>-15</v>
      </c>
      <c r="C3" s="9">
        <v>934.74</v>
      </c>
      <c r="D3" s="9" cm="1">
        <f t="array" aca="1" ref="D3" ca="1">INDIRECT(RefCell_Rpot)+SUM($G$3:G3)</f>
        <v>934.99999999999989</v>
      </c>
      <c r="E3" s="9">
        <f ca="1">data_Ni1000_TK5000[[#This Row],[Rpcb]]-data_Ni1000_TK5000[[#This Row],[Rsonde]]</f>
        <v>0.25999999999987722</v>
      </c>
      <c r="F3" s="4">
        <f ca="1">data_Ni1000_TK5000[[#This Row],[Diff R]]/data_Ni1000_TK5000[[#This Row],[Rsonde]]</f>
        <v>2.7815221344959799E-4</v>
      </c>
      <c r="G3" s="9">
        <f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819.99999999999989</v>
      </c>
      <c r="H3" s="9" cm="1">
        <f t="array" ref="H3">MAX(IF(ResValuesR24&lt;=ROUND(data_Ni1000_TK5000[[#This Row],[Rsonde]],2)-IF(data_Ni1000_TK5000[[#This Row],[Rsonde]]=MIN(data_Ni1000_TK5000[Rsonde]),100,$D2),ResValuesR24))</f>
        <v>819.99999999999989</v>
      </c>
      <c r="I3" s="9">
        <f>ROUND(data_Ni1000_TK5000[[#This Row],[RaddLow]]+(IF(data_Ni1000_TK5000[[#This Row],[Rsonde]]=MIN(data_Ni1000_TK5000[Rsonde]),0,$D2)-data_Ni1000_TK5000[[#This Row],[Rsonde]]),2)</f>
        <v>-114.74</v>
      </c>
      <c r="J3" s="9" cm="1">
        <f t="array" ref="J3">MIN(IF(ResValuesR24&gt;=ROUND(data_Ni1000_TK5000[[#This Row],[Rsonde]],2)-IF(data_Ni1000_TK5000[[#This Row],[Rsonde]]=MIN(data_Ni1000_TK5000[Rsonde]),100,$D2),ResValuesR24))</f>
        <v>910</v>
      </c>
      <c r="K3" s="9">
        <f>ROUND(data_Ni1000_TK5000[[#This Row],[RaddHigh]]+(IF(data_Ni1000_TK5000[[#This Row],[Rsonde]]=MIN(data_Ni1000_TK5000[Rsonde]),0,$D2)-data_Ni1000_TK5000[[#This Row],[Rsonde]]),2)</f>
        <v>-24.74</v>
      </c>
      <c r="L3" s="2" cm="1">
        <f t="array" aca="1" ref="L3" ca="1">IF(INDIRECT(RefCell_R77),(data_Ni1000_TK5000[[#This Row],[Rpcb]]*INDIRECT(RefCell_R77))/(data_Ni1000_TK5000[[#This Row],[Rpcb]]+INDIRECT(RefCell_R77)),data_Ni1000_TK5000[[#This Row],[Rpcb]])</f>
        <v>934.99999999999989</v>
      </c>
      <c r="N3" t="s">
        <v>112</v>
      </c>
      <c r="P3" s="7" t="s">
        <v>113</v>
      </c>
      <c r="Q3" s="11" t="s">
        <v>157</v>
      </c>
    </row>
    <row r="4" spans="1:17" x14ac:dyDescent="0.25">
      <c r="A4" t="s">
        <v>18</v>
      </c>
      <c r="B4" s="8">
        <v>-13.5</v>
      </c>
      <c r="C4" s="9">
        <v>941.16499999999996</v>
      </c>
      <c r="D4" s="9" cm="1">
        <f t="array" aca="1" ref="D4" ca="1">INDIRECT(RefCell_Rpot)+SUM($G$3:G4)</f>
        <v>941.19999999999993</v>
      </c>
      <c r="E4" s="9">
        <f ca="1">data_Ni1000_TK5000[[#This Row],[Rpcb]]-data_Ni1000_TK5000[[#This Row],[Rsonde]]</f>
        <v>3.4999999999968168E-2</v>
      </c>
      <c r="F4" s="4">
        <f ca="1">data_Ni1000_TK5000[[#This Row],[Diff R]]/data_Ni1000_TK5000[[#This Row],[Rsonde]]</f>
        <v>3.7187953228146151E-5</v>
      </c>
      <c r="G4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6.2</v>
      </c>
      <c r="H4" s="9" cm="1">
        <f t="array" aca="1" ref="H4" ca="1">MAX(IF(ResValuesR24&lt;=ROUND(data_Ni1000_TK5000[[#This Row],[Rsonde]],2)-IF(data_Ni1000_TK5000[[#This Row],[Rsonde]]=MIN(data_Ni1000_TK5000[Rsonde]),100,$D3),ResValuesR24))</f>
        <v>5.6</v>
      </c>
      <c r="I4" s="9">
        <f ca="1">ROUND(data_Ni1000_TK5000[[#This Row],[RaddLow]]+(IF(data_Ni1000_TK5000[[#This Row],[Rsonde]]=MIN(data_Ni1000_TK5000[Rsonde]),0,$D3)-data_Ni1000_TK5000[[#This Row],[Rsonde]]),2)</f>
        <v>-0.56999999999999995</v>
      </c>
      <c r="J4" s="9" cm="1">
        <f t="array" aca="1" ref="J4" ca="1">MIN(IF(ResValuesR24&gt;=ROUND(data_Ni1000_TK5000[[#This Row],[Rsonde]],2)-IF(data_Ni1000_TK5000[[#This Row],[Rsonde]]=MIN(data_Ni1000_TK5000[Rsonde]),100,$D3),ResValuesR24))</f>
        <v>6.2</v>
      </c>
      <c r="K4" s="9">
        <f ca="1">ROUND(data_Ni1000_TK5000[[#This Row],[RaddHigh]]+(IF(data_Ni1000_TK5000[[#This Row],[Rsonde]]=MIN(data_Ni1000_TK5000[Rsonde]),0,$D3)-data_Ni1000_TK5000[[#This Row],[Rsonde]]),2)</f>
        <v>0.03</v>
      </c>
      <c r="L4" s="2" cm="1">
        <f t="array" aca="1" ref="L4" ca="1">IF(INDIRECT(RefCell_R77),(data_Ni1000_TK5000[[#This Row],[Rpcb]]*INDIRECT(RefCell_R77))/(data_Ni1000_TK5000[[#This Row],[Rpcb]]+INDIRECT(RefCell_R77)),data_Ni1000_TK5000[[#This Row],[Rpcb]])</f>
        <v>941.19999999999993</v>
      </c>
    </row>
    <row r="5" spans="1:17" x14ac:dyDescent="0.25">
      <c r="A5" t="s">
        <v>19</v>
      </c>
      <c r="B5" s="8">
        <v>-12</v>
      </c>
      <c r="C5" s="9">
        <v>947.61</v>
      </c>
      <c r="D5" s="9" cm="1">
        <f t="array" aca="1" ref="D5" ca="1">INDIRECT(RefCell_Rpot)+SUM($G$3:G5)</f>
        <v>947.4</v>
      </c>
      <c r="E5" s="9">
        <f ca="1">data_Ni1000_TK5000[[#This Row],[Rpcb]]-data_Ni1000_TK5000[[#This Row],[Rsonde]]</f>
        <v>-0.21000000000003638</v>
      </c>
      <c r="F5" s="4">
        <f ca="1">data_Ni1000_TK5000[[#This Row],[Diff R]]/data_Ni1000_TK5000[[#This Row],[Rsonde]]</f>
        <v>-2.2161015607690546E-4</v>
      </c>
      <c r="G5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6.2</v>
      </c>
      <c r="H5" s="9" cm="1">
        <f t="array" aca="1" ref="H5" ca="1">MAX(IF(ResValuesR24&lt;=ROUND(data_Ni1000_TK5000[[#This Row],[Rsonde]],2)-IF(data_Ni1000_TK5000[[#This Row],[Rsonde]]=MIN(data_Ni1000_TK5000[Rsonde]),100,$D4),ResValuesR24))</f>
        <v>6.2</v>
      </c>
      <c r="I5" s="9">
        <f ca="1">ROUND(data_Ni1000_TK5000[[#This Row],[RaddLow]]+(IF(data_Ni1000_TK5000[[#This Row],[Rsonde]]=MIN(data_Ni1000_TK5000[Rsonde]),0,$D4)-data_Ni1000_TK5000[[#This Row],[Rsonde]]),2)</f>
        <v>-0.21</v>
      </c>
      <c r="J5" s="9" cm="1">
        <f t="array" aca="1" ref="J5" ca="1">MIN(IF(ResValuesR24&gt;=ROUND(data_Ni1000_TK5000[[#This Row],[Rsonde]],2)-IF(data_Ni1000_TK5000[[#This Row],[Rsonde]]=MIN(data_Ni1000_TK5000[Rsonde]),100,$D4),ResValuesR24))</f>
        <v>6.8</v>
      </c>
      <c r="K5" s="9">
        <f ca="1">ROUND(data_Ni1000_TK5000[[#This Row],[RaddHigh]]+(IF(data_Ni1000_TK5000[[#This Row],[Rsonde]]=MIN(data_Ni1000_TK5000[Rsonde]),0,$D4)-data_Ni1000_TK5000[[#This Row],[Rsonde]]),2)</f>
        <v>0.39</v>
      </c>
      <c r="L5" s="2" cm="1">
        <f t="array" aca="1" ref="L5" ca="1">IF(INDIRECT(RefCell_R77),(data_Ni1000_TK5000[[#This Row],[Rpcb]]*INDIRECT(RefCell_R77))/(data_Ni1000_TK5000[[#This Row],[Rpcb]]+INDIRECT(RefCell_R77)),data_Ni1000_TK5000[[#This Row],[Rpcb]])</f>
        <v>947.4</v>
      </c>
      <c r="N5" s="1" t="s">
        <v>215</v>
      </c>
    </row>
    <row r="6" spans="1:17" x14ac:dyDescent="0.25">
      <c r="A6" t="s">
        <v>20</v>
      </c>
      <c r="B6" s="8">
        <v>-10.5</v>
      </c>
      <c r="C6" s="9">
        <v>954.07999999999993</v>
      </c>
      <c r="D6" s="9" cm="1">
        <f t="array" aca="1" ref="D6" ca="1">INDIRECT(RefCell_Rpot)+SUM($G$3:G6)</f>
        <v>954.19999999999993</v>
      </c>
      <c r="E6" s="9">
        <f ca="1">data_Ni1000_TK5000[[#This Row],[Rpcb]]-data_Ni1000_TK5000[[#This Row],[Rsonde]]</f>
        <v>0.12000000000000455</v>
      </c>
      <c r="F6" s="4">
        <f ca="1">data_Ni1000_TK5000[[#This Row],[Diff R]]/data_Ni1000_TK5000[[#This Row],[Rsonde]]</f>
        <v>1.2577561630052465E-4</v>
      </c>
      <c r="G6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6" s="9" cm="1">
        <f t="array" aca="1" ref="H6" ca="1">MAX(IF(ResValuesR24&lt;=ROUND(data_Ni1000_TK5000[[#This Row],[Rsonde]],2)-IF(data_Ni1000_TK5000[[#This Row],[Rsonde]]=MIN(data_Ni1000_TK5000[Rsonde]),100,$D5),ResValuesR24))</f>
        <v>6.2</v>
      </c>
      <c r="I6" s="9">
        <f ca="1">ROUND(data_Ni1000_TK5000[[#This Row],[RaddLow]]+(IF(data_Ni1000_TK5000[[#This Row],[Rsonde]]=MIN(data_Ni1000_TK5000[Rsonde]),0,$D5)-data_Ni1000_TK5000[[#This Row],[Rsonde]]),2)</f>
        <v>-0.48</v>
      </c>
      <c r="J6" s="9" cm="1">
        <f t="array" aca="1" ref="J6" ca="1">MIN(IF(ResValuesR24&gt;=ROUND(data_Ni1000_TK5000[[#This Row],[Rsonde]],2)-IF(data_Ni1000_TK5000[[#This Row],[Rsonde]]=MIN(data_Ni1000_TK5000[Rsonde]),100,$D5),ResValuesR24))</f>
        <v>6.8</v>
      </c>
      <c r="K6" s="9">
        <f ca="1">ROUND(data_Ni1000_TK5000[[#This Row],[RaddHigh]]+(IF(data_Ni1000_TK5000[[#This Row],[Rsonde]]=MIN(data_Ni1000_TK5000[Rsonde]),0,$D5)-data_Ni1000_TK5000[[#This Row],[Rsonde]]),2)</f>
        <v>0.12</v>
      </c>
      <c r="L6" s="2" cm="1">
        <f t="array" aca="1" ref="L6" ca="1">IF(INDIRECT(RefCell_R77),(data_Ni1000_TK5000[[#This Row],[Rpcb]]*INDIRECT(RefCell_R77))/(data_Ni1000_TK5000[[#This Row],[Rpcb]]+INDIRECT(RefCell_R77)),data_Ni1000_TK5000[[#This Row],[Rpcb]])</f>
        <v>954.19999999999993</v>
      </c>
      <c r="N6" s="35" t="s">
        <v>131</v>
      </c>
      <c r="O6">
        <f t="shared" ref="O6" si="0">O14 - O11*O7 - O11^3*O8</f>
        <v>7.9465620458183409E-2</v>
      </c>
    </row>
    <row r="7" spans="1:17" x14ac:dyDescent="0.25">
      <c r="A7" t="s">
        <v>21</v>
      </c>
      <c r="B7" s="8">
        <v>-9</v>
      </c>
      <c r="C7" s="9">
        <v>960.57</v>
      </c>
      <c r="D7" s="9" cm="1">
        <f t="array" aca="1" ref="D7" ca="1">INDIRECT(RefCell_Rpot)+SUM($G$3:G7)</f>
        <v>960.4</v>
      </c>
      <c r="E7" s="9">
        <f ca="1">data_Ni1000_TK5000[[#This Row],[Rpcb]]-data_Ni1000_TK5000[[#This Row],[Rsonde]]</f>
        <v>-0.17000000000007276</v>
      </c>
      <c r="F7" s="4">
        <f ca="1">data_Ni1000_TK5000[[#This Row],[Diff R]]/data_Ni1000_TK5000[[#This Row],[Rsonde]]</f>
        <v>-1.7697825249598961E-4</v>
      </c>
      <c r="G7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6.2</v>
      </c>
      <c r="H7" s="9" cm="1">
        <f t="array" aca="1" ref="H7" ca="1">MAX(IF(ResValuesR24&lt;=ROUND(data_Ni1000_TK5000[[#This Row],[Rsonde]],2)-IF(data_Ni1000_TK5000[[#This Row],[Rsonde]]=MIN(data_Ni1000_TK5000[Rsonde]),100,$D6),ResValuesR24))</f>
        <v>6.2</v>
      </c>
      <c r="I7" s="9">
        <f ca="1">ROUND(data_Ni1000_TK5000[[#This Row],[RaddLow]]+(IF(data_Ni1000_TK5000[[#This Row],[Rsonde]]=MIN(data_Ni1000_TK5000[Rsonde]),0,$D6)-data_Ni1000_TK5000[[#This Row],[Rsonde]]),2)</f>
        <v>-0.17</v>
      </c>
      <c r="J7" s="9" cm="1">
        <f t="array" aca="1" ref="J7" ca="1">MIN(IF(ResValuesR24&gt;=ROUND(data_Ni1000_TK5000[[#This Row],[Rsonde]],2)-IF(data_Ni1000_TK5000[[#This Row],[Rsonde]]=MIN(data_Ni1000_TK5000[Rsonde]),100,$D6),ResValuesR24))</f>
        <v>6.8</v>
      </c>
      <c r="K7" s="9">
        <f ca="1">ROUND(data_Ni1000_TK5000[[#This Row],[RaddHigh]]+(IF(data_Ni1000_TK5000[[#This Row],[Rsonde]]=MIN(data_Ni1000_TK5000[Rsonde]),0,$D6)-data_Ni1000_TK5000[[#This Row],[Rsonde]]),2)</f>
        <v>0.43</v>
      </c>
      <c r="L7" s="2" cm="1">
        <f t="array" aca="1" ref="L7" ca="1">IF(INDIRECT(RefCell_R77),(data_Ni1000_TK5000[[#This Row],[Rpcb]]*INDIRECT(RefCell_R77))/(data_Ni1000_TK5000[[#This Row],[Rpcb]]+INDIRECT(RefCell_R77)),data_Ni1000_TK5000[[#This Row],[Rpcb]])</f>
        <v>960.4</v>
      </c>
      <c r="N7" s="35" t="s">
        <v>130</v>
      </c>
      <c r="O7">
        <f t="shared" ref="O7" si="1">(1/(O11-O12)) * (O14-O15-(O11^3-O12^3)*O8)</f>
        <v>-1.4944040270800317E-2</v>
      </c>
    </row>
    <row r="8" spans="1:17" x14ac:dyDescent="0.25">
      <c r="A8" t="s">
        <v>22</v>
      </c>
      <c r="B8" s="8">
        <v>-7.5</v>
      </c>
      <c r="C8" s="9">
        <v>967.08500000000004</v>
      </c>
      <c r="D8" s="9" cm="1">
        <f t="array" aca="1" ref="D8" ca="1">INDIRECT(RefCell_Rpot)+SUM($G$3:G8)</f>
        <v>967.19999999999993</v>
      </c>
      <c r="E8" s="9">
        <f ca="1">data_Ni1000_TK5000[[#This Row],[Rpcb]]-data_Ni1000_TK5000[[#This Row],[Rsonde]]</f>
        <v>0.11499999999989541</v>
      </c>
      <c r="F8" s="4">
        <f ca="1">data_Ni1000_TK5000[[#This Row],[Diff R]]/data_Ni1000_TK5000[[#This Row],[Rsonde]]</f>
        <v>1.189140561583474E-4</v>
      </c>
      <c r="G8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8" s="9" cm="1">
        <f t="array" aca="1" ref="H8" ca="1">MAX(IF(ResValuesR24&lt;=ROUND(data_Ni1000_TK5000[[#This Row],[Rsonde]],2)-IF(data_Ni1000_TK5000[[#This Row],[Rsonde]]=MIN(data_Ni1000_TK5000[Rsonde]),100,$D7),ResValuesR24))</f>
        <v>6.2</v>
      </c>
      <c r="I8" s="9">
        <f ca="1">ROUND(data_Ni1000_TK5000[[#This Row],[RaddLow]]+(IF(data_Ni1000_TK5000[[#This Row],[Rsonde]]=MIN(data_Ni1000_TK5000[Rsonde]),0,$D7)-data_Ni1000_TK5000[[#This Row],[Rsonde]]),2)</f>
        <v>-0.49</v>
      </c>
      <c r="J8" s="9" cm="1">
        <f t="array" aca="1" ref="J8" ca="1">MIN(IF(ResValuesR24&gt;=ROUND(data_Ni1000_TK5000[[#This Row],[Rsonde]],2)-IF(data_Ni1000_TK5000[[#This Row],[Rsonde]]=MIN(data_Ni1000_TK5000[Rsonde]),100,$D7),ResValuesR24))</f>
        <v>6.8</v>
      </c>
      <c r="K8" s="9">
        <f ca="1">ROUND(data_Ni1000_TK5000[[#This Row],[RaddHigh]]+(IF(data_Ni1000_TK5000[[#This Row],[Rsonde]]=MIN(data_Ni1000_TK5000[Rsonde]),0,$D7)-data_Ni1000_TK5000[[#This Row],[Rsonde]]),2)</f>
        <v>0.11</v>
      </c>
      <c r="L8" s="2" cm="1">
        <f t="array" aca="1" ref="L8" ca="1">IF(INDIRECT(RefCell_R77),(data_Ni1000_TK5000[[#This Row],[Rpcb]]*INDIRECT(RefCell_R77))/(data_Ni1000_TK5000[[#This Row],[Rpcb]]+INDIRECT(RefCell_R77)),data_Ni1000_TK5000[[#This Row],[Rpcb]])</f>
        <v>967.19999999999993</v>
      </c>
      <c r="N8" s="35" t="s">
        <v>129</v>
      </c>
      <c r="O8">
        <f t="shared" ref="O8" si="2">O10/O9</f>
        <v>8.3203389803440038E-5</v>
      </c>
    </row>
    <row r="9" spans="1:17" x14ac:dyDescent="0.25">
      <c r="A9" t="s">
        <v>23</v>
      </c>
      <c r="B9" s="8">
        <v>-6</v>
      </c>
      <c r="C9" s="9">
        <v>973.62</v>
      </c>
      <c r="D9" s="9" cm="1">
        <f t="array" aca="1" ref="D9" ca="1">INDIRECT(RefCell_Rpot)+SUM($G$3:G9)</f>
        <v>973.4</v>
      </c>
      <c r="E9" s="9">
        <f ca="1">data_Ni1000_TK5000[[#This Row],[Rpcb]]-data_Ni1000_TK5000[[#This Row],[Rsonde]]</f>
        <v>-0.22000000000002728</v>
      </c>
      <c r="F9" s="4">
        <f ca="1">data_Ni1000_TK5000[[#This Row],[Diff R]]/data_Ni1000_TK5000[[#This Row],[Rsonde]]</f>
        <v>-2.2596084714778588E-4</v>
      </c>
      <c r="G9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6.2</v>
      </c>
      <c r="H9" s="9" cm="1">
        <f t="array" aca="1" ref="H9" ca="1">MAX(IF(ResValuesR24&lt;=ROUND(data_Ni1000_TK5000[[#This Row],[Rsonde]],2)-IF(data_Ni1000_TK5000[[#This Row],[Rsonde]]=MIN(data_Ni1000_TK5000[Rsonde]),100,$D8),ResValuesR24))</f>
        <v>6.2</v>
      </c>
      <c r="I9" s="9">
        <f ca="1">ROUND(data_Ni1000_TK5000[[#This Row],[RaddLow]]+(IF(data_Ni1000_TK5000[[#This Row],[Rsonde]]=MIN(data_Ni1000_TK5000[Rsonde]),0,$D8)-data_Ni1000_TK5000[[#This Row],[Rsonde]]),2)</f>
        <v>-0.22</v>
      </c>
      <c r="J9" s="9" cm="1">
        <f t="array" aca="1" ref="J9" ca="1">MIN(IF(ResValuesR24&gt;=ROUND(data_Ni1000_TK5000[[#This Row],[Rsonde]],2)-IF(data_Ni1000_TK5000[[#This Row],[Rsonde]]=MIN(data_Ni1000_TK5000[Rsonde]),100,$D8),ResValuesR24))</f>
        <v>6.8</v>
      </c>
      <c r="K9" s="9">
        <f ca="1">ROUND(data_Ni1000_TK5000[[#This Row],[RaddHigh]]+(IF(data_Ni1000_TK5000[[#This Row],[Rsonde]]=MIN(data_Ni1000_TK5000[Rsonde]),0,$D8)-data_Ni1000_TK5000[[#This Row],[Rsonde]]),2)</f>
        <v>0.38</v>
      </c>
      <c r="L9" s="2" cm="1">
        <f t="array" aca="1" ref="L9" ca="1">IF(INDIRECT(RefCell_R77),(data_Ni1000_TK5000[[#This Row],[Rpcb]]*INDIRECT(RefCell_R77))/(data_Ni1000_TK5000[[#This Row],[Rpcb]]+INDIRECT(RefCell_R77)),data_Ni1000_TK5000[[#This Row],[Rpcb]])</f>
        <v>973.4</v>
      </c>
      <c r="N9" s="3" t="s">
        <v>181</v>
      </c>
      <c r="O9">
        <f t="shared" ref="O9" si="3">(O12-O13)/(O11-O12) * (O12^3-O11^3) + (O12^3-O13^3)</f>
        <v>-0.34403971937624434</v>
      </c>
    </row>
    <row r="10" spans="1:17" x14ac:dyDescent="0.25">
      <c r="A10" t="s">
        <v>24</v>
      </c>
      <c r="B10" s="8">
        <v>-4.5</v>
      </c>
      <c r="C10" s="9">
        <v>980.18000000000006</v>
      </c>
      <c r="D10" s="9" cm="1">
        <f t="array" aca="1" ref="D10" ca="1">INDIRECT(RefCell_Rpot)+SUM($G$3:G10)</f>
        <v>980.19999999999993</v>
      </c>
      <c r="E10" s="9">
        <f ca="1">data_Ni1000_TK5000[[#This Row],[Rpcb]]-data_Ni1000_TK5000[[#This Row],[Rsonde]]</f>
        <v>1.9999999999868123E-2</v>
      </c>
      <c r="F10" s="4">
        <f ca="1">data_Ni1000_TK5000[[#This Row],[Diff R]]/data_Ni1000_TK5000[[#This Row],[Rsonde]]</f>
        <v>2.0404415515383013E-5</v>
      </c>
      <c r="G10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10" s="9" cm="1">
        <f t="array" aca="1" ref="H10" ca="1">MAX(IF(ResValuesR24&lt;=ROUND(data_Ni1000_TK5000[[#This Row],[Rsonde]],2)-IF(data_Ni1000_TK5000[[#This Row],[Rsonde]]=MIN(data_Ni1000_TK5000[Rsonde]),100,$D9),ResValuesR24))</f>
        <v>6.2</v>
      </c>
      <c r="I10" s="9">
        <f ca="1">ROUND(data_Ni1000_TK5000[[#This Row],[RaddLow]]+(IF(data_Ni1000_TK5000[[#This Row],[Rsonde]]=MIN(data_Ni1000_TK5000[Rsonde]),0,$D9)-data_Ni1000_TK5000[[#This Row],[Rsonde]]),2)</f>
        <v>-0.57999999999999996</v>
      </c>
      <c r="J10" s="9" cm="1">
        <f t="array" aca="1" ref="J10" ca="1">MIN(IF(ResValuesR24&gt;=ROUND(data_Ni1000_TK5000[[#This Row],[Rsonde]],2)-IF(data_Ni1000_TK5000[[#This Row],[Rsonde]]=MIN(data_Ni1000_TK5000[Rsonde]),100,$D9),ResValuesR24))</f>
        <v>6.8</v>
      </c>
      <c r="K10" s="9">
        <f ca="1">ROUND(data_Ni1000_TK5000[[#This Row],[RaddHigh]]+(IF(data_Ni1000_TK5000[[#This Row],[Rsonde]]=MIN(data_Ni1000_TK5000[Rsonde]),0,$D9)-data_Ni1000_TK5000[[#This Row],[Rsonde]]),2)</f>
        <v>0.02</v>
      </c>
      <c r="L10" s="2" cm="1">
        <f t="array" aca="1" ref="L10" ca="1">IF(INDIRECT(RefCell_R77),(data_Ni1000_TK5000[[#This Row],[Rpcb]]*INDIRECT(RefCell_R77))/(data_Ni1000_TK5000[[#This Row],[Rpcb]]+INDIRECT(RefCell_R77)),data_Ni1000_TK5000[[#This Row],[Rpcb]])</f>
        <v>980.19999999999993</v>
      </c>
      <c r="N10" s="3" t="s">
        <v>182</v>
      </c>
      <c r="O10">
        <f t="shared" ref="O10" si="4">O15 - O16 - ( (O12-O13)/(O11-O12) ) * (O14-O15)</f>
        <v>-2.8625270879127781E-5</v>
      </c>
    </row>
    <row r="11" spans="1:17" x14ac:dyDescent="0.25">
      <c r="A11" t="s">
        <v>25</v>
      </c>
      <c r="B11" s="8">
        <v>-3</v>
      </c>
      <c r="C11" s="9">
        <v>986.77</v>
      </c>
      <c r="D11" s="9" cm="1">
        <f t="array" aca="1" ref="D11" ca="1">INDIRECT(RefCell_Rpot)+SUM($G$3:G11)</f>
        <v>986.99999999999989</v>
      </c>
      <c r="E11" s="9">
        <f ca="1">data_Ni1000_TK5000[[#This Row],[Rpcb]]-data_Ni1000_TK5000[[#This Row],[Rsonde]]</f>
        <v>0.2299999999999045</v>
      </c>
      <c r="F11" s="4">
        <f ca="1">data_Ni1000_TK5000[[#This Row],[Diff R]]/data_Ni1000_TK5000[[#This Row],[Rsonde]]</f>
        <v>2.3308369731538708E-4</v>
      </c>
      <c r="G11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11" s="9" cm="1">
        <f t="array" aca="1" ref="H11" ca="1">MAX(IF(ResValuesR24&lt;=ROUND(data_Ni1000_TK5000[[#This Row],[Rsonde]],2)-IF(data_Ni1000_TK5000[[#This Row],[Rsonde]]=MIN(data_Ni1000_TK5000[Rsonde]),100,$D10),ResValuesR24))</f>
        <v>6.2</v>
      </c>
      <c r="I11" s="9">
        <f ca="1">ROUND(data_Ni1000_TK5000[[#This Row],[RaddLow]]+(IF(data_Ni1000_TK5000[[#This Row],[Rsonde]]=MIN(data_Ni1000_TK5000[Rsonde]),0,$D10)-data_Ni1000_TK5000[[#This Row],[Rsonde]]),2)</f>
        <v>-0.37</v>
      </c>
      <c r="J11" s="9" cm="1">
        <f t="array" aca="1" ref="J11" ca="1">MIN(IF(ResValuesR24&gt;=ROUND(data_Ni1000_TK5000[[#This Row],[Rsonde]],2)-IF(data_Ni1000_TK5000[[#This Row],[Rsonde]]=MIN(data_Ni1000_TK5000[Rsonde]),100,$D10),ResValuesR24))</f>
        <v>6.8</v>
      </c>
      <c r="K11" s="9">
        <f ca="1">ROUND(data_Ni1000_TK5000[[#This Row],[RaddHigh]]+(IF(data_Ni1000_TK5000[[#This Row],[Rsonde]]=MIN(data_Ni1000_TK5000[Rsonde]),0,$D10)-data_Ni1000_TK5000[[#This Row],[Rsonde]]),2)</f>
        <v>0.23</v>
      </c>
      <c r="L11" s="2" cm="1">
        <f t="array" aca="1" ref="L11" ca="1">IF(INDIRECT(RefCell_R77),(data_Ni1000_TK5000[[#This Row],[Rpcb]]*INDIRECT(RefCell_R77))/(data_Ni1000_TK5000[[#This Row],[Rpcb]]+INDIRECT(RefCell_R77)),data_Ni1000_TK5000[[#This Row],[Rpcb]])</f>
        <v>986.99999999999989</v>
      </c>
      <c r="N11" s="3" t="s">
        <v>178</v>
      </c>
      <c r="O11">
        <f>LN(C3)</f>
        <v>6.8402684157523925</v>
      </c>
    </row>
    <row r="12" spans="1:17" x14ac:dyDescent="0.25">
      <c r="A12" t="s">
        <v>26</v>
      </c>
      <c r="B12" s="8">
        <v>-1.5</v>
      </c>
      <c r="C12" s="9">
        <v>993.375</v>
      </c>
      <c r="D12" s="9" cm="1">
        <f t="array" aca="1" ref="D12" ca="1">INDIRECT(RefCell_Rpot)+SUM($G$3:G12)</f>
        <v>993.19999999999993</v>
      </c>
      <c r="E12" s="9">
        <f ca="1">data_Ni1000_TK5000[[#This Row],[Rpcb]]-data_Ni1000_TK5000[[#This Row],[Rsonde]]</f>
        <v>-0.17500000000006821</v>
      </c>
      <c r="F12" s="4">
        <f ca="1">data_Ni1000_TK5000[[#This Row],[Diff R]]/data_Ni1000_TK5000[[#This Row],[Rsonde]]</f>
        <v>-1.7616710708450304E-4</v>
      </c>
      <c r="G12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6.2</v>
      </c>
      <c r="H12" s="9" cm="1">
        <f t="array" aca="1" ref="H12" ca="1">MAX(IF(ResValuesR24&lt;=ROUND(data_Ni1000_TK5000[[#This Row],[Rsonde]],2)-IF(data_Ni1000_TK5000[[#This Row],[Rsonde]]=MIN(data_Ni1000_TK5000[Rsonde]),100,$D11),ResValuesR24))</f>
        <v>6.2</v>
      </c>
      <c r="I12" s="9">
        <f ca="1">ROUND(data_Ni1000_TK5000[[#This Row],[RaddLow]]+(IF(data_Ni1000_TK5000[[#This Row],[Rsonde]]=MIN(data_Ni1000_TK5000[Rsonde]),0,$D11)-data_Ni1000_TK5000[[#This Row],[Rsonde]]),2)</f>
        <v>-0.18</v>
      </c>
      <c r="J12" s="9" cm="1">
        <f t="array" aca="1" ref="J12" ca="1">MIN(IF(ResValuesR24&gt;=ROUND(data_Ni1000_TK5000[[#This Row],[Rsonde]],2)-IF(data_Ni1000_TK5000[[#This Row],[Rsonde]]=MIN(data_Ni1000_TK5000[Rsonde]),100,$D11),ResValuesR24))</f>
        <v>6.8</v>
      </c>
      <c r="K12" s="9">
        <f ca="1">ROUND(data_Ni1000_TK5000[[#This Row],[RaddHigh]]+(IF(data_Ni1000_TK5000[[#This Row],[Rsonde]]=MIN(data_Ni1000_TK5000[Rsonde]),0,$D11)-data_Ni1000_TK5000[[#This Row],[Rsonde]]),2)</f>
        <v>0.42</v>
      </c>
      <c r="L12" s="2" cm="1">
        <f t="array" aca="1" ref="L12" ca="1">IF(INDIRECT(RefCell_R77),(data_Ni1000_TK5000[[#This Row],[Rpcb]]*INDIRECT(RefCell_R77))/(data_Ni1000_TK5000[[#This Row],[Rpcb]]+INDIRECT(RefCell_R77)),data_Ni1000_TK5000[[#This Row],[Rpcb]])</f>
        <v>993.19999999999993</v>
      </c>
      <c r="N12" s="3" t="s">
        <v>179</v>
      </c>
      <c r="O12">
        <f>LN(C17)</f>
        <v>6.9341537528366679</v>
      </c>
    </row>
    <row r="13" spans="1:17" x14ac:dyDescent="0.25">
      <c r="A13" t="s">
        <v>27</v>
      </c>
      <c r="B13" s="8">
        <v>0</v>
      </c>
      <c r="C13" s="9">
        <v>1000</v>
      </c>
      <c r="D13" s="9" cm="1">
        <f t="array" aca="1" ref="D13" ca="1">INDIRECT(RefCell_Rpot)+SUM($G$3:G13)</f>
        <v>999.99999999999989</v>
      </c>
      <c r="E13" s="9">
        <f ca="1">data_Ni1000_TK5000[[#This Row],[Rpcb]]-data_Ni1000_TK5000[[#This Row],[Rsonde]]</f>
        <v>0</v>
      </c>
      <c r="F13" s="4">
        <f ca="1">data_Ni1000_TK5000[[#This Row],[Diff R]]/data_Ni1000_TK5000[[#This Row],[Rsonde]]</f>
        <v>0</v>
      </c>
      <c r="G13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13" s="9" cm="1">
        <f t="array" aca="1" ref="H13" ca="1">MAX(IF(ResValuesR24&lt;=ROUND(data_Ni1000_TK5000[[#This Row],[Rsonde]],2)-IF(data_Ni1000_TK5000[[#This Row],[Rsonde]]=MIN(data_Ni1000_TK5000[Rsonde]),100,$D12),ResValuesR24))</f>
        <v>6.8</v>
      </c>
      <c r="I13" s="9">
        <f ca="1">ROUND(data_Ni1000_TK5000[[#This Row],[RaddLow]]+(IF(data_Ni1000_TK5000[[#This Row],[Rsonde]]=MIN(data_Ni1000_TK5000[Rsonde]),0,$D12)-data_Ni1000_TK5000[[#This Row],[Rsonde]]),2)</f>
        <v>0</v>
      </c>
      <c r="J13" s="9" cm="1">
        <f t="array" aca="1" ref="J13" ca="1">MIN(IF(ResValuesR24&gt;=ROUND(data_Ni1000_TK5000[[#This Row],[Rsonde]],2)-IF(data_Ni1000_TK5000[[#This Row],[Rsonde]]=MIN(data_Ni1000_TK5000[Rsonde]),100,$D12),ResValuesR24))</f>
        <v>7.5</v>
      </c>
      <c r="K13" s="9">
        <f ca="1">ROUND(data_Ni1000_TK5000[[#This Row],[RaddHigh]]+(IF(data_Ni1000_TK5000[[#This Row],[Rsonde]]=MIN(data_Ni1000_TK5000[Rsonde]),0,$D12)-data_Ni1000_TK5000[[#This Row],[Rsonde]]),2)</f>
        <v>0.7</v>
      </c>
      <c r="L13" s="2" cm="1">
        <f t="array" aca="1" ref="L13" ca="1">IF(INDIRECT(RefCell_R77),(data_Ni1000_TK5000[[#This Row],[Rpcb]]*INDIRECT(RefCell_R77))/(data_Ni1000_TK5000[[#This Row],[Rpcb]]+INDIRECT(RefCell_R77)),data_Ni1000_TK5000[[#This Row],[Rpcb]])</f>
        <v>999.99999999999989</v>
      </c>
      <c r="N13" s="3" t="s">
        <v>180</v>
      </c>
      <c r="O13">
        <f>LN(C31)</f>
        <v>7.0241239816075831</v>
      </c>
    </row>
    <row r="14" spans="1:17" x14ac:dyDescent="0.25">
      <c r="A14" t="s">
        <v>28</v>
      </c>
      <c r="B14" s="8">
        <v>1.5</v>
      </c>
      <c r="C14" s="9">
        <v>1006.65</v>
      </c>
      <c r="D14" s="9" cm="1">
        <f t="array" aca="1" ref="D14" ca="1">INDIRECT(RefCell_Rpot)+SUM($G$3:G14)</f>
        <v>1006.7999999999998</v>
      </c>
      <c r="E14" s="9">
        <f ca="1">data_Ni1000_TK5000[[#This Row],[Rpcb]]-data_Ni1000_TK5000[[#This Row],[Rsonde]]</f>
        <v>0.14999999999986358</v>
      </c>
      <c r="F14" s="4">
        <f ca="1">data_Ni1000_TK5000[[#This Row],[Diff R]]/data_Ni1000_TK5000[[#This Row],[Rsonde]]</f>
        <v>1.490090895543273E-4</v>
      </c>
      <c r="G14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14" s="9" cm="1">
        <f t="array" aca="1" ref="H14" ca="1">MAX(IF(ResValuesR24&lt;=ROUND(data_Ni1000_TK5000[[#This Row],[Rsonde]],2)-IF(data_Ni1000_TK5000[[#This Row],[Rsonde]]=MIN(data_Ni1000_TK5000[Rsonde]),100,$D13),ResValuesR24))</f>
        <v>6.2</v>
      </c>
      <c r="I14" s="9">
        <f ca="1">ROUND(data_Ni1000_TK5000[[#This Row],[RaddLow]]+(IF(data_Ni1000_TK5000[[#This Row],[Rsonde]]=MIN(data_Ni1000_TK5000[Rsonde]),0,$D13)-data_Ni1000_TK5000[[#This Row],[Rsonde]]),2)</f>
        <v>-0.45</v>
      </c>
      <c r="J14" s="9" cm="1">
        <f t="array" aca="1" ref="J14" ca="1">MIN(IF(ResValuesR24&gt;=ROUND(data_Ni1000_TK5000[[#This Row],[Rsonde]],2)-IF(data_Ni1000_TK5000[[#This Row],[Rsonde]]=MIN(data_Ni1000_TK5000[Rsonde]),100,$D13),ResValuesR24))</f>
        <v>6.8</v>
      </c>
      <c r="K14" s="9">
        <f ca="1">ROUND(data_Ni1000_TK5000[[#This Row],[RaddHigh]]+(IF(data_Ni1000_TK5000[[#This Row],[Rsonde]]=MIN(data_Ni1000_TK5000[Rsonde]),0,$D13)-data_Ni1000_TK5000[[#This Row],[Rsonde]]),2)</f>
        <v>0.15</v>
      </c>
      <c r="L14" s="2" cm="1">
        <f t="array" aca="1" ref="L14" ca="1">IF(INDIRECT(RefCell_R77),(data_Ni1000_TK5000[[#This Row],[Rpcb]]*INDIRECT(RefCell_R77))/(data_Ni1000_TK5000[[#This Row],[Rpcb]]+INDIRECT(RefCell_R77)),data_Ni1000_TK5000[[#This Row],[Rpcb]])</f>
        <v>1006.7999999999998</v>
      </c>
      <c r="N14" s="3" t="s">
        <v>175</v>
      </c>
      <c r="O14">
        <f>1/(B3+273.15)</f>
        <v>3.8737168312996321E-3</v>
      </c>
    </row>
    <row r="15" spans="1:17" x14ac:dyDescent="0.25">
      <c r="A15" t="s">
        <v>29</v>
      </c>
      <c r="B15" s="8">
        <v>3</v>
      </c>
      <c r="C15" s="9">
        <v>1013.33</v>
      </c>
      <c r="D15" s="9" cm="1">
        <f t="array" aca="1" ref="D15" ca="1">INDIRECT(RefCell_Rpot)+SUM($G$3:G15)</f>
        <v>1013.5999999999998</v>
      </c>
      <c r="E15" s="9">
        <f ca="1">data_Ni1000_TK5000[[#This Row],[Rpcb]]-data_Ni1000_TK5000[[#This Row],[Rsonde]]</f>
        <v>0.26999999999975444</v>
      </c>
      <c r="F15" s="4">
        <f ca="1">data_Ni1000_TK5000[[#This Row],[Diff R]]/data_Ni1000_TK5000[[#This Row],[Rsonde]]</f>
        <v>2.6644824489530008E-4</v>
      </c>
      <c r="G15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15" s="9" cm="1">
        <f t="array" aca="1" ref="H15" ca="1">MAX(IF(ResValuesR24&lt;=ROUND(data_Ni1000_TK5000[[#This Row],[Rsonde]],2)-IF(data_Ni1000_TK5000[[#This Row],[Rsonde]]=MIN(data_Ni1000_TK5000[Rsonde]),100,$D14),ResValuesR24))</f>
        <v>6.2</v>
      </c>
      <c r="I15" s="9">
        <f ca="1">ROUND(data_Ni1000_TK5000[[#This Row],[RaddLow]]+(IF(data_Ni1000_TK5000[[#This Row],[Rsonde]]=MIN(data_Ni1000_TK5000[Rsonde]),0,$D14)-data_Ni1000_TK5000[[#This Row],[Rsonde]]),2)</f>
        <v>-0.33</v>
      </c>
      <c r="J15" s="9" cm="1">
        <f t="array" aca="1" ref="J15" ca="1">MIN(IF(ResValuesR24&gt;=ROUND(data_Ni1000_TK5000[[#This Row],[Rsonde]],2)-IF(data_Ni1000_TK5000[[#This Row],[Rsonde]]=MIN(data_Ni1000_TK5000[Rsonde]),100,$D14),ResValuesR24))</f>
        <v>6.8</v>
      </c>
      <c r="K15" s="9">
        <f ca="1">ROUND(data_Ni1000_TK5000[[#This Row],[RaddHigh]]+(IF(data_Ni1000_TK5000[[#This Row],[Rsonde]]=MIN(data_Ni1000_TK5000[Rsonde]),0,$D14)-data_Ni1000_TK5000[[#This Row],[Rsonde]]),2)</f>
        <v>0.27</v>
      </c>
      <c r="L15" s="2" cm="1">
        <f t="array" aca="1" ref="L15" ca="1">IF(INDIRECT(RefCell_R77),(data_Ni1000_TK5000[[#This Row],[Rpcb]]*INDIRECT(RefCell_R77))/(data_Ni1000_TK5000[[#This Row],[Rpcb]]+INDIRECT(RefCell_R77)),data_Ni1000_TK5000[[#This Row],[Rpcb]])</f>
        <v>1013.5999999999998</v>
      </c>
      <c r="N15" s="3" t="s">
        <v>176</v>
      </c>
      <c r="O15">
        <f>1/(B17+273.15)</f>
        <v>3.5823034210997673E-3</v>
      </c>
    </row>
    <row r="16" spans="1:17" x14ac:dyDescent="0.25">
      <c r="A16" t="s">
        <v>30</v>
      </c>
      <c r="B16" s="8">
        <v>4.5</v>
      </c>
      <c r="C16" s="9">
        <v>1020.025</v>
      </c>
      <c r="D16" s="9" cm="1">
        <f t="array" aca="1" ref="D16" ca="1">INDIRECT(RefCell_Rpot)+SUM($G$3:G16)</f>
        <v>1019.7999999999998</v>
      </c>
      <c r="E16" s="9">
        <f ca="1">data_Ni1000_TK5000[[#This Row],[Rpcb]]-data_Ni1000_TK5000[[#This Row],[Rsonde]]</f>
        <v>-0.22500000000013642</v>
      </c>
      <c r="F16" s="4">
        <f ca="1">data_Ni1000_TK5000[[#This Row],[Diff R]]/data_Ni1000_TK5000[[#This Row],[Rsonde]]</f>
        <v>-2.2058282885236777E-4</v>
      </c>
      <c r="G16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6.2</v>
      </c>
      <c r="H16" s="9" cm="1">
        <f t="array" aca="1" ref="H16" ca="1">MAX(IF(ResValuesR24&lt;=ROUND(data_Ni1000_TK5000[[#This Row],[Rsonde]],2)-IF(data_Ni1000_TK5000[[#This Row],[Rsonde]]=MIN(data_Ni1000_TK5000[Rsonde]),100,$D15),ResValuesR24))</f>
        <v>6.2</v>
      </c>
      <c r="I16" s="9">
        <f ca="1">ROUND(data_Ni1000_TK5000[[#This Row],[RaddLow]]+(IF(data_Ni1000_TK5000[[#This Row],[Rsonde]]=MIN(data_Ni1000_TK5000[Rsonde]),0,$D15)-data_Ni1000_TK5000[[#This Row],[Rsonde]]),2)</f>
        <v>-0.23</v>
      </c>
      <c r="J16" s="9" cm="1">
        <f t="array" aca="1" ref="J16" ca="1">MIN(IF(ResValuesR24&gt;=ROUND(data_Ni1000_TK5000[[#This Row],[Rsonde]],2)-IF(data_Ni1000_TK5000[[#This Row],[Rsonde]]=MIN(data_Ni1000_TK5000[Rsonde]),100,$D15),ResValuesR24))</f>
        <v>6.8</v>
      </c>
      <c r="K16" s="9">
        <f ca="1">ROUND(data_Ni1000_TK5000[[#This Row],[RaddHigh]]+(IF(data_Ni1000_TK5000[[#This Row],[Rsonde]]=MIN(data_Ni1000_TK5000[Rsonde]),0,$D15)-data_Ni1000_TK5000[[#This Row],[Rsonde]]),2)</f>
        <v>0.37</v>
      </c>
      <c r="L16" s="2" cm="1">
        <f t="array" aca="1" ref="L16" ca="1">IF(INDIRECT(RefCell_R77),(data_Ni1000_TK5000[[#This Row],[Rpcb]]*INDIRECT(RefCell_R77))/(data_Ni1000_TK5000[[#This Row],[Rpcb]]+INDIRECT(RefCell_R77)),data_Ni1000_TK5000[[#This Row],[Rpcb]])</f>
        <v>1019.7999999999998</v>
      </c>
      <c r="N16" s="3" t="s">
        <v>177</v>
      </c>
      <c r="O16">
        <f>1/(B31+273.15)</f>
        <v>3.331667499583542E-3</v>
      </c>
    </row>
    <row r="17" spans="1:24" x14ac:dyDescent="0.25">
      <c r="A17" t="s">
        <v>31</v>
      </c>
      <c r="B17" s="8">
        <v>6</v>
      </c>
      <c r="C17" s="9">
        <v>1026.75</v>
      </c>
      <c r="D17" s="9" cm="1">
        <f t="array" aca="1" ref="D17" ca="1">INDIRECT(RefCell_Rpot)+SUM($G$3:G17)</f>
        <v>1026.5999999999999</v>
      </c>
      <c r="E17" s="9">
        <f ca="1">data_Ni1000_TK5000[[#This Row],[Rpcb]]-data_Ni1000_TK5000[[#This Row],[Rsonde]]</f>
        <v>-0.15000000000009095</v>
      </c>
      <c r="F17" s="4">
        <f ca="1">data_Ni1000_TK5000[[#This Row],[Diff R]]/data_Ni1000_TK5000[[#This Row],[Rsonde]]</f>
        <v>-1.4609203798401845E-4</v>
      </c>
      <c r="G17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17" s="9" cm="1">
        <f t="array" aca="1" ref="H17" ca="1">MAX(IF(ResValuesR24&lt;=ROUND(data_Ni1000_TK5000[[#This Row],[Rsonde]],2)-IF(data_Ni1000_TK5000[[#This Row],[Rsonde]]=MIN(data_Ni1000_TK5000[Rsonde]),100,$D16),ResValuesR24))</f>
        <v>6.8</v>
      </c>
      <c r="I17" s="9">
        <f ca="1">ROUND(data_Ni1000_TK5000[[#This Row],[RaddLow]]+(IF(data_Ni1000_TK5000[[#This Row],[Rsonde]]=MIN(data_Ni1000_TK5000[Rsonde]),0,$D16)-data_Ni1000_TK5000[[#This Row],[Rsonde]]),2)</f>
        <v>-0.15</v>
      </c>
      <c r="J17" s="9" cm="1">
        <f t="array" aca="1" ref="J17" ca="1">MIN(IF(ResValuesR24&gt;=ROUND(data_Ni1000_TK5000[[#This Row],[Rsonde]],2)-IF(data_Ni1000_TK5000[[#This Row],[Rsonde]]=MIN(data_Ni1000_TK5000[Rsonde]),100,$D16),ResValuesR24))</f>
        <v>7.5</v>
      </c>
      <c r="K17" s="9">
        <f ca="1">ROUND(data_Ni1000_TK5000[[#This Row],[RaddHigh]]+(IF(data_Ni1000_TK5000[[#This Row],[Rsonde]]=MIN(data_Ni1000_TK5000[Rsonde]),0,$D16)-data_Ni1000_TK5000[[#This Row],[Rsonde]]),2)</f>
        <v>0.55000000000000004</v>
      </c>
      <c r="L17" s="2" cm="1">
        <f t="array" aca="1" ref="L17" ca="1">IF(INDIRECT(RefCell_R77),(data_Ni1000_TK5000[[#This Row],[Rpcb]]*INDIRECT(RefCell_R77))/(data_Ni1000_TK5000[[#This Row],[Rpcb]]+INDIRECT(RefCell_R77)),data_Ni1000_TK5000[[#This Row],[Rpcb]])</f>
        <v>1026.5999999999999</v>
      </c>
    </row>
    <row r="18" spans="1:24" x14ac:dyDescent="0.25">
      <c r="A18" t="s">
        <v>32</v>
      </c>
      <c r="B18" s="8">
        <v>7.5</v>
      </c>
      <c r="C18" s="9">
        <v>1033.4949999999999</v>
      </c>
      <c r="D18" s="9" cm="1">
        <f t="array" aca="1" ref="D18" ca="1">INDIRECT(RefCell_Rpot)+SUM($G$3:G18)</f>
        <v>1033.3999999999996</v>
      </c>
      <c r="E18" s="9">
        <f ca="1">data_Ni1000_TK5000[[#This Row],[Rpcb]]-data_Ni1000_TK5000[[#This Row],[Rsonde]]</f>
        <v>-9.5000000000254659E-2</v>
      </c>
      <c r="F18" s="4">
        <f ca="1">data_Ni1000_TK5000[[#This Row],[Diff R]]/data_Ni1000_TK5000[[#This Row],[Rsonde]]</f>
        <v>-9.1921102666442191E-5</v>
      </c>
      <c r="G18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18" s="9" cm="1">
        <f t="array" aca="1" ref="H18" ca="1">MAX(IF(ResValuesR24&lt;=ROUND(data_Ni1000_TK5000[[#This Row],[Rsonde]],2)-IF(data_Ni1000_TK5000[[#This Row],[Rsonde]]=MIN(data_Ni1000_TK5000[Rsonde]),100,$D17),ResValuesR24))</f>
        <v>6.8</v>
      </c>
      <c r="I18" s="9">
        <f ca="1">ROUND(data_Ni1000_TK5000[[#This Row],[RaddLow]]+(IF(data_Ni1000_TK5000[[#This Row],[Rsonde]]=MIN(data_Ni1000_TK5000[Rsonde]),0,$D17)-data_Ni1000_TK5000[[#This Row],[Rsonde]]),2)</f>
        <v>-0.09</v>
      </c>
      <c r="J18" s="9" cm="1">
        <f t="array" aca="1" ref="J18" ca="1">MIN(IF(ResValuesR24&gt;=ROUND(data_Ni1000_TK5000[[#This Row],[Rsonde]],2)-IF(data_Ni1000_TK5000[[#This Row],[Rsonde]]=MIN(data_Ni1000_TK5000[Rsonde]),100,$D17),ResValuesR24))</f>
        <v>7.5</v>
      </c>
      <c r="K18" s="9">
        <f ca="1">ROUND(data_Ni1000_TK5000[[#This Row],[RaddHigh]]+(IF(data_Ni1000_TK5000[[#This Row],[Rsonde]]=MIN(data_Ni1000_TK5000[Rsonde]),0,$D17)-data_Ni1000_TK5000[[#This Row],[Rsonde]]),2)</f>
        <v>0.61</v>
      </c>
      <c r="L18" s="2" cm="1">
        <f t="array" aca="1" ref="L18" ca="1">IF(INDIRECT(RefCell_R77),(data_Ni1000_TK5000[[#This Row],[Rpcb]]*INDIRECT(RefCell_R77))/(data_Ni1000_TK5000[[#This Row],[Rpcb]]+INDIRECT(RefCell_R77)),data_Ni1000_TK5000[[#This Row],[Rpcb]])</f>
        <v>1033.3999999999996</v>
      </c>
      <c r="N18" t="s">
        <v>152</v>
      </c>
    </row>
    <row r="19" spans="1:24" x14ac:dyDescent="0.25">
      <c r="A19" t="s">
        <v>33</v>
      </c>
      <c r="B19" s="8">
        <v>9</v>
      </c>
      <c r="C19" s="9">
        <v>1040.27</v>
      </c>
      <c r="D19" s="9" cm="1">
        <f t="array" aca="1" ref="D19" ca="1">INDIRECT(RefCell_Rpot)+SUM($G$3:G19)</f>
        <v>1040.1999999999998</v>
      </c>
      <c r="E19" s="9">
        <f ca="1">data_Ni1000_TK5000[[#This Row],[Rpcb]]-data_Ni1000_TK5000[[#This Row],[Rsonde]]</f>
        <v>-7.0000000000163709E-2</v>
      </c>
      <c r="F19" s="4">
        <f ca="1">data_Ni1000_TK5000[[#This Row],[Diff R]]/data_Ni1000_TK5000[[#This Row],[Rsonde]]</f>
        <v>-6.7290222730794611E-5</v>
      </c>
      <c r="G19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19" s="9" cm="1">
        <f t="array" aca="1" ref="H19" ca="1">MAX(IF(ResValuesR24&lt;=ROUND(data_Ni1000_TK5000[[#This Row],[Rsonde]],2)-IF(data_Ni1000_TK5000[[#This Row],[Rsonde]]=MIN(data_Ni1000_TK5000[Rsonde]),100,$D18),ResValuesR24))</f>
        <v>6.8</v>
      </c>
      <c r="I19" s="9">
        <f ca="1">ROUND(data_Ni1000_TK5000[[#This Row],[RaddLow]]+(IF(data_Ni1000_TK5000[[#This Row],[Rsonde]]=MIN(data_Ni1000_TK5000[Rsonde]),0,$D18)-data_Ni1000_TK5000[[#This Row],[Rsonde]]),2)</f>
        <v>-7.0000000000000007E-2</v>
      </c>
      <c r="J19" s="9" cm="1">
        <f t="array" aca="1" ref="J19" ca="1">MIN(IF(ResValuesR24&gt;=ROUND(data_Ni1000_TK5000[[#This Row],[Rsonde]],2)-IF(data_Ni1000_TK5000[[#This Row],[Rsonde]]=MIN(data_Ni1000_TK5000[Rsonde]),100,$D18),ResValuesR24))</f>
        <v>7.5</v>
      </c>
      <c r="K19" s="9">
        <f ca="1">ROUND(data_Ni1000_TK5000[[#This Row],[RaddHigh]]+(IF(data_Ni1000_TK5000[[#This Row],[Rsonde]]=MIN(data_Ni1000_TK5000[Rsonde]),0,$D18)-data_Ni1000_TK5000[[#This Row],[Rsonde]]),2)</f>
        <v>0.63</v>
      </c>
      <c r="L19" s="2" cm="1">
        <f t="array" aca="1" ref="L19" ca="1">IF(INDIRECT(RefCell_R77),(data_Ni1000_TK5000[[#This Row],[Rpcb]]*INDIRECT(RefCell_R77))/(data_Ni1000_TK5000[[#This Row],[Rpcb]]+INDIRECT(RefCell_R77)),data_Ni1000_TK5000[[#This Row],[Rpcb]])</f>
        <v>1040.1999999999998</v>
      </c>
      <c r="N19" s="11" t="s">
        <v>151</v>
      </c>
    </row>
    <row r="20" spans="1:24" x14ac:dyDescent="0.25">
      <c r="A20" t="s">
        <v>34</v>
      </c>
      <c r="B20" s="8">
        <v>10.5</v>
      </c>
      <c r="C20" s="9">
        <v>1047.06</v>
      </c>
      <c r="D20" s="9" cm="1">
        <f t="array" aca="1" ref="D20" ca="1">INDIRECT(RefCell_Rpot)+SUM($G$3:G20)</f>
        <v>1046.9999999999995</v>
      </c>
      <c r="E20" s="9">
        <f ca="1">data_Ni1000_TK5000[[#This Row],[Rpcb]]-data_Ni1000_TK5000[[#This Row],[Rsonde]]</f>
        <v>-6.0000000000400178E-2</v>
      </c>
      <c r="F20" s="4">
        <f ca="1">data_Ni1000_TK5000[[#This Row],[Diff R]]/data_Ni1000_TK5000[[#This Row],[Rsonde]]</f>
        <v>-5.730330640116152E-5</v>
      </c>
      <c r="G20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20" s="9" cm="1">
        <f t="array" aca="1" ref="H20" ca="1">MAX(IF(ResValuesR24&lt;=ROUND(data_Ni1000_TK5000[[#This Row],[Rsonde]],2)-IF(data_Ni1000_TK5000[[#This Row],[Rsonde]]=MIN(data_Ni1000_TK5000[Rsonde]),100,$D19),ResValuesR24))</f>
        <v>6.8</v>
      </c>
      <c r="I20" s="9">
        <f ca="1">ROUND(data_Ni1000_TK5000[[#This Row],[RaddLow]]+(IF(data_Ni1000_TK5000[[#This Row],[Rsonde]]=MIN(data_Ni1000_TK5000[Rsonde]),0,$D19)-data_Ni1000_TK5000[[#This Row],[Rsonde]]),2)</f>
        <v>-0.06</v>
      </c>
      <c r="J20" s="9" cm="1">
        <f t="array" aca="1" ref="J20" ca="1">MIN(IF(ResValuesR24&gt;=ROUND(data_Ni1000_TK5000[[#This Row],[Rsonde]],2)-IF(data_Ni1000_TK5000[[#This Row],[Rsonde]]=MIN(data_Ni1000_TK5000[Rsonde]),100,$D19),ResValuesR24))</f>
        <v>7.5</v>
      </c>
      <c r="K20" s="9">
        <f ca="1">ROUND(data_Ni1000_TK5000[[#This Row],[RaddHigh]]+(IF(data_Ni1000_TK5000[[#This Row],[Rsonde]]=MIN(data_Ni1000_TK5000[Rsonde]),0,$D19)-data_Ni1000_TK5000[[#This Row],[Rsonde]]),2)</f>
        <v>0.64</v>
      </c>
      <c r="L20" s="2" cm="1">
        <f t="array" aca="1" ref="L20" ca="1">IF(INDIRECT(RefCell_R77),(data_Ni1000_TK5000[[#This Row],[Rpcb]]*INDIRECT(RefCell_R77))/(data_Ni1000_TK5000[[#This Row],[Rpcb]]+INDIRECT(RefCell_R77)),data_Ni1000_TK5000[[#This Row],[Rpcb]])</f>
        <v>1046.9999999999995</v>
      </c>
      <c r="N20" t="s">
        <v>153</v>
      </c>
      <c r="O20">
        <v>0</v>
      </c>
      <c r="P20">
        <v>-1</v>
      </c>
      <c r="Q20">
        <v>-2</v>
      </c>
      <c r="R20">
        <v>-3</v>
      </c>
      <c r="S20">
        <v>-4</v>
      </c>
      <c r="T20">
        <v>-5</v>
      </c>
      <c r="U20">
        <v>-6</v>
      </c>
      <c r="V20">
        <v>-7</v>
      </c>
      <c r="W20">
        <v>-8</v>
      </c>
      <c r="X20">
        <v>-9</v>
      </c>
    </row>
    <row r="21" spans="1:24" x14ac:dyDescent="0.25">
      <c r="A21" t="s">
        <v>35</v>
      </c>
      <c r="B21" s="8">
        <v>12</v>
      </c>
      <c r="C21" s="9">
        <v>1053.8800000000001</v>
      </c>
      <c r="D21" s="9" cm="1">
        <f t="array" aca="1" ref="D21" ca="1">INDIRECT(RefCell_Rpot)+SUM($G$3:G21)</f>
        <v>1053.7999999999997</v>
      </c>
      <c r="E21" s="9">
        <f ca="1">data_Ni1000_TK5000[[#This Row],[Rpcb]]-data_Ni1000_TK5000[[#This Row],[Rsonde]]</f>
        <v>-8.0000000000381988E-2</v>
      </c>
      <c r="F21" s="4">
        <f ca="1">data_Ni1000_TK5000[[#This Row],[Diff R]]/data_Ni1000_TK5000[[#This Row],[Rsonde]]</f>
        <v>-7.5909970775023703E-5</v>
      </c>
      <c r="G21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21" s="9" cm="1">
        <f t="array" aca="1" ref="H21" ca="1">MAX(IF(ResValuesR24&lt;=ROUND(data_Ni1000_TK5000[[#This Row],[Rsonde]],2)-IF(data_Ni1000_TK5000[[#This Row],[Rsonde]]=MIN(data_Ni1000_TK5000[Rsonde]),100,$D20),ResValuesR24))</f>
        <v>6.8</v>
      </c>
      <c r="I21" s="9">
        <f ca="1">ROUND(data_Ni1000_TK5000[[#This Row],[RaddLow]]+(IF(data_Ni1000_TK5000[[#This Row],[Rsonde]]=MIN(data_Ni1000_TK5000[Rsonde]),0,$D20)-data_Ni1000_TK5000[[#This Row],[Rsonde]]),2)</f>
        <v>-0.08</v>
      </c>
      <c r="J21" s="9" cm="1">
        <f t="array" aca="1" ref="J21" ca="1">MIN(IF(ResValuesR24&gt;=ROUND(data_Ni1000_TK5000[[#This Row],[Rsonde]],2)-IF(data_Ni1000_TK5000[[#This Row],[Rsonde]]=MIN(data_Ni1000_TK5000[Rsonde]),100,$D20),ResValuesR24))</f>
        <v>7.5</v>
      </c>
      <c r="K21" s="9">
        <f ca="1">ROUND(data_Ni1000_TK5000[[#This Row],[RaddHigh]]+(IF(data_Ni1000_TK5000[[#This Row],[Rsonde]]=MIN(data_Ni1000_TK5000[Rsonde]),0,$D20)-data_Ni1000_TK5000[[#This Row],[Rsonde]]),2)</f>
        <v>0.62</v>
      </c>
      <c r="L21" s="2" cm="1">
        <f t="array" aca="1" ref="L21" ca="1">IF(INDIRECT(RefCell_R77),(data_Ni1000_TK5000[[#This Row],[Rpcb]]*INDIRECT(RefCell_R77))/(data_Ni1000_TK5000[[#This Row],[Rpcb]]+INDIRECT(RefCell_R77)),data_Ni1000_TK5000[[#This Row],[Rpcb]])</f>
        <v>1053.7999999999997</v>
      </c>
      <c r="N21">
        <v>-20</v>
      </c>
      <c r="O21">
        <v>913.48</v>
      </c>
      <c r="P21">
        <v>909.26</v>
      </c>
      <c r="Q21">
        <v>905.05</v>
      </c>
      <c r="R21">
        <v>900.85</v>
      </c>
      <c r="S21">
        <v>896.65</v>
      </c>
      <c r="T21">
        <v>892.47</v>
      </c>
      <c r="U21">
        <v>888.3</v>
      </c>
      <c r="V21">
        <v>884.13</v>
      </c>
      <c r="W21">
        <v>879.98</v>
      </c>
      <c r="X21">
        <v>875.83</v>
      </c>
    </row>
    <row r="22" spans="1:24" x14ac:dyDescent="0.25">
      <c r="A22" t="s">
        <v>36</v>
      </c>
      <c r="B22" s="8">
        <v>13.5</v>
      </c>
      <c r="C22" s="9">
        <v>1060.7249999999999</v>
      </c>
      <c r="D22" s="9" cm="1">
        <f t="array" aca="1" ref="D22" ca="1">INDIRECT(RefCell_Rpot)+SUM($G$3:G22)</f>
        <v>1060.5999999999995</v>
      </c>
      <c r="E22" s="9">
        <f ca="1">data_Ni1000_TK5000[[#This Row],[Rpcb]]-data_Ni1000_TK5000[[#This Row],[Rsonde]]</f>
        <v>-0.12500000000045475</v>
      </c>
      <c r="F22" s="4">
        <f ca="1">data_Ni1000_TK5000[[#This Row],[Diff R]]/data_Ni1000_TK5000[[#This Row],[Rsonde]]</f>
        <v>-1.1784392750284452E-4</v>
      </c>
      <c r="G22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22" s="9" cm="1">
        <f t="array" aca="1" ref="H22" ca="1">MAX(IF(ResValuesR24&lt;=ROUND(data_Ni1000_TK5000[[#This Row],[Rsonde]],2)-IF(data_Ni1000_TK5000[[#This Row],[Rsonde]]=MIN(data_Ni1000_TK5000[Rsonde]),100,$D21),ResValuesR24))</f>
        <v>6.8</v>
      </c>
      <c r="I22" s="9">
        <f ca="1">ROUND(data_Ni1000_TK5000[[#This Row],[RaddLow]]+(IF(data_Ni1000_TK5000[[#This Row],[Rsonde]]=MIN(data_Ni1000_TK5000[Rsonde]),0,$D21)-data_Ni1000_TK5000[[#This Row],[Rsonde]]),2)</f>
        <v>-0.13</v>
      </c>
      <c r="J22" s="9" cm="1">
        <f t="array" aca="1" ref="J22" ca="1">MIN(IF(ResValuesR24&gt;=ROUND(data_Ni1000_TK5000[[#This Row],[Rsonde]],2)-IF(data_Ni1000_TK5000[[#This Row],[Rsonde]]=MIN(data_Ni1000_TK5000[Rsonde]),100,$D21),ResValuesR24))</f>
        <v>7.5</v>
      </c>
      <c r="K22" s="9">
        <f ca="1">ROUND(data_Ni1000_TK5000[[#This Row],[RaddHigh]]+(IF(data_Ni1000_TK5000[[#This Row],[Rsonde]]=MIN(data_Ni1000_TK5000[Rsonde]),0,$D21)-data_Ni1000_TK5000[[#This Row],[Rsonde]]),2)</f>
        <v>0.56999999999999995</v>
      </c>
      <c r="L22" s="2" cm="1">
        <f t="array" aca="1" ref="L22" ca="1">IF(INDIRECT(RefCell_R77),(data_Ni1000_TK5000[[#This Row],[Rpcb]]*INDIRECT(RefCell_R77))/(data_Ni1000_TK5000[[#This Row],[Rpcb]]+INDIRECT(RefCell_R77)),data_Ni1000_TK5000[[#This Row],[Rpcb]])</f>
        <v>1060.5999999999995</v>
      </c>
      <c r="N22">
        <v>-10</v>
      </c>
      <c r="O22">
        <v>956.24</v>
      </c>
      <c r="P22">
        <v>951.92</v>
      </c>
      <c r="Q22">
        <v>947.61</v>
      </c>
      <c r="R22">
        <v>943.31</v>
      </c>
      <c r="S22">
        <v>939.02</v>
      </c>
      <c r="T22">
        <v>934.74</v>
      </c>
      <c r="U22">
        <v>930.47</v>
      </c>
      <c r="V22">
        <v>926.21</v>
      </c>
      <c r="W22">
        <v>921.96</v>
      </c>
      <c r="X22">
        <v>917.72</v>
      </c>
    </row>
    <row r="23" spans="1:24" x14ac:dyDescent="0.25">
      <c r="A23" t="s">
        <v>37</v>
      </c>
      <c r="B23" s="8">
        <v>15</v>
      </c>
      <c r="C23" s="9">
        <v>1067.5899999999999</v>
      </c>
      <c r="D23" s="9" cm="1">
        <f t="array" aca="1" ref="D23" ca="1">INDIRECT(RefCell_Rpot)+SUM($G$3:G23)</f>
        <v>1067.3999999999996</v>
      </c>
      <c r="E23" s="9">
        <f ca="1">data_Ni1000_TK5000[[#This Row],[Rpcb]]-data_Ni1000_TK5000[[#This Row],[Rsonde]]</f>
        <v>-0.19000000000028194</v>
      </c>
      <c r="F23" s="4">
        <f ca="1">data_Ni1000_TK5000[[#This Row],[Diff R]]/data_Ni1000_TK5000[[#This Row],[Rsonde]]</f>
        <v>-1.779709439019492E-4</v>
      </c>
      <c r="G23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23" s="9" cm="1">
        <f t="array" aca="1" ref="H23" ca="1">MAX(IF(ResValuesR24&lt;=ROUND(data_Ni1000_TK5000[[#This Row],[Rsonde]],2)-IF(data_Ni1000_TK5000[[#This Row],[Rsonde]]=MIN(data_Ni1000_TK5000[Rsonde]),100,$D22),ResValuesR24))</f>
        <v>6.8</v>
      </c>
      <c r="I23" s="9">
        <f ca="1">ROUND(data_Ni1000_TK5000[[#This Row],[RaddLow]]+(IF(data_Ni1000_TK5000[[#This Row],[Rsonde]]=MIN(data_Ni1000_TK5000[Rsonde]),0,$D22)-data_Ni1000_TK5000[[#This Row],[Rsonde]]),2)</f>
        <v>-0.19</v>
      </c>
      <c r="J23" s="9" cm="1">
        <f t="array" aca="1" ref="J23" ca="1">MIN(IF(ResValuesR24&gt;=ROUND(data_Ni1000_TK5000[[#This Row],[Rsonde]],2)-IF(data_Ni1000_TK5000[[#This Row],[Rsonde]]=MIN(data_Ni1000_TK5000[Rsonde]),100,$D22),ResValuesR24))</f>
        <v>7.5</v>
      </c>
      <c r="K23" s="9">
        <f ca="1">ROUND(data_Ni1000_TK5000[[#This Row],[RaddHigh]]+(IF(data_Ni1000_TK5000[[#This Row],[Rsonde]]=MIN(data_Ni1000_TK5000[Rsonde]),0,$D22)-data_Ni1000_TK5000[[#This Row],[Rsonde]]),2)</f>
        <v>0.51</v>
      </c>
      <c r="L23" s="2" cm="1">
        <f t="array" aca="1" ref="L23" ca="1">IF(INDIRECT(RefCell_R77),(data_Ni1000_TK5000[[#This Row],[Rpcb]]*INDIRECT(RefCell_R77))/(data_Ni1000_TK5000[[#This Row],[Rpcb]]+INDIRECT(RefCell_R77)),data_Ni1000_TK5000[[#This Row],[Rpcb]])</f>
        <v>1067.3999999999996</v>
      </c>
      <c r="N23">
        <v>0</v>
      </c>
      <c r="O23">
        <v>1000</v>
      </c>
      <c r="P23">
        <v>995.58</v>
      </c>
      <c r="Q23">
        <v>991.17</v>
      </c>
      <c r="R23">
        <v>986.77</v>
      </c>
      <c r="S23">
        <v>982.37</v>
      </c>
      <c r="T23">
        <v>977.99</v>
      </c>
      <c r="U23">
        <v>973.62</v>
      </c>
      <c r="V23">
        <v>969.26</v>
      </c>
      <c r="W23">
        <v>964.91</v>
      </c>
      <c r="X23">
        <v>960.57</v>
      </c>
    </row>
    <row r="24" spans="1:24" x14ac:dyDescent="0.25">
      <c r="A24" t="s">
        <v>38</v>
      </c>
      <c r="B24" s="8">
        <v>16.5</v>
      </c>
      <c r="C24" s="9">
        <v>1074.48</v>
      </c>
      <c r="D24" s="9" cm="1">
        <f t="array" aca="1" ref="D24" ca="1">INDIRECT(RefCell_Rpot)+SUM($G$3:G24)</f>
        <v>1074.1999999999994</v>
      </c>
      <c r="E24" s="9">
        <f ca="1">data_Ni1000_TK5000[[#This Row],[Rpcb]]-data_Ni1000_TK5000[[#This Row],[Rsonde]]</f>
        <v>-0.28000000000065484</v>
      </c>
      <c r="F24" s="4">
        <f ca="1">data_Ni1000_TK5000[[#This Row],[Diff R]]/data_Ni1000_TK5000[[#This Row],[Rsonde]]</f>
        <v>-2.6059116968268821E-4</v>
      </c>
      <c r="G24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24" s="9" cm="1">
        <f t="array" aca="1" ref="H24" ca="1">MAX(IF(ResValuesR24&lt;=ROUND(data_Ni1000_TK5000[[#This Row],[Rsonde]],2)-IF(data_Ni1000_TK5000[[#This Row],[Rsonde]]=MIN(data_Ni1000_TK5000[Rsonde]),100,$D23),ResValuesR24))</f>
        <v>6.8</v>
      </c>
      <c r="I24" s="9">
        <f ca="1">ROUND(data_Ni1000_TK5000[[#This Row],[RaddLow]]+(IF(data_Ni1000_TK5000[[#This Row],[Rsonde]]=MIN(data_Ni1000_TK5000[Rsonde]),0,$D23)-data_Ni1000_TK5000[[#This Row],[Rsonde]]),2)</f>
        <v>-0.28000000000000003</v>
      </c>
      <c r="J24" s="9" cm="1">
        <f t="array" aca="1" ref="J24" ca="1">MIN(IF(ResValuesR24&gt;=ROUND(data_Ni1000_TK5000[[#This Row],[Rsonde]],2)-IF(data_Ni1000_TK5000[[#This Row],[Rsonde]]=MIN(data_Ni1000_TK5000[Rsonde]),100,$D23),ResValuesR24))</f>
        <v>7.5</v>
      </c>
      <c r="K24" s="9">
        <f ca="1">ROUND(data_Ni1000_TK5000[[#This Row],[RaddHigh]]+(IF(data_Ni1000_TK5000[[#This Row],[Rsonde]]=MIN(data_Ni1000_TK5000[Rsonde]),0,$D23)-data_Ni1000_TK5000[[#This Row],[Rsonde]]),2)</f>
        <v>0.42</v>
      </c>
      <c r="L24" s="2" cm="1">
        <f t="array" aca="1" ref="L24" ca="1">IF(INDIRECT(RefCell_R77),(data_Ni1000_TK5000[[#This Row],[Rpcb]]*INDIRECT(RefCell_R77))/(data_Ni1000_TK5000[[#This Row],[Rpcb]]+INDIRECT(RefCell_R77)),data_Ni1000_TK5000[[#This Row],[Rpcb]])</f>
        <v>1074.1999999999994</v>
      </c>
    </row>
    <row r="25" spans="1:24" x14ac:dyDescent="0.25">
      <c r="A25" t="s">
        <v>39</v>
      </c>
      <c r="B25" s="8">
        <v>18</v>
      </c>
      <c r="C25" s="9">
        <v>1081.3900000000001</v>
      </c>
      <c r="D25" s="9" cm="1">
        <f t="array" aca="1" ref="D25" ca="1">INDIRECT(RefCell_Rpot)+SUM($G$3:G25)</f>
        <v>1081.6999999999994</v>
      </c>
      <c r="E25" s="9">
        <f ca="1">data_Ni1000_TK5000[[#This Row],[Rpcb]]-data_Ni1000_TK5000[[#This Row],[Rsonde]]</f>
        <v>0.30999999999926331</v>
      </c>
      <c r="F25" s="4">
        <f ca="1">data_Ni1000_TK5000[[#This Row],[Diff R]]/data_Ni1000_TK5000[[#This Row],[Rsonde]]</f>
        <v>2.8666808459414578E-4</v>
      </c>
      <c r="G25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7.5</v>
      </c>
      <c r="H25" s="9" cm="1">
        <f t="array" aca="1" ref="H25" ca="1">MAX(IF(ResValuesR24&lt;=ROUND(data_Ni1000_TK5000[[#This Row],[Rsonde]],2)-IF(data_Ni1000_TK5000[[#This Row],[Rsonde]]=MIN(data_Ni1000_TK5000[Rsonde]),100,$D24),ResValuesR24))</f>
        <v>6.8</v>
      </c>
      <c r="I25" s="9">
        <f ca="1">ROUND(data_Ni1000_TK5000[[#This Row],[RaddLow]]+(IF(data_Ni1000_TK5000[[#This Row],[Rsonde]]=MIN(data_Ni1000_TK5000[Rsonde]),0,$D24)-data_Ni1000_TK5000[[#This Row],[Rsonde]]),2)</f>
        <v>-0.39</v>
      </c>
      <c r="J25" s="9" cm="1">
        <f t="array" aca="1" ref="J25" ca="1">MIN(IF(ResValuesR24&gt;=ROUND(data_Ni1000_TK5000[[#This Row],[Rsonde]],2)-IF(data_Ni1000_TK5000[[#This Row],[Rsonde]]=MIN(data_Ni1000_TK5000[Rsonde]),100,$D24),ResValuesR24))</f>
        <v>7.5</v>
      </c>
      <c r="K25" s="9">
        <f ca="1">ROUND(data_Ni1000_TK5000[[#This Row],[RaddHigh]]+(IF(data_Ni1000_TK5000[[#This Row],[Rsonde]]=MIN(data_Ni1000_TK5000[Rsonde]),0,$D24)-data_Ni1000_TK5000[[#This Row],[Rsonde]]),2)</f>
        <v>0.31</v>
      </c>
      <c r="L25" s="2" cm="1">
        <f t="array" aca="1" ref="L25" ca="1">IF(INDIRECT(RefCell_R77),(data_Ni1000_TK5000[[#This Row],[Rpcb]]*INDIRECT(RefCell_R77))/(data_Ni1000_TK5000[[#This Row],[Rpcb]]+INDIRECT(RefCell_R77)),data_Ni1000_TK5000[[#This Row],[Rpcb]])</f>
        <v>1081.6999999999994</v>
      </c>
      <c r="N25" t="s">
        <v>153</v>
      </c>
      <c r="O25">
        <v>0</v>
      </c>
      <c r="P25">
        <v>1</v>
      </c>
      <c r="Q25">
        <v>2</v>
      </c>
      <c r="R25">
        <v>3</v>
      </c>
      <c r="S25">
        <v>4</v>
      </c>
      <c r="T25">
        <v>5</v>
      </c>
      <c r="U25">
        <v>6</v>
      </c>
      <c r="V25">
        <v>7</v>
      </c>
      <c r="W25">
        <v>8</v>
      </c>
      <c r="X25">
        <v>9</v>
      </c>
    </row>
    <row r="26" spans="1:24" x14ac:dyDescent="0.25">
      <c r="A26" t="s">
        <v>40</v>
      </c>
      <c r="B26" s="8">
        <v>19.5</v>
      </c>
      <c r="C26" s="9">
        <v>1088.335</v>
      </c>
      <c r="D26" s="9" cm="1">
        <f t="array" aca="1" ref="D26" ca="1">INDIRECT(RefCell_Rpot)+SUM($G$3:G26)</f>
        <v>1088.4999999999995</v>
      </c>
      <c r="E26" s="9">
        <f ca="1">data_Ni1000_TK5000[[#This Row],[Rpcb]]-data_Ni1000_TK5000[[#This Row],[Rsonde]]</f>
        <v>0.16499999999950887</v>
      </c>
      <c r="F26" s="4">
        <f ca="1">data_Ni1000_TK5000[[#This Row],[Diff R]]/data_Ni1000_TK5000[[#This Row],[Rsonde]]</f>
        <v>1.5160773107499885E-4</v>
      </c>
      <c r="G26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26" s="9" cm="1">
        <f t="array" aca="1" ref="H26" ca="1">MAX(IF(ResValuesR24&lt;=ROUND(data_Ni1000_TK5000[[#This Row],[Rsonde]],2)-IF(data_Ni1000_TK5000[[#This Row],[Rsonde]]=MIN(data_Ni1000_TK5000[Rsonde]),100,$D25),ResValuesR24))</f>
        <v>6.2</v>
      </c>
      <c r="I26" s="9">
        <f ca="1">ROUND(data_Ni1000_TK5000[[#This Row],[RaddLow]]+(IF(data_Ni1000_TK5000[[#This Row],[Rsonde]]=MIN(data_Ni1000_TK5000[Rsonde]),0,$D25)-data_Ni1000_TK5000[[#This Row],[Rsonde]]),2)</f>
        <v>-0.44</v>
      </c>
      <c r="J26" s="9" cm="1">
        <f t="array" aca="1" ref="J26" ca="1">MIN(IF(ResValuesR24&gt;=ROUND(data_Ni1000_TK5000[[#This Row],[Rsonde]],2)-IF(data_Ni1000_TK5000[[#This Row],[Rsonde]]=MIN(data_Ni1000_TK5000[Rsonde]),100,$D25),ResValuesR24))</f>
        <v>6.8</v>
      </c>
      <c r="K26" s="9">
        <f ca="1">ROUND(data_Ni1000_TK5000[[#This Row],[RaddHigh]]+(IF(data_Ni1000_TK5000[[#This Row],[Rsonde]]=MIN(data_Ni1000_TK5000[Rsonde]),0,$D25)-data_Ni1000_TK5000[[#This Row],[Rsonde]]),2)</f>
        <v>0.16</v>
      </c>
      <c r="L26" s="2" cm="1">
        <f t="array" aca="1" ref="L26" ca="1">IF(INDIRECT(RefCell_R77),(data_Ni1000_TK5000[[#This Row],[Rpcb]]*INDIRECT(RefCell_R77))/(data_Ni1000_TK5000[[#This Row],[Rpcb]]+INDIRECT(RefCell_R77)),data_Ni1000_TK5000[[#This Row],[Rpcb]])</f>
        <v>1088.4999999999995</v>
      </c>
      <c r="N26">
        <v>0</v>
      </c>
      <c r="O26">
        <v>1000</v>
      </c>
      <c r="P26">
        <v>1004.43</v>
      </c>
      <c r="Q26">
        <v>1008.87</v>
      </c>
      <c r="R26">
        <v>1013.33</v>
      </c>
      <c r="S26">
        <v>1017.79</v>
      </c>
      <c r="T26">
        <v>1022.26</v>
      </c>
      <c r="U26">
        <v>1026.75</v>
      </c>
      <c r="V26">
        <v>1031.24</v>
      </c>
      <c r="W26">
        <v>1035.75</v>
      </c>
      <c r="X26">
        <v>1040.27</v>
      </c>
    </row>
    <row r="27" spans="1:24" x14ac:dyDescent="0.25">
      <c r="A27" t="s">
        <v>41</v>
      </c>
      <c r="B27" s="8">
        <v>21</v>
      </c>
      <c r="C27" s="9">
        <v>1095.3</v>
      </c>
      <c r="D27" s="9" cm="1">
        <f t="array" aca="1" ref="D27" ca="1">INDIRECT(RefCell_Rpot)+SUM($G$3:G27)</f>
        <v>1095.2999999999993</v>
      </c>
      <c r="E27" s="9">
        <f ca="1">data_Ni1000_TK5000[[#This Row],[Rpcb]]-data_Ni1000_TK5000[[#This Row],[Rsonde]]</f>
        <v>0</v>
      </c>
      <c r="F27" s="4">
        <f ca="1">data_Ni1000_TK5000[[#This Row],[Diff R]]/data_Ni1000_TK5000[[#This Row],[Rsonde]]</f>
        <v>0</v>
      </c>
      <c r="G27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27" s="9" cm="1">
        <f t="array" aca="1" ref="H27" ca="1">MAX(IF(ResValuesR24&lt;=ROUND(data_Ni1000_TK5000[[#This Row],[Rsonde]],2)-IF(data_Ni1000_TK5000[[#This Row],[Rsonde]]=MIN(data_Ni1000_TK5000[Rsonde]),100,$D26),ResValuesR24))</f>
        <v>6.8</v>
      </c>
      <c r="I27" s="9">
        <f ca="1">ROUND(data_Ni1000_TK5000[[#This Row],[RaddLow]]+(IF(data_Ni1000_TK5000[[#This Row],[Rsonde]]=MIN(data_Ni1000_TK5000[Rsonde]),0,$D26)-data_Ni1000_TK5000[[#This Row],[Rsonde]]),2)</f>
        <v>0</v>
      </c>
      <c r="J27" s="9" cm="1">
        <f t="array" aca="1" ref="J27" ca="1">MIN(IF(ResValuesR24&gt;=ROUND(data_Ni1000_TK5000[[#This Row],[Rsonde]],2)-IF(data_Ni1000_TK5000[[#This Row],[Rsonde]]=MIN(data_Ni1000_TK5000[Rsonde]),100,$D26),ResValuesR24))</f>
        <v>7.5</v>
      </c>
      <c r="K27" s="9">
        <f ca="1">ROUND(data_Ni1000_TK5000[[#This Row],[RaddHigh]]+(IF(data_Ni1000_TK5000[[#This Row],[Rsonde]]=MIN(data_Ni1000_TK5000[Rsonde]),0,$D26)-data_Ni1000_TK5000[[#This Row],[Rsonde]]),2)</f>
        <v>0.7</v>
      </c>
      <c r="L27" s="2" cm="1">
        <f t="array" aca="1" ref="L27" ca="1">IF(INDIRECT(RefCell_R77),(data_Ni1000_TK5000[[#This Row],[Rpcb]]*INDIRECT(RefCell_R77))/(data_Ni1000_TK5000[[#This Row],[Rpcb]]+INDIRECT(RefCell_R77)),data_Ni1000_TK5000[[#This Row],[Rpcb]])</f>
        <v>1095.2999999999993</v>
      </c>
      <c r="N27">
        <v>10</v>
      </c>
      <c r="O27">
        <v>1044.79</v>
      </c>
      <c r="P27">
        <v>1049.33</v>
      </c>
      <c r="Q27">
        <v>1053.8800000000001</v>
      </c>
      <c r="R27">
        <v>1058.44</v>
      </c>
      <c r="S27">
        <v>1063.01</v>
      </c>
      <c r="T27">
        <v>1067.5899999999999</v>
      </c>
      <c r="U27">
        <v>1072.18</v>
      </c>
      <c r="V27">
        <v>1076.78</v>
      </c>
      <c r="W27">
        <v>1081.3900000000001</v>
      </c>
      <c r="X27">
        <v>1086.02</v>
      </c>
    </row>
    <row r="28" spans="1:24" x14ac:dyDescent="0.25">
      <c r="A28" t="s">
        <v>42</v>
      </c>
      <c r="B28" s="8">
        <v>22.5</v>
      </c>
      <c r="C28" s="9">
        <v>1102.29</v>
      </c>
      <c r="D28" s="9" cm="1">
        <f t="array" aca="1" ref="D28" ca="1">INDIRECT(RefCell_Rpot)+SUM($G$3:G28)</f>
        <v>1102.0999999999995</v>
      </c>
      <c r="E28" s="9">
        <f ca="1">data_Ni1000_TK5000[[#This Row],[Rpcb]]-data_Ni1000_TK5000[[#This Row],[Rsonde]]</f>
        <v>-0.19000000000050932</v>
      </c>
      <c r="F28" s="4">
        <f ca="1">data_Ni1000_TK5000[[#This Row],[Diff R]]/data_Ni1000_TK5000[[#This Row],[Rsonde]]</f>
        <v>-1.7236843298996574E-4</v>
      </c>
      <c r="G28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28" s="9" cm="1">
        <f t="array" aca="1" ref="H28" ca="1">MAX(IF(ResValuesR24&lt;=ROUND(data_Ni1000_TK5000[[#This Row],[Rsonde]],2)-IF(data_Ni1000_TK5000[[#This Row],[Rsonde]]=MIN(data_Ni1000_TK5000[Rsonde]),100,$D27),ResValuesR24))</f>
        <v>6.8</v>
      </c>
      <c r="I28" s="9">
        <f ca="1">ROUND(data_Ni1000_TK5000[[#This Row],[RaddLow]]+(IF(data_Ni1000_TK5000[[#This Row],[Rsonde]]=MIN(data_Ni1000_TK5000[Rsonde]),0,$D27)-data_Ni1000_TK5000[[#This Row],[Rsonde]]),2)</f>
        <v>-0.19</v>
      </c>
      <c r="J28" s="9" cm="1">
        <f t="array" aca="1" ref="J28" ca="1">MIN(IF(ResValuesR24&gt;=ROUND(data_Ni1000_TK5000[[#This Row],[Rsonde]],2)-IF(data_Ni1000_TK5000[[#This Row],[Rsonde]]=MIN(data_Ni1000_TK5000[Rsonde]),100,$D27),ResValuesR24))</f>
        <v>7.5</v>
      </c>
      <c r="K28" s="9">
        <f ca="1">ROUND(data_Ni1000_TK5000[[#This Row],[RaddHigh]]+(IF(data_Ni1000_TK5000[[#This Row],[Rsonde]]=MIN(data_Ni1000_TK5000[Rsonde]),0,$D27)-data_Ni1000_TK5000[[#This Row],[Rsonde]]),2)</f>
        <v>0.51</v>
      </c>
      <c r="L28" s="2" cm="1">
        <f t="array" aca="1" ref="L28" ca="1">IF(INDIRECT(RefCell_R77),(data_Ni1000_TK5000[[#This Row],[Rpcb]]*INDIRECT(RefCell_R77))/(data_Ni1000_TK5000[[#This Row],[Rpcb]]+INDIRECT(RefCell_R77)),data_Ni1000_TK5000[[#This Row],[Rpcb]])</f>
        <v>1102.0999999999995</v>
      </c>
      <c r="N28">
        <v>20</v>
      </c>
      <c r="O28">
        <v>1090.6500000000001</v>
      </c>
      <c r="P28">
        <v>1095.3</v>
      </c>
      <c r="Q28">
        <v>1099.96</v>
      </c>
      <c r="R28">
        <v>1104.6199999999999</v>
      </c>
      <c r="S28">
        <v>1109.3</v>
      </c>
      <c r="T28">
        <v>1113.99</v>
      </c>
      <c r="U28">
        <v>1118.7</v>
      </c>
      <c r="V28">
        <v>1123.4100000000001</v>
      </c>
      <c r="W28">
        <v>1128.1300000000001</v>
      </c>
      <c r="X28">
        <v>1132.8699999999999</v>
      </c>
    </row>
    <row r="29" spans="1:24" x14ac:dyDescent="0.25">
      <c r="A29" t="s">
        <v>43</v>
      </c>
      <c r="B29" s="8">
        <v>24</v>
      </c>
      <c r="C29" s="9">
        <v>1109.3</v>
      </c>
      <c r="D29" s="9" cm="1">
        <f t="array" aca="1" ref="D29" ca="1">INDIRECT(RefCell_Rpot)+SUM($G$3:G29)</f>
        <v>1109.5999999999995</v>
      </c>
      <c r="E29" s="9">
        <f ca="1">data_Ni1000_TK5000[[#This Row],[Rpcb]]-data_Ni1000_TK5000[[#This Row],[Rsonde]]</f>
        <v>0.29999999999949978</v>
      </c>
      <c r="F29" s="4">
        <f ca="1">data_Ni1000_TK5000[[#This Row],[Diff R]]/data_Ni1000_TK5000[[#This Row],[Rsonde]]</f>
        <v>2.7044081853375986E-4</v>
      </c>
      <c r="G29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7.5</v>
      </c>
      <c r="H29" s="9" cm="1">
        <f t="array" aca="1" ref="H29" ca="1">MAX(IF(ResValuesR24&lt;=ROUND(data_Ni1000_TK5000[[#This Row],[Rsonde]],2)-IF(data_Ni1000_TK5000[[#This Row],[Rsonde]]=MIN(data_Ni1000_TK5000[Rsonde]),100,$D28),ResValuesR24))</f>
        <v>6.8</v>
      </c>
      <c r="I29" s="9">
        <f ca="1">ROUND(data_Ni1000_TK5000[[#This Row],[RaddLow]]+(IF(data_Ni1000_TK5000[[#This Row],[Rsonde]]=MIN(data_Ni1000_TK5000[Rsonde]),0,$D28)-data_Ni1000_TK5000[[#This Row],[Rsonde]]),2)</f>
        <v>-0.4</v>
      </c>
      <c r="J29" s="9" cm="1">
        <f t="array" aca="1" ref="J29" ca="1">MIN(IF(ResValuesR24&gt;=ROUND(data_Ni1000_TK5000[[#This Row],[Rsonde]],2)-IF(data_Ni1000_TK5000[[#This Row],[Rsonde]]=MIN(data_Ni1000_TK5000[Rsonde]),100,$D28),ResValuesR24))</f>
        <v>7.5</v>
      </c>
      <c r="K29" s="9">
        <f ca="1">ROUND(data_Ni1000_TK5000[[#This Row],[RaddHigh]]+(IF(data_Ni1000_TK5000[[#This Row],[Rsonde]]=MIN(data_Ni1000_TK5000[Rsonde]),0,$D28)-data_Ni1000_TK5000[[#This Row],[Rsonde]]),2)</f>
        <v>0.3</v>
      </c>
      <c r="L29" s="2" cm="1">
        <f t="array" aca="1" ref="L29" ca="1">IF(INDIRECT(RefCell_R77),(data_Ni1000_TK5000[[#This Row],[Rpcb]]*INDIRECT(RefCell_R77))/(data_Ni1000_TK5000[[#This Row],[Rpcb]]+INDIRECT(RefCell_R77)),data_Ni1000_TK5000[[#This Row],[Rpcb]])</f>
        <v>1109.5999999999995</v>
      </c>
      <c r="N29">
        <v>30</v>
      </c>
      <c r="O29">
        <v>1137.6199999999999</v>
      </c>
      <c r="P29">
        <v>1142.3699999999999</v>
      </c>
      <c r="Q29">
        <v>1147.1400000000001</v>
      </c>
      <c r="R29">
        <v>1151.92</v>
      </c>
      <c r="S29">
        <v>1156.72</v>
      </c>
      <c r="T29">
        <v>1161.52</v>
      </c>
      <c r="U29">
        <v>1166.3399999999999</v>
      </c>
      <c r="V29">
        <v>1171.1600000000001</v>
      </c>
      <c r="W29">
        <v>1176</v>
      </c>
      <c r="X29">
        <v>1180.8499999999999</v>
      </c>
    </row>
    <row r="30" spans="1:24" x14ac:dyDescent="0.25">
      <c r="A30" t="s">
        <v>44</v>
      </c>
      <c r="B30" s="8">
        <v>25.5</v>
      </c>
      <c r="C30" s="9">
        <v>1116.345</v>
      </c>
      <c r="D30" s="9" cm="1">
        <f t="array" aca="1" ref="D30" ca="1">INDIRECT(RefCell_Rpot)+SUM($G$3:G30)</f>
        <v>1116.3999999999992</v>
      </c>
      <c r="E30" s="9">
        <f ca="1">data_Ni1000_TK5000[[#This Row],[Rpcb]]-data_Ni1000_TK5000[[#This Row],[Rsonde]]</f>
        <v>5.499999999915417E-2</v>
      </c>
      <c r="F30" s="4">
        <f ca="1">data_Ni1000_TK5000[[#This Row],[Diff R]]/data_Ni1000_TK5000[[#This Row],[Rsonde]]</f>
        <v>4.9267923445847087E-5</v>
      </c>
      <c r="G30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30" s="9" cm="1">
        <f t="array" aca="1" ref="H30" ca="1">MAX(IF(ResValuesR24&lt;=ROUND(data_Ni1000_TK5000[[#This Row],[Rsonde]],2)-IF(data_Ni1000_TK5000[[#This Row],[Rsonde]]=MIN(data_Ni1000_TK5000[Rsonde]),100,$D29),ResValuesR24))</f>
        <v>6.2</v>
      </c>
      <c r="I30" s="9">
        <f ca="1">ROUND(data_Ni1000_TK5000[[#This Row],[RaddLow]]+(IF(data_Ni1000_TK5000[[#This Row],[Rsonde]]=MIN(data_Ni1000_TK5000[Rsonde]),0,$D29)-data_Ni1000_TK5000[[#This Row],[Rsonde]]),2)</f>
        <v>-0.55000000000000004</v>
      </c>
      <c r="J30" s="9" cm="1">
        <f t="array" aca="1" ref="J30" ca="1">MIN(IF(ResValuesR24&gt;=ROUND(data_Ni1000_TK5000[[#This Row],[Rsonde]],2)-IF(data_Ni1000_TK5000[[#This Row],[Rsonde]]=MIN(data_Ni1000_TK5000[Rsonde]),100,$D29),ResValuesR24))</f>
        <v>6.8</v>
      </c>
      <c r="K30" s="9">
        <f ca="1">ROUND(data_Ni1000_TK5000[[#This Row],[RaddHigh]]+(IF(data_Ni1000_TK5000[[#This Row],[Rsonde]]=MIN(data_Ni1000_TK5000[Rsonde]),0,$D29)-data_Ni1000_TK5000[[#This Row],[Rsonde]]),2)</f>
        <v>0.05</v>
      </c>
      <c r="L30" s="2" cm="1">
        <f t="array" aca="1" ref="L30" ca="1">IF(INDIRECT(RefCell_R77),(data_Ni1000_TK5000[[#This Row],[Rpcb]]*INDIRECT(RefCell_R77))/(data_Ni1000_TK5000[[#This Row],[Rpcb]]+INDIRECT(RefCell_R77)),data_Ni1000_TK5000[[#This Row],[Rpcb]])</f>
        <v>1116.3999999999992</v>
      </c>
    </row>
    <row r="31" spans="1:24" x14ac:dyDescent="0.25">
      <c r="A31" t="s">
        <v>45</v>
      </c>
      <c r="B31" s="8">
        <v>27</v>
      </c>
      <c r="C31" s="9">
        <v>1123.4100000000001</v>
      </c>
      <c r="D31" s="9" cm="1">
        <f t="array" aca="1" ref="D31" ca="1">INDIRECT(RefCell_Rpot)+SUM($G$3:G31)</f>
        <v>1123.1999999999994</v>
      </c>
      <c r="E31" s="9">
        <f ca="1">data_Ni1000_TK5000[[#This Row],[Rpcb]]-data_Ni1000_TK5000[[#This Row],[Rsonde]]</f>
        <v>-0.2100000000007185</v>
      </c>
      <c r="F31" s="4">
        <f ca="1">data_Ni1000_TK5000[[#This Row],[Diff R]]/data_Ni1000_TK5000[[#This Row],[Rsonde]]</f>
        <v>-1.8693086228600288E-4</v>
      </c>
      <c r="G31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31" s="9" cm="1">
        <f t="array" aca="1" ref="H31" ca="1">MAX(IF(ResValuesR24&lt;=ROUND(data_Ni1000_TK5000[[#This Row],[Rsonde]],2)-IF(data_Ni1000_TK5000[[#This Row],[Rsonde]]=MIN(data_Ni1000_TK5000[Rsonde]),100,$D30),ResValuesR24))</f>
        <v>6.8</v>
      </c>
      <c r="I31" s="9">
        <f ca="1">ROUND(data_Ni1000_TK5000[[#This Row],[RaddLow]]+(IF(data_Ni1000_TK5000[[#This Row],[Rsonde]]=MIN(data_Ni1000_TK5000[Rsonde]),0,$D30)-data_Ni1000_TK5000[[#This Row],[Rsonde]]),2)</f>
        <v>-0.21</v>
      </c>
      <c r="J31" s="9" cm="1">
        <f t="array" aca="1" ref="J31" ca="1">MIN(IF(ResValuesR24&gt;=ROUND(data_Ni1000_TK5000[[#This Row],[Rsonde]],2)-IF(data_Ni1000_TK5000[[#This Row],[Rsonde]]=MIN(data_Ni1000_TK5000[Rsonde]),100,$D30),ResValuesR24))</f>
        <v>7.5</v>
      </c>
      <c r="K31" s="9">
        <f ca="1">ROUND(data_Ni1000_TK5000[[#This Row],[RaddHigh]]+(IF(data_Ni1000_TK5000[[#This Row],[Rsonde]]=MIN(data_Ni1000_TK5000[Rsonde]),0,$D30)-data_Ni1000_TK5000[[#This Row],[Rsonde]]),2)</f>
        <v>0.49</v>
      </c>
      <c r="L31" s="2" cm="1">
        <f t="array" aca="1" ref="L31" ca="1">IF(INDIRECT(RefCell_R77),(data_Ni1000_TK5000[[#This Row],[Rpcb]]*INDIRECT(RefCell_R77))/(data_Ni1000_TK5000[[#This Row],[Rpcb]]+INDIRECT(RefCell_R77)),data_Ni1000_TK5000[[#This Row],[Rpcb]])</f>
        <v>1123.1999999999994</v>
      </c>
    </row>
    <row r="32" spans="1:24" x14ac:dyDescent="0.25">
      <c r="A32" t="s">
        <v>46</v>
      </c>
      <c r="B32" s="8">
        <v>28.5</v>
      </c>
      <c r="C32" s="9">
        <v>1130.5</v>
      </c>
      <c r="D32" s="9" cm="1">
        <f t="array" aca="1" ref="D32" ca="1">INDIRECT(RefCell_Rpot)+SUM($G$3:G32)</f>
        <v>1130.6999999999994</v>
      </c>
      <c r="E32" s="9">
        <f ca="1">data_Ni1000_TK5000[[#This Row],[Rpcb]]-data_Ni1000_TK5000[[#This Row],[Rsonde]]</f>
        <v>0.19999999999936335</v>
      </c>
      <c r="F32" s="4">
        <f ca="1">data_Ni1000_TK5000[[#This Row],[Diff R]]/data_Ni1000_TK5000[[#This Row],[Rsonde]]</f>
        <v>1.7691287041075927E-4</v>
      </c>
      <c r="G32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7.5</v>
      </c>
      <c r="H32" s="9" cm="1">
        <f t="array" aca="1" ref="H32" ca="1">MAX(IF(ResValuesR24&lt;=ROUND(data_Ni1000_TK5000[[#This Row],[Rsonde]],2)-IF(data_Ni1000_TK5000[[#This Row],[Rsonde]]=MIN(data_Ni1000_TK5000[Rsonde]),100,$D31),ResValuesR24))</f>
        <v>6.8</v>
      </c>
      <c r="I32" s="9">
        <f ca="1">ROUND(data_Ni1000_TK5000[[#This Row],[RaddLow]]+(IF(data_Ni1000_TK5000[[#This Row],[Rsonde]]=MIN(data_Ni1000_TK5000[Rsonde]),0,$D31)-data_Ni1000_TK5000[[#This Row],[Rsonde]]),2)</f>
        <v>-0.5</v>
      </c>
      <c r="J32" s="9" cm="1">
        <f t="array" aca="1" ref="J32" ca="1">MIN(IF(ResValuesR24&gt;=ROUND(data_Ni1000_TK5000[[#This Row],[Rsonde]],2)-IF(data_Ni1000_TK5000[[#This Row],[Rsonde]]=MIN(data_Ni1000_TK5000[Rsonde]),100,$D31),ResValuesR24))</f>
        <v>7.5</v>
      </c>
      <c r="K32" s="9">
        <f ca="1">ROUND(data_Ni1000_TK5000[[#This Row],[RaddHigh]]+(IF(data_Ni1000_TK5000[[#This Row],[Rsonde]]=MIN(data_Ni1000_TK5000[Rsonde]),0,$D31)-data_Ni1000_TK5000[[#This Row],[Rsonde]]),2)</f>
        <v>0.2</v>
      </c>
      <c r="L32" s="2" cm="1">
        <f t="array" aca="1" ref="L32" ca="1">IF(INDIRECT(RefCell_R77),(data_Ni1000_TK5000[[#This Row],[Rpcb]]*INDIRECT(RefCell_R77))/(data_Ni1000_TK5000[[#This Row],[Rpcb]]+INDIRECT(RefCell_R77)),data_Ni1000_TK5000[[#This Row],[Rpcb]])</f>
        <v>1130.6999999999994</v>
      </c>
    </row>
    <row r="33" spans="1:12" x14ac:dyDescent="0.25">
      <c r="A33" t="s">
        <v>47</v>
      </c>
      <c r="B33" s="8">
        <v>30</v>
      </c>
      <c r="C33" s="9">
        <v>1137.6199999999999</v>
      </c>
      <c r="D33" s="9" cm="1">
        <f t="array" aca="1" ref="D33" ca="1">INDIRECT(RefCell_Rpot)+SUM($G$3:G33)</f>
        <v>1137.4999999999991</v>
      </c>
      <c r="E33" s="9">
        <f ca="1">data_Ni1000_TK5000[[#This Row],[Rpcb]]-data_Ni1000_TK5000[[#This Row],[Rsonde]]</f>
        <v>-0.12000000000080036</v>
      </c>
      <c r="F33" s="4">
        <f ca="1">data_Ni1000_TK5000[[#This Row],[Diff R]]/data_Ni1000_TK5000[[#This Row],[Rsonde]]</f>
        <v>-1.0548337757845359E-4</v>
      </c>
      <c r="G33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33" s="9" cm="1">
        <f t="array" aca="1" ref="H33" ca="1">MAX(IF(ResValuesR24&lt;=ROUND(data_Ni1000_TK5000[[#This Row],[Rsonde]],2)-IF(data_Ni1000_TK5000[[#This Row],[Rsonde]]=MIN(data_Ni1000_TK5000[Rsonde]),100,$D32),ResValuesR24))</f>
        <v>6.8</v>
      </c>
      <c r="I33" s="9">
        <f ca="1">ROUND(data_Ni1000_TK5000[[#This Row],[RaddLow]]+(IF(data_Ni1000_TK5000[[#This Row],[Rsonde]]=MIN(data_Ni1000_TK5000[Rsonde]),0,$D32)-data_Ni1000_TK5000[[#This Row],[Rsonde]]),2)</f>
        <v>-0.12</v>
      </c>
      <c r="J33" s="9" cm="1">
        <f t="array" aca="1" ref="J33" ca="1">MIN(IF(ResValuesR24&gt;=ROUND(data_Ni1000_TK5000[[#This Row],[Rsonde]],2)-IF(data_Ni1000_TK5000[[#This Row],[Rsonde]]=MIN(data_Ni1000_TK5000[Rsonde]),100,$D32),ResValuesR24))</f>
        <v>7.5</v>
      </c>
      <c r="K33" s="9">
        <f ca="1">ROUND(data_Ni1000_TK5000[[#This Row],[RaddHigh]]+(IF(data_Ni1000_TK5000[[#This Row],[Rsonde]]=MIN(data_Ni1000_TK5000[Rsonde]),0,$D32)-data_Ni1000_TK5000[[#This Row],[Rsonde]]),2)</f>
        <v>0.57999999999999996</v>
      </c>
      <c r="L33" s="2" cm="1">
        <f t="array" aca="1" ref="L33" ca="1">IF(INDIRECT(RefCell_R77),(data_Ni1000_TK5000[[#This Row],[Rpcb]]*INDIRECT(RefCell_R77))/(data_Ni1000_TK5000[[#This Row],[Rpcb]]+INDIRECT(RefCell_R77)),data_Ni1000_TK5000[[#This Row],[Rpcb]])</f>
        <v>1137.4999999999991</v>
      </c>
    </row>
    <row r="34" spans="1:12" x14ac:dyDescent="0.25">
      <c r="A34" t="s">
        <v>48</v>
      </c>
      <c r="B34" s="8">
        <v>31.5</v>
      </c>
      <c r="C34" s="9">
        <v>1144.7550000000001</v>
      </c>
      <c r="D34" s="9" cm="1">
        <f t="array" aca="1" ref="D34" ca="1">INDIRECT(RefCell_Rpot)+SUM($G$3:G34)</f>
        <v>1144.9999999999991</v>
      </c>
      <c r="E34" s="9">
        <f ca="1">data_Ni1000_TK5000[[#This Row],[Rpcb]]-data_Ni1000_TK5000[[#This Row],[Rsonde]]</f>
        <v>0.24499999999898137</v>
      </c>
      <c r="F34" s="4">
        <f ca="1">data_Ni1000_TK5000[[#This Row],[Diff R]]/data_Ni1000_TK5000[[#This Row],[Rsonde]]</f>
        <v>2.1401959371130185E-4</v>
      </c>
      <c r="G34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7.5</v>
      </c>
      <c r="H34" s="9" cm="1">
        <f t="array" aca="1" ref="H34" ca="1">MAX(IF(ResValuesR24&lt;=ROUND(data_Ni1000_TK5000[[#This Row],[Rsonde]],2)-IF(data_Ni1000_TK5000[[#This Row],[Rsonde]]=MIN(data_Ni1000_TK5000[Rsonde]),100,$D33),ResValuesR24))</f>
        <v>6.8</v>
      </c>
      <c r="I34" s="9">
        <f ca="1">ROUND(data_Ni1000_TK5000[[#This Row],[RaddLow]]+(IF(data_Ni1000_TK5000[[#This Row],[Rsonde]]=MIN(data_Ni1000_TK5000[Rsonde]),0,$D33)-data_Ni1000_TK5000[[#This Row],[Rsonde]]),2)</f>
        <v>-0.46</v>
      </c>
      <c r="J34" s="9" cm="1">
        <f t="array" aca="1" ref="J34" ca="1">MIN(IF(ResValuesR24&gt;=ROUND(data_Ni1000_TK5000[[#This Row],[Rsonde]],2)-IF(data_Ni1000_TK5000[[#This Row],[Rsonde]]=MIN(data_Ni1000_TK5000[Rsonde]),100,$D33),ResValuesR24))</f>
        <v>7.5</v>
      </c>
      <c r="K34" s="9">
        <f ca="1">ROUND(data_Ni1000_TK5000[[#This Row],[RaddHigh]]+(IF(data_Ni1000_TK5000[[#This Row],[Rsonde]]=MIN(data_Ni1000_TK5000[Rsonde]),0,$D33)-data_Ni1000_TK5000[[#This Row],[Rsonde]]),2)</f>
        <v>0.24</v>
      </c>
      <c r="L34" s="2" cm="1">
        <f t="array" aca="1" ref="L34" ca="1">IF(INDIRECT(RefCell_R77),(data_Ni1000_TK5000[[#This Row],[Rpcb]]*INDIRECT(RefCell_R77))/(data_Ni1000_TK5000[[#This Row],[Rpcb]]+INDIRECT(RefCell_R77)),data_Ni1000_TK5000[[#This Row],[Rpcb]])</f>
        <v>1144.9999999999991</v>
      </c>
    </row>
  </sheetData>
  <mergeCells count="1">
    <mergeCell ref="A1:L1"/>
  </mergeCells>
  <conditionalFormatting sqref="F3:F34">
    <cfRule type="cellIs" dxfId="195" priority="1" operator="between">
      <formula>-0.005</formula>
      <formula>0.005</formula>
    </cfRule>
  </conditionalFormatting>
  <dataValidations count="1">
    <dataValidation type="list" allowBlank="1" showInputMessage="1" showErrorMessage="1" sqref="O3" xr:uid="{28F2BEF6-CC00-4458-A04E-D5084626CD36}">
      <formula1>INDIRECT("TableR77[R]")</formula1>
    </dataValidation>
  </dataValidations>
  <hyperlinks>
    <hyperlink ref="N19" r:id="rId1" xr:uid="{37D3F51F-40F4-49EC-A73F-7B56C15FBD13}"/>
    <hyperlink ref="Q3" r:id="rId2" display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xr:uid="{ACDE1BBB-911C-4127-AD05-5A970E279CC2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6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7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8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9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10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11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12" name="Button 7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66E56-E70E-4E6E-9937-7AC905C1C3D8}">
  <sheetPr codeName="Feuil6"/>
  <dimension ref="A1:X34"/>
  <sheetViews>
    <sheetView workbookViewId="0">
      <selection activeCell="B23" sqref="B23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7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7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2">
        <f>ROUND(C3-G3,0)</f>
        <v>99</v>
      </c>
      <c r="P2" s="7" t="s">
        <v>113</v>
      </c>
    </row>
    <row r="3" spans="1:17" x14ac:dyDescent="0.25">
      <c r="A3" t="s">
        <v>17</v>
      </c>
      <c r="B3" s="8">
        <v>-15</v>
      </c>
      <c r="C3" s="9">
        <v>919.22</v>
      </c>
      <c r="D3" s="9" cm="1">
        <f t="array" aca="1" ref="D3" ca="1">INDIRECT(RefCell_Rpot)+SUM($G$3:G3)</f>
        <v>918.99999999999989</v>
      </c>
      <c r="E3" s="9">
        <f ca="1">data_Ni1000_TK6180[[#This Row],[Rpcb]]-data_Ni1000_TK6180[[#This Row],[Rsonde]]</f>
        <v>-0.22000000000014097</v>
      </c>
      <c r="F3" s="4">
        <f ca="1">data_Ni1000_TK6180[[#This Row],[Diff R]]/data_Ni1000_TK6180[[#This Row],[Rsonde]]</f>
        <v>-2.3933334783853808E-4</v>
      </c>
      <c r="G3" s="9">
        <f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819.99999999999989</v>
      </c>
      <c r="H3" s="9" cm="1">
        <f t="array" ref="H3">MAX(IF(ResValuesR24&lt;=ROUND(data_Ni1000_TK6180[[#This Row],[Rsonde]],2)-IF(data_Ni1000_TK6180[[#This Row],[Rsonde]]=MIN(data_Ni1000_TK6180[Rsonde]),100,$D2),ResValuesR24))</f>
        <v>750</v>
      </c>
      <c r="I3" s="9">
        <f>ROUND(data_Ni1000_TK6180[[#This Row],[RaddLow]]+(IF(data_Ni1000_TK6180[[#This Row],[Rsonde]]=MIN(data_Ni1000_TK6180[Rsonde]),0,$D2)-data_Ni1000_TK6180[[#This Row],[Rsonde]]),2)</f>
        <v>-169.22</v>
      </c>
      <c r="J3" s="9" cm="1">
        <f t="array" ref="J3">MIN(IF(ResValuesR24&gt;=ROUND(data_Ni1000_TK6180[[#This Row],[Rsonde]],2)-IF(data_Ni1000_TK6180[[#This Row],[Rsonde]]=MIN(data_Ni1000_TK6180[Rsonde]),100,$D2),ResValuesR24))</f>
        <v>819.99999999999989</v>
      </c>
      <c r="K3" s="9">
        <f>ROUND(data_Ni1000_TK6180[[#This Row],[RaddHigh]]+(IF(data_Ni1000_TK6180[[#This Row],[Rsonde]]=MIN(data_Ni1000_TK6180[Rsonde]),0,$D2)-data_Ni1000_TK6180[[#This Row],[Rsonde]]),2)</f>
        <v>-99.22</v>
      </c>
      <c r="L3" s="2" cm="1">
        <f t="array" aca="1" ref="L3" ca="1">IF(INDIRECT(RefCell_R77),(data_Ni1000_TK6180[[#This Row],[Rpcb]]*INDIRECT(RefCell_R77))/(data_Ni1000_TK6180[[#This Row],[Rpcb]]+INDIRECT(RefCell_R77)),data_Ni1000_TK6180[[#This Row],[Rpcb]])</f>
        <v>918.99999999999989</v>
      </c>
      <c r="N3" t="s">
        <v>112</v>
      </c>
      <c r="P3" s="7" t="s">
        <v>113</v>
      </c>
      <c r="Q3" s="11" t="s">
        <v>157</v>
      </c>
    </row>
    <row r="4" spans="1:17" x14ac:dyDescent="0.25">
      <c r="A4" t="s">
        <v>18</v>
      </c>
      <c r="B4" s="8">
        <v>-13.5</v>
      </c>
      <c r="C4" s="9">
        <v>927.16499999999996</v>
      </c>
      <c r="D4" s="9" cm="1">
        <f t="array" aca="1" ref="D4" ca="1">INDIRECT(RefCell_Rpot)+SUM($G$3:G4)</f>
        <v>927.19999999999993</v>
      </c>
      <c r="E4" s="9">
        <f ca="1">data_Ni1000_TK6180[[#This Row],[Rpcb]]-data_Ni1000_TK6180[[#This Row],[Rsonde]]</f>
        <v>3.4999999999968168E-2</v>
      </c>
      <c r="F4" s="4">
        <f ca="1">data_Ni1000_TK6180[[#This Row],[Diff R]]/data_Ni1000_TK6180[[#This Row],[Rsonde]]</f>
        <v>3.7749483640957294E-5</v>
      </c>
      <c r="G4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4" s="9" cm="1">
        <f t="array" aca="1" ref="H4" ca="1">MAX(IF(ResValuesR24&lt;=ROUND(data_Ni1000_TK6180[[#This Row],[Rsonde]],2)-IF(data_Ni1000_TK6180[[#This Row],[Rsonde]]=MIN(data_Ni1000_TK6180[Rsonde]),100,$D3),ResValuesR24))</f>
        <v>7.5</v>
      </c>
      <c r="I4" s="9">
        <f ca="1">ROUND(data_Ni1000_TK6180[[#This Row],[RaddLow]]+(IF(data_Ni1000_TK6180[[#This Row],[Rsonde]]=MIN(data_Ni1000_TK6180[Rsonde]),0,$D3)-data_Ni1000_TK6180[[#This Row],[Rsonde]]),2)</f>
        <v>-0.67</v>
      </c>
      <c r="J4" s="9" cm="1">
        <f t="array" aca="1" ref="J4" ca="1">MIN(IF(ResValuesR24&gt;=ROUND(data_Ni1000_TK6180[[#This Row],[Rsonde]],2)-IF(data_Ni1000_TK6180[[#This Row],[Rsonde]]=MIN(data_Ni1000_TK6180[Rsonde]),100,$D3),ResValuesR24))</f>
        <v>8.1999999999999993</v>
      </c>
      <c r="K4" s="9">
        <f ca="1">ROUND(data_Ni1000_TK6180[[#This Row],[RaddHigh]]+(IF(data_Ni1000_TK6180[[#This Row],[Rsonde]]=MIN(data_Ni1000_TK6180[Rsonde]),0,$D3)-data_Ni1000_TK6180[[#This Row],[Rsonde]]),2)</f>
        <v>0.03</v>
      </c>
      <c r="L4" s="2" cm="1">
        <f t="array" aca="1" ref="L4" ca="1">IF(INDIRECT(RefCell_R77),(data_Ni1000_TK6180[[#This Row],[Rpcb]]*INDIRECT(RefCell_R77))/(data_Ni1000_TK6180[[#This Row],[Rpcb]]+INDIRECT(RefCell_R77)),data_Ni1000_TK6180[[#This Row],[Rpcb]])</f>
        <v>927.19999999999993</v>
      </c>
    </row>
    <row r="5" spans="1:17" x14ac:dyDescent="0.25">
      <c r="A5" t="s">
        <v>19</v>
      </c>
      <c r="B5" s="8">
        <v>-12</v>
      </c>
      <c r="C5" s="9">
        <v>935.14</v>
      </c>
      <c r="D5" s="9" cm="1">
        <f t="array" aca="1" ref="D5" ca="1">INDIRECT(RefCell_Rpot)+SUM($G$3:G5)</f>
        <v>935.4</v>
      </c>
      <c r="E5" s="9">
        <f ca="1">data_Ni1000_TK6180[[#This Row],[Rpcb]]-data_Ni1000_TK6180[[#This Row],[Rsonde]]</f>
        <v>0.25999999999999091</v>
      </c>
      <c r="F5" s="4">
        <f ca="1">data_Ni1000_TK6180[[#This Row],[Diff R]]/data_Ni1000_TK6180[[#This Row],[Rsonde]]</f>
        <v>2.7803323566523826E-4</v>
      </c>
      <c r="G5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5" s="9" cm="1">
        <f t="array" aca="1" ref="H5" ca="1">MAX(IF(ResValuesR24&lt;=ROUND(data_Ni1000_TK6180[[#This Row],[Rsonde]],2)-IF(data_Ni1000_TK6180[[#This Row],[Rsonde]]=MIN(data_Ni1000_TK6180[Rsonde]),100,$D4),ResValuesR24))</f>
        <v>7.5</v>
      </c>
      <c r="I5" s="9">
        <f ca="1">ROUND(data_Ni1000_TK6180[[#This Row],[RaddLow]]+(IF(data_Ni1000_TK6180[[#This Row],[Rsonde]]=MIN(data_Ni1000_TK6180[Rsonde]),0,$D4)-data_Ni1000_TK6180[[#This Row],[Rsonde]]),2)</f>
        <v>-0.44</v>
      </c>
      <c r="J5" s="9" cm="1">
        <f t="array" aca="1" ref="J5" ca="1">MIN(IF(ResValuesR24&gt;=ROUND(data_Ni1000_TK6180[[#This Row],[Rsonde]],2)-IF(data_Ni1000_TK6180[[#This Row],[Rsonde]]=MIN(data_Ni1000_TK6180[Rsonde]),100,$D4),ResValuesR24))</f>
        <v>8.1999999999999993</v>
      </c>
      <c r="K5" s="9">
        <f ca="1">ROUND(data_Ni1000_TK6180[[#This Row],[RaddHigh]]+(IF(data_Ni1000_TK6180[[#This Row],[Rsonde]]=MIN(data_Ni1000_TK6180[Rsonde]),0,$D4)-data_Ni1000_TK6180[[#This Row],[Rsonde]]),2)</f>
        <v>0.26</v>
      </c>
      <c r="L5" s="2" cm="1">
        <f t="array" aca="1" ref="L5" ca="1">IF(INDIRECT(RefCell_R77),(data_Ni1000_TK6180[[#This Row],[Rpcb]]*INDIRECT(RefCell_R77))/(data_Ni1000_TK6180[[#This Row],[Rpcb]]+INDIRECT(RefCell_R77)),data_Ni1000_TK6180[[#This Row],[Rpcb]])</f>
        <v>935.4</v>
      </c>
      <c r="N5" s="1" t="s">
        <v>215</v>
      </c>
    </row>
    <row r="6" spans="1:17" x14ac:dyDescent="0.25">
      <c r="A6" t="s">
        <v>20</v>
      </c>
      <c r="B6" s="8">
        <v>-10.5</v>
      </c>
      <c r="C6" s="9">
        <v>943.14499999999998</v>
      </c>
      <c r="D6" s="9" cm="1">
        <f t="array" aca="1" ref="D6" ca="1">INDIRECT(RefCell_Rpot)+SUM($G$3:G6)</f>
        <v>942.9</v>
      </c>
      <c r="E6" s="9">
        <f ca="1">data_Ni1000_TK6180[[#This Row],[Rpcb]]-data_Ni1000_TK6180[[#This Row],[Rsonde]]</f>
        <v>-0.24500000000000455</v>
      </c>
      <c r="F6" s="4">
        <f ca="1">data_Ni1000_TK6180[[#This Row],[Diff R]]/data_Ni1000_TK6180[[#This Row],[Rsonde]]</f>
        <v>-2.5976917653171522E-4</v>
      </c>
      <c r="G6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7.5</v>
      </c>
      <c r="H6" s="9" cm="1">
        <f t="array" aca="1" ref="H6" ca="1">MAX(IF(ResValuesR24&lt;=ROUND(data_Ni1000_TK6180[[#This Row],[Rsonde]],2)-IF(data_Ni1000_TK6180[[#This Row],[Rsonde]]=MIN(data_Ni1000_TK6180[Rsonde]),100,$D5),ResValuesR24))</f>
        <v>7.5</v>
      </c>
      <c r="I6" s="9">
        <f ca="1">ROUND(data_Ni1000_TK6180[[#This Row],[RaddLow]]+(IF(data_Ni1000_TK6180[[#This Row],[Rsonde]]=MIN(data_Ni1000_TK6180[Rsonde]),0,$D5)-data_Ni1000_TK6180[[#This Row],[Rsonde]]),2)</f>
        <v>-0.25</v>
      </c>
      <c r="J6" s="9" cm="1">
        <f t="array" aca="1" ref="J6" ca="1">MIN(IF(ResValuesR24&gt;=ROUND(data_Ni1000_TK6180[[#This Row],[Rsonde]],2)-IF(data_Ni1000_TK6180[[#This Row],[Rsonde]]=MIN(data_Ni1000_TK6180[Rsonde]),100,$D5),ResValuesR24))</f>
        <v>8.1999999999999993</v>
      </c>
      <c r="K6" s="9">
        <f ca="1">ROUND(data_Ni1000_TK6180[[#This Row],[RaddHigh]]+(IF(data_Ni1000_TK6180[[#This Row],[Rsonde]]=MIN(data_Ni1000_TK6180[Rsonde]),0,$D5)-data_Ni1000_TK6180[[#This Row],[Rsonde]]),2)</f>
        <v>0.45</v>
      </c>
      <c r="L6" s="2" cm="1">
        <f t="array" aca="1" ref="L6" ca="1">IF(INDIRECT(RefCell_R77),(data_Ni1000_TK6180[[#This Row],[Rpcb]]*INDIRECT(RefCell_R77))/(data_Ni1000_TK6180[[#This Row],[Rpcb]]+INDIRECT(RefCell_R77)),data_Ni1000_TK6180[[#This Row],[Rpcb]])</f>
        <v>942.9</v>
      </c>
      <c r="N6" s="35" t="s">
        <v>131</v>
      </c>
      <c r="O6">
        <f t="shared" ref="O6" si="0">O14 - O11*O7 - O11^3*O8</f>
        <v>4.988604249993106E-2</v>
      </c>
    </row>
    <row r="7" spans="1:17" x14ac:dyDescent="0.25">
      <c r="A7" t="s">
        <v>21</v>
      </c>
      <c r="B7" s="8">
        <v>-9</v>
      </c>
      <c r="C7" s="9">
        <v>951.17</v>
      </c>
      <c r="D7" s="9" cm="1">
        <f t="array" aca="1" ref="D7" ca="1">INDIRECT(RefCell_Rpot)+SUM($G$3:G7)</f>
        <v>951.1</v>
      </c>
      <c r="E7" s="9">
        <f ca="1">data_Ni1000_TK6180[[#This Row],[Rpcb]]-data_Ni1000_TK6180[[#This Row],[Rsonde]]</f>
        <v>-6.9999999999936335E-2</v>
      </c>
      <c r="F7" s="4">
        <f ca="1">data_Ni1000_TK6180[[#This Row],[Diff R]]/data_Ni1000_TK6180[[#This Row],[Rsonde]]</f>
        <v>-7.3593574229566049E-5</v>
      </c>
      <c r="G7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7" s="9" cm="1">
        <f t="array" aca="1" ref="H7" ca="1">MAX(IF(ResValuesR24&lt;=ROUND(data_Ni1000_TK6180[[#This Row],[Rsonde]],2)-IF(data_Ni1000_TK6180[[#This Row],[Rsonde]]=MIN(data_Ni1000_TK6180[Rsonde]),100,$D6),ResValuesR24))</f>
        <v>8.1999999999999993</v>
      </c>
      <c r="I7" s="9">
        <f ca="1">ROUND(data_Ni1000_TK6180[[#This Row],[RaddLow]]+(IF(data_Ni1000_TK6180[[#This Row],[Rsonde]]=MIN(data_Ni1000_TK6180[Rsonde]),0,$D6)-data_Ni1000_TK6180[[#This Row],[Rsonde]]),2)</f>
        <v>-7.0000000000000007E-2</v>
      </c>
      <c r="J7" s="9" cm="1">
        <f t="array" aca="1" ref="J7" ca="1">MIN(IF(ResValuesR24&gt;=ROUND(data_Ni1000_TK6180[[#This Row],[Rsonde]],2)-IF(data_Ni1000_TK6180[[#This Row],[Rsonde]]=MIN(data_Ni1000_TK6180[Rsonde]),100,$D6),ResValuesR24))</f>
        <v>9.1</v>
      </c>
      <c r="K7" s="9">
        <f ca="1">ROUND(data_Ni1000_TK6180[[#This Row],[RaddHigh]]+(IF(data_Ni1000_TK6180[[#This Row],[Rsonde]]=MIN(data_Ni1000_TK6180[Rsonde]),0,$D6)-data_Ni1000_TK6180[[#This Row],[Rsonde]]),2)</f>
        <v>0.83</v>
      </c>
      <c r="L7" s="2" cm="1">
        <f t="array" aca="1" ref="L7" ca="1">IF(INDIRECT(RefCell_R77),(data_Ni1000_TK6180[[#This Row],[Rpcb]]*INDIRECT(RefCell_R77))/(data_Ni1000_TK6180[[#This Row],[Rpcb]]+INDIRECT(RefCell_R77)),data_Ni1000_TK6180[[#This Row],[Rpcb]])</f>
        <v>951.1</v>
      </c>
      <c r="N7" s="35" t="s">
        <v>130</v>
      </c>
      <c r="O7">
        <f t="shared" ref="O7" si="1">(1/(O11-O12)) * (O14-O15-(O11^3-O12^3)*O8)</f>
        <v>-8.8142467210350749E-3</v>
      </c>
    </row>
    <row r="8" spans="1:17" x14ac:dyDescent="0.25">
      <c r="A8" t="s">
        <v>22</v>
      </c>
      <c r="B8" s="8">
        <v>-7.5</v>
      </c>
      <c r="C8" s="9">
        <v>959.24</v>
      </c>
      <c r="D8" s="9" cm="1">
        <f t="array" aca="1" ref="D8" ca="1">INDIRECT(RefCell_Rpot)+SUM($G$3:G8)</f>
        <v>959.30000000000007</v>
      </c>
      <c r="E8" s="9">
        <f ca="1">data_Ni1000_TK6180[[#This Row],[Rpcb]]-data_Ni1000_TK6180[[#This Row],[Rsonde]]</f>
        <v>6.0000000000059117E-2</v>
      </c>
      <c r="F8" s="4">
        <f ca="1">data_Ni1000_TK6180[[#This Row],[Diff R]]/data_Ni1000_TK6180[[#This Row],[Rsonde]]</f>
        <v>6.254951836877019E-5</v>
      </c>
      <c r="G8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8" s="9" cm="1">
        <f t="array" aca="1" ref="H8" ca="1">MAX(IF(ResValuesR24&lt;=ROUND(data_Ni1000_TK6180[[#This Row],[Rsonde]],2)-IF(data_Ni1000_TK6180[[#This Row],[Rsonde]]=MIN(data_Ni1000_TK6180[Rsonde]),100,$D7),ResValuesR24))</f>
        <v>7.5</v>
      </c>
      <c r="I8" s="9">
        <f ca="1">ROUND(data_Ni1000_TK6180[[#This Row],[RaddLow]]+(IF(data_Ni1000_TK6180[[#This Row],[Rsonde]]=MIN(data_Ni1000_TK6180[Rsonde]),0,$D7)-data_Ni1000_TK6180[[#This Row],[Rsonde]]),2)</f>
        <v>-0.64</v>
      </c>
      <c r="J8" s="9" cm="1">
        <f t="array" aca="1" ref="J8" ca="1">MIN(IF(ResValuesR24&gt;=ROUND(data_Ni1000_TK6180[[#This Row],[Rsonde]],2)-IF(data_Ni1000_TK6180[[#This Row],[Rsonde]]=MIN(data_Ni1000_TK6180[Rsonde]),100,$D7),ResValuesR24))</f>
        <v>8.1999999999999993</v>
      </c>
      <c r="K8" s="9">
        <f ca="1">ROUND(data_Ni1000_TK6180[[#This Row],[RaddHigh]]+(IF(data_Ni1000_TK6180[[#This Row],[Rsonde]]=MIN(data_Ni1000_TK6180[Rsonde]),0,$D7)-data_Ni1000_TK6180[[#This Row],[Rsonde]]),2)</f>
        <v>0.06</v>
      </c>
      <c r="L8" s="2" cm="1">
        <f t="array" aca="1" ref="L8" ca="1">IF(INDIRECT(RefCell_R77),(data_Ni1000_TK6180[[#This Row],[Rpcb]]*INDIRECT(RefCell_R77))/(data_Ni1000_TK6180[[#This Row],[Rpcb]]+INDIRECT(RefCell_R77)),data_Ni1000_TK6180[[#This Row],[Rpcb]])</f>
        <v>959.30000000000007</v>
      </c>
      <c r="N8" s="35" t="s">
        <v>129</v>
      </c>
      <c r="O8">
        <f t="shared" ref="O8" si="2">O10/O9</f>
        <v>4.4480990967550234E-5</v>
      </c>
    </row>
    <row r="9" spans="1:17" x14ac:dyDescent="0.25">
      <c r="A9" t="s">
        <v>23</v>
      </c>
      <c r="B9" s="8">
        <v>-6</v>
      </c>
      <c r="C9" s="9">
        <v>967.33</v>
      </c>
      <c r="D9" s="9" cm="1">
        <f t="array" aca="1" ref="D9" ca="1">INDIRECT(RefCell_Rpot)+SUM($G$3:G9)</f>
        <v>967.50000000000011</v>
      </c>
      <c r="E9" s="9">
        <f ca="1">data_Ni1000_TK6180[[#This Row],[Rpcb]]-data_Ni1000_TK6180[[#This Row],[Rsonde]]</f>
        <v>0.17000000000007276</v>
      </c>
      <c r="F9" s="4">
        <f ca="1">data_Ni1000_TK6180[[#This Row],[Diff R]]/data_Ni1000_TK6180[[#This Row],[Rsonde]]</f>
        <v>1.7574147395415499E-4</v>
      </c>
      <c r="G9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9" s="9" cm="1">
        <f t="array" aca="1" ref="H9" ca="1">MAX(IF(ResValuesR24&lt;=ROUND(data_Ni1000_TK6180[[#This Row],[Rsonde]],2)-IF(data_Ni1000_TK6180[[#This Row],[Rsonde]]=MIN(data_Ni1000_TK6180[Rsonde]),100,$D8),ResValuesR24))</f>
        <v>7.5</v>
      </c>
      <c r="I9" s="9">
        <f ca="1">ROUND(data_Ni1000_TK6180[[#This Row],[RaddLow]]+(IF(data_Ni1000_TK6180[[#This Row],[Rsonde]]=MIN(data_Ni1000_TK6180[Rsonde]),0,$D8)-data_Ni1000_TK6180[[#This Row],[Rsonde]]),2)</f>
        <v>-0.53</v>
      </c>
      <c r="J9" s="9" cm="1">
        <f t="array" aca="1" ref="J9" ca="1">MIN(IF(ResValuesR24&gt;=ROUND(data_Ni1000_TK6180[[#This Row],[Rsonde]],2)-IF(data_Ni1000_TK6180[[#This Row],[Rsonde]]=MIN(data_Ni1000_TK6180[Rsonde]),100,$D8),ResValuesR24))</f>
        <v>8.1999999999999993</v>
      </c>
      <c r="K9" s="9">
        <f ca="1">ROUND(data_Ni1000_TK6180[[#This Row],[RaddHigh]]+(IF(data_Ni1000_TK6180[[#This Row],[Rsonde]]=MIN(data_Ni1000_TK6180[Rsonde]),0,$D8)-data_Ni1000_TK6180[[#This Row],[Rsonde]]),2)</f>
        <v>0.17</v>
      </c>
      <c r="L9" s="2" cm="1">
        <f t="array" aca="1" ref="L9" ca="1">IF(INDIRECT(RefCell_R77),(data_Ni1000_TK6180[[#This Row],[Rpcb]]*INDIRECT(RefCell_R77))/(data_Ni1000_TK6180[[#This Row],[Rpcb]]+INDIRECT(RefCell_R77)),data_Ni1000_TK6180[[#This Row],[Rpcb]])</f>
        <v>967.50000000000011</v>
      </c>
      <c r="N9" s="3" t="s">
        <v>181</v>
      </c>
      <c r="O9">
        <f t="shared" ref="O9" si="3">(O12-O13)/(O11-O12) * (O12^3-O11^3) + (O12^3-O13^3)</f>
        <v>-0.51740344573866537</v>
      </c>
    </row>
    <row r="10" spans="1:17" x14ac:dyDescent="0.25">
      <c r="A10" t="s">
        <v>24</v>
      </c>
      <c r="B10" s="8">
        <v>-4.5</v>
      </c>
      <c r="C10" s="9">
        <v>975.45499999999993</v>
      </c>
      <c r="D10" s="9" cm="1">
        <f t="array" aca="1" ref="D10" ca="1">INDIRECT(RefCell_Rpot)+SUM($G$3:G10)</f>
        <v>975.70000000000016</v>
      </c>
      <c r="E10" s="9">
        <f ca="1">data_Ni1000_TK6180[[#This Row],[Rpcb]]-data_Ni1000_TK6180[[#This Row],[Rsonde]]</f>
        <v>0.24500000000023192</v>
      </c>
      <c r="F10" s="4">
        <f ca="1">data_Ni1000_TK6180[[#This Row],[Diff R]]/data_Ni1000_TK6180[[#This Row],[Rsonde]]</f>
        <v>2.5116484102314502E-4</v>
      </c>
      <c r="G10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0" s="9" cm="1">
        <f t="array" aca="1" ref="H10" ca="1">MAX(IF(ResValuesR24&lt;=ROUND(data_Ni1000_TK6180[[#This Row],[Rsonde]],2)-IF(data_Ni1000_TK6180[[#This Row],[Rsonde]]=MIN(data_Ni1000_TK6180[Rsonde]),100,$D9),ResValuesR24))</f>
        <v>7.5</v>
      </c>
      <c r="I10" s="9">
        <f ca="1">ROUND(data_Ni1000_TK6180[[#This Row],[RaddLow]]+(IF(data_Ni1000_TK6180[[#This Row],[Rsonde]]=MIN(data_Ni1000_TK6180[Rsonde]),0,$D9)-data_Ni1000_TK6180[[#This Row],[Rsonde]]),2)</f>
        <v>-0.45</v>
      </c>
      <c r="J10" s="9" cm="1">
        <f t="array" aca="1" ref="J10" ca="1">MIN(IF(ResValuesR24&gt;=ROUND(data_Ni1000_TK6180[[#This Row],[Rsonde]],2)-IF(data_Ni1000_TK6180[[#This Row],[Rsonde]]=MIN(data_Ni1000_TK6180[Rsonde]),100,$D9),ResValuesR24))</f>
        <v>8.1999999999999993</v>
      </c>
      <c r="K10" s="9">
        <f ca="1">ROUND(data_Ni1000_TK6180[[#This Row],[RaddHigh]]+(IF(data_Ni1000_TK6180[[#This Row],[Rsonde]]=MIN(data_Ni1000_TK6180[Rsonde]),0,$D9)-data_Ni1000_TK6180[[#This Row],[Rsonde]]),2)</f>
        <v>0.25</v>
      </c>
      <c r="L10" s="2" cm="1">
        <f t="array" aca="1" ref="L10" ca="1">IF(INDIRECT(RefCell_R77),(data_Ni1000_TK6180[[#This Row],[Rpcb]]*INDIRECT(RefCell_R77))/(data_Ni1000_TK6180[[#This Row],[Rpcb]]+INDIRECT(RefCell_R77)),data_Ni1000_TK6180[[#This Row],[Rpcb]])</f>
        <v>975.70000000000016</v>
      </c>
      <c r="N10" s="3" t="s">
        <v>182</v>
      </c>
      <c r="O10">
        <f t="shared" ref="O10" si="4">O15 - O16 - ( (O12-O13)/(O11-O12) ) * (O14-O15)</f>
        <v>-2.3014617996480941E-5</v>
      </c>
    </row>
    <row r="11" spans="1:17" x14ac:dyDescent="0.25">
      <c r="A11" t="s">
        <v>25</v>
      </c>
      <c r="B11" s="8">
        <v>-3</v>
      </c>
      <c r="C11" s="9">
        <v>983.6</v>
      </c>
      <c r="D11" s="9" cm="1">
        <f t="array" aca="1" ref="D11" ca="1">INDIRECT(RefCell_Rpot)+SUM($G$3:G11)</f>
        <v>983.9000000000002</v>
      </c>
      <c r="E11" s="9">
        <f ca="1">data_Ni1000_TK6180[[#This Row],[Rpcb]]-data_Ni1000_TK6180[[#This Row],[Rsonde]]</f>
        <v>0.3000000000001819</v>
      </c>
      <c r="F11" s="4">
        <f ca="1">data_Ni1000_TK6180[[#This Row],[Diff R]]/data_Ni1000_TK6180[[#This Row],[Rsonde]]</f>
        <v>3.0500203334707393E-4</v>
      </c>
      <c r="G11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1" s="9" cm="1">
        <f t="array" aca="1" ref="H11" ca="1">MAX(IF(ResValuesR24&lt;=ROUND(data_Ni1000_TK6180[[#This Row],[Rsonde]],2)-IF(data_Ni1000_TK6180[[#This Row],[Rsonde]]=MIN(data_Ni1000_TK6180[Rsonde]),100,$D10),ResValuesR24))</f>
        <v>7.5</v>
      </c>
      <c r="I11" s="9">
        <f ca="1">ROUND(data_Ni1000_TK6180[[#This Row],[RaddLow]]+(IF(data_Ni1000_TK6180[[#This Row],[Rsonde]]=MIN(data_Ni1000_TK6180[Rsonde]),0,$D10)-data_Ni1000_TK6180[[#This Row],[Rsonde]]),2)</f>
        <v>-0.4</v>
      </c>
      <c r="J11" s="9" cm="1">
        <f t="array" aca="1" ref="J11" ca="1">MIN(IF(ResValuesR24&gt;=ROUND(data_Ni1000_TK6180[[#This Row],[Rsonde]],2)-IF(data_Ni1000_TK6180[[#This Row],[Rsonde]]=MIN(data_Ni1000_TK6180[Rsonde]),100,$D10),ResValuesR24))</f>
        <v>8.1999999999999993</v>
      </c>
      <c r="K11" s="9">
        <f ca="1">ROUND(data_Ni1000_TK6180[[#This Row],[RaddHigh]]+(IF(data_Ni1000_TK6180[[#This Row],[Rsonde]]=MIN(data_Ni1000_TK6180[Rsonde]),0,$D10)-data_Ni1000_TK6180[[#This Row],[Rsonde]]),2)</f>
        <v>0.3</v>
      </c>
      <c r="L11" s="2" cm="1">
        <f t="array" aca="1" ref="L11" ca="1">IF(INDIRECT(RefCell_R77),(data_Ni1000_TK6180[[#This Row],[Rpcb]]*INDIRECT(RefCell_R77))/(data_Ni1000_TK6180[[#This Row],[Rpcb]]+INDIRECT(RefCell_R77)),data_Ni1000_TK6180[[#This Row],[Rpcb]])</f>
        <v>983.9000000000002</v>
      </c>
      <c r="N11" s="3" t="s">
        <v>178</v>
      </c>
      <c r="O11">
        <f>LN(C3)</f>
        <v>6.8235254843483215</v>
      </c>
    </row>
    <row r="12" spans="1:17" x14ac:dyDescent="0.25">
      <c r="A12" t="s">
        <v>26</v>
      </c>
      <c r="B12" s="8">
        <v>-1.5</v>
      </c>
      <c r="C12" s="9">
        <v>991.79</v>
      </c>
      <c r="D12" s="9" cm="1">
        <f t="array" aca="1" ref="D12" ca="1">INDIRECT(RefCell_Rpot)+SUM($G$3:G12)</f>
        <v>992.10000000000025</v>
      </c>
      <c r="E12" s="9">
        <f ca="1">data_Ni1000_TK6180[[#This Row],[Rpcb]]-data_Ni1000_TK6180[[#This Row],[Rsonde]]</f>
        <v>0.31000000000028649</v>
      </c>
      <c r="F12" s="4">
        <f ca="1">data_Ni1000_TK6180[[#This Row],[Diff R]]/data_Ni1000_TK6180[[#This Row],[Rsonde]]</f>
        <v>3.1256616824154961E-4</v>
      </c>
      <c r="G12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2" s="9" cm="1">
        <f t="array" aca="1" ref="H12" ca="1">MAX(IF(ResValuesR24&lt;=ROUND(data_Ni1000_TK6180[[#This Row],[Rsonde]],2)-IF(data_Ni1000_TK6180[[#This Row],[Rsonde]]=MIN(data_Ni1000_TK6180[Rsonde]),100,$D11),ResValuesR24))</f>
        <v>7.5</v>
      </c>
      <c r="I12" s="9">
        <f ca="1">ROUND(data_Ni1000_TK6180[[#This Row],[RaddLow]]+(IF(data_Ni1000_TK6180[[#This Row],[Rsonde]]=MIN(data_Ni1000_TK6180[Rsonde]),0,$D11)-data_Ni1000_TK6180[[#This Row],[Rsonde]]),2)</f>
        <v>-0.39</v>
      </c>
      <c r="J12" s="9" cm="1">
        <f t="array" aca="1" ref="J12" ca="1">MIN(IF(ResValuesR24&gt;=ROUND(data_Ni1000_TK6180[[#This Row],[Rsonde]],2)-IF(data_Ni1000_TK6180[[#This Row],[Rsonde]]=MIN(data_Ni1000_TK6180[Rsonde]),100,$D11),ResValuesR24))</f>
        <v>8.1999999999999993</v>
      </c>
      <c r="K12" s="9">
        <f ca="1">ROUND(data_Ni1000_TK6180[[#This Row],[RaddHigh]]+(IF(data_Ni1000_TK6180[[#This Row],[Rsonde]]=MIN(data_Ni1000_TK6180[Rsonde]),0,$D11)-data_Ni1000_TK6180[[#This Row],[Rsonde]]),2)</f>
        <v>0.31</v>
      </c>
      <c r="L12" s="2" cm="1">
        <f t="array" aca="1" ref="L12" ca="1">IF(INDIRECT(RefCell_R77),(data_Ni1000_TK6180[[#This Row],[Rpcb]]*INDIRECT(RefCell_R77))/(data_Ni1000_TK6180[[#This Row],[Rpcb]]+INDIRECT(RefCell_R77)),data_Ni1000_TK6180[[#This Row],[Rpcb]])</f>
        <v>992.10000000000025</v>
      </c>
      <c r="N12" s="3" t="s">
        <v>179</v>
      </c>
      <c r="O12">
        <f>LN(C17)</f>
        <v>6.9403676667096139</v>
      </c>
    </row>
    <row r="13" spans="1:17" x14ac:dyDescent="0.25">
      <c r="A13" t="s">
        <v>27</v>
      </c>
      <c r="B13" s="8">
        <v>0</v>
      </c>
      <c r="C13" s="9">
        <v>1000</v>
      </c>
      <c r="D13" s="9" cm="1">
        <f t="array" aca="1" ref="D13" ca="1">INDIRECT(RefCell_Rpot)+SUM($G$3:G13)</f>
        <v>1000.3000000000003</v>
      </c>
      <c r="E13" s="9">
        <f ca="1">data_Ni1000_TK6180[[#This Row],[Rpcb]]-data_Ni1000_TK6180[[#This Row],[Rsonde]]</f>
        <v>0.30000000000029559</v>
      </c>
      <c r="F13" s="4">
        <f ca="1">data_Ni1000_TK6180[[#This Row],[Diff R]]/data_Ni1000_TK6180[[#This Row],[Rsonde]]</f>
        <v>3.0000000000029558E-4</v>
      </c>
      <c r="G13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3" s="9" cm="1">
        <f t="array" aca="1" ref="H13" ca="1">MAX(IF(ResValuesR24&lt;=ROUND(data_Ni1000_TK6180[[#This Row],[Rsonde]],2)-IF(data_Ni1000_TK6180[[#This Row],[Rsonde]]=MIN(data_Ni1000_TK6180[Rsonde]),100,$D12),ResValuesR24))</f>
        <v>7.5</v>
      </c>
      <c r="I13" s="9">
        <f ca="1">ROUND(data_Ni1000_TK6180[[#This Row],[RaddLow]]+(IF(data_Ni1000_TK6180[[#This Row],[Rsonde]]=MIN(data_Ni1000_TK6180[Rsonde]),0,$D12)-data_Ni1000_TK6180[[#This Row],[Rsonde]]),2)</f>
        <v>-0.4</v>
      </c>
      <c r="J13" s="9" cm="1">
        <f t="array" aca="1" ref="J13" ca="1">MIN(IF(ResValuesR24&gt;=ROUND(data_Ni1000_TK6180[[#This Row],[Rsonde]],2)-IF(data_Ni1000_TK6180[[#This Row],[Rsonde]]=MIN(data_Ni1000_TK6180[Rsonde]),100,$D12),ResValuesR24))</f>
        <v>8.1999999999999993</v>
      </c>
      <c r="K13" s="9">
        <f ca="1">ROUND(data_Ni1000_TK6180[[#This Row],[RaddHigh]]+(IF(data_Ni1000_TK6180[[#This Row],[Rsonde]]=MIN(data_Ni1000_TK6180[Rsonde]),0,$D12)-data_Ni1000_TK6180[[#This Row],[Rsonde]]),2)</f>
        <v>0.3</v>
      </c>
      <c r="L13" s="2" cm="1">
        <f t="array" aca="1" ref="L13" ca="1">IF(INDIRECT(RefCell_R77),(data_Ni1000_TK6180[[#This Row],[Rpcb]]*INDIRECT(RefCell_R77))/(data_Ni1000_TK6180[[#This Row],[Rpcb]]+INDIRECT(RefCell_R77)),data_Ni1000_TK6180[[#This Row],[Rpcb]])</f>
        <v>1000.3000000000003</v>
      </c>
      <c r="N13" s="3" t="s">
        <v>180</v>
      </c>
      <c r="O13">
        <f>LN(C31)</f>
        <v>7.0500878275597287</v>
      </c>
    </row>
    <row r="14" spans="1:17" x14ac:dyDescent="0.25">
      <c r="A14" t="s">
        <v>28</v>
      </c>
      <c r="B14" s="8">
        <v>1.5</v>
      </c>
      <c r="C14" s="9">
        <v>1008.245</v>
      </c>
      <c r="D14" s="9" cm="1">
        <f t="array" aca="1" ref="D14" ca="1">INDIRECT(RefCell_Rpot)+SUM($G$3:G14)</f>
        <v>1008.5000000000003</v>
      </c>
      <c r="E14" s="9">
        <f ca="1">data_Ni1000_TK6180[[#This Row],[Rpcb]]-data_Ni1000_TK6180[[#This Row],[Rsonde]]</f>
        <v>0.25500000000033651</v>
      </c>
      <c r="F14" s="4">
        <f ca="1">data_Ni1000_TK6180[[#This Row],[Diff R]]/data_Ni1000_TK6180[[#This Row],[Rsonde]]</f>
        <v>2.5291471814919639E-4</v>
      </c>
      <c r="G14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4" s="9" cm="1">
        <f t="array" aca="1" ref="H14" ca="1">MAX(IF(ResValuesR24&lt;=ROUND(data_Ni1000_TK6180[[#This Row],[Rsonde]],2)-IF(data_Ni1000_TK6180[[#This Row],[Rsonde]]=MIN(data_Ni1000_TK6180[Rsonde]),100,$D13),ResValuesR24))</f>
        <v>7.5</v>
      </c>
      <c r="I14" s="9">
        <f ca="1">ROUND(data_Ni1000_TK6180[[#This Row],[RaddLow]]+(IF(data_Ni1000_TK6180[[#This Row],[Rsonde]]=MIN(data_Ni1000_TK6180[Rsonde]),0,$D13)-data_Ni1000_TK6180[[#This Row],[Rsonde]]),2)</f>
        <v>-0.44</v>
      </c>
      <c r="J14" s="9" cm="1">
        <f t="array" aca="1" ref="J14" ca="1">MIN(IF(ResValuesR24&gt;=ROUND(data_Ni1000_TK6180[[#This Row],[Rsonde]],2)-IF(data_Ni1000_TK6180[[#This Row],[Rsonde]]=MIN(data_Ni1000_TK6180[Rsonde]),100,$D13),ResValuesR24))</f>
        <v>8.1999999999999993</v>
      </c>
      <c r="K14" s="9">
        <f ca="1">ROUND(data_Ni1000_TK6180[[#This Row],[RaddHigh]]+(IF(data_Ni1000_TK6180[[#This Row],[Rsonde]]=MIN(data_Ni1000_TK6180[Rsonde]),0,$D13)-data_Ni1000_TK6180[[#This Row],[Rsonde]]),2)</f>
        <v>0.26</v>
      </c>
      <c r="L14" s="2" cm="1">
        <f t="array" aca="1" ref="L14" ca="1">IF(INDIRECT(RefCell_R77),(data_Ni1000_TK6180[[#This Row],[Rpcb]]*INDIRECT(RefCell_R77))/(data_Ni1000_TK6180[[#This Row],[Rpcb]]+INDIRECT(RefCell_R77)),data_Ni1000_TK6180[[#This Row],[Rpcb]])</f>
        <v>1008.5000000000003</v>
      </c>
      <c r="N14" s="3" t="s">
        <v>175</v>
      </c>
      <c r="O14">
        <f>1/(B3+273.15)</f>
        <v>3.8737168312996321E-3</v>
      </c>
    </row>
    <row r="15" spans="1:17" x14ac:dyDescent="0.25">
      <c r="A15" t="s">
        <v>29</v>
      </c>
      <c r="B15" s="8">
        <v>3</v>
      </c>
      <c r="C15" s="9">
        <v>1016.51</v>
      </c>
      <c r="D15" s="9" cm="1">
        <f t="array" aca="1" ref="D15" ca="1">INDIRECT(RefCell_Rpot)+SUM($G$3:G15)</f>
        <v>1016.7000000000004</v>
      </c>
      <c r="E15" s="9">
        <f ca="1">data_Ni1000_TK6180[[#This Row],[Rpcb]]-data_Ni1000_TK6180[[#This Row],[Rsonde]]</f>
        <v>0.19000000000039563</v>
      </c>
      <c r="F15" s="4">
        <f ca="1">data_Ni1000_TK6180[[#This Row],[Diff R]]/data_Ni1000_TK6180[[#This Row],[Rsonde]]</f>
        <v>1.869140490505707E-4</v>
      </c>
      <c r="G15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5" s="9" cm="1">
        <f t="array" aca="1" ref="H15" ca="1">MAX(IF(ResValuesR24&lt;=ROUND(data_Ni1000_TK6180[[#This Row],[Rsonde]],2)-IF(data_Ni1000_TK6180[[#This Row],[Rsonde]]=MIN(data_Ni1000_TK6180[Rsonde]),100,$D14),ResValuesR24))</f>
        <v>7.5</v>
      </c>
      <c r="I15" s="9">
        <f ca="1">ROUND(data_Ni1000_TK6180[[#This Row],[RaddLow]]+(IF(data_Ni1000_TK6180[[#This Row],[Rsonde]]=MIN(data_Ni1000_TK6180[Rsonde]),0,$D14)-data_Ni1000_TK6180[[#This Row],[Rsonde]]),2)</f>
        <v>-0.51</v>
      </c>
      <c r="J15" s="9" cm="1">
        <f t="array" aca="1" ref="J15" ca="1">MIN(IF(ResValuesR24&gt;=ROUND(data_Ni1000_TK6180[[#This Row],[Rsonde]],2)-IF(data_Ni1000_TK6180[[#This Row],[Rsonde]]=MIN(data_Ni1000_TK6180[Rsonde]),100,$D14),ResValuesR24))</f>
        <v>8.1999999999999993</v>
      </c>
      <c r="K15" s="9">
        <f ca="1">ROUND(data_Ni1000_TK6180[[#This Row],[RaddHigh]]+(IF(data_Ni1000_TK6180[[#This Row],[Rsonde]]=MIN(data_Ni1000_TK6180[Rsonde]),0,$D14)-data_Ni1000_TK6180[[#This Row],[Rsonde]]),2)</f>
        <v>0.19</v>
      </c>
      <c r="L15" s="2" cm="1">
        <f t="array" aca="1" ref="L15" ca="1">IF(INDIRECT(RefCell_R77),(data_Ni1000_TK6180[[#This Row],[Rpcb]]*INDIRECT(RefCell_R77))/(data_Ni1000_TK6180[[#This Row],[Rpcb]]+INDIRECT(RefCell_R77)),data_Ni1000_TK6180[[#This Row],[Rpcb]])</f>
        <v>1016.7000000000004</v>
      </c>
      <c r="N15" s="3" t="s">
        <v>176</v>
      </c>
      <c r="O15">
        <f>1/(B17+273.15)</f>
        <v>3.5823034210997673E-3</v>
      </c>
    </row>
    <row r="16" spans="1:17" x14ac:dyDescent="0.25">
      <c r="A16" t="s">
        <v>30</v>
      </c>
      <c r="B16" s="8">
        <v>4.5</v>
      </c>
      <c r="C16" s="9">
        <v>1024.82</v>
      </c>
      <c r="D16" s="9" cm="1">
        <f t="array" aca="1" ref="D16" ca="1">INDIRECT(RefCell_Rpot)+SUM($G$3:G16)</f>
        <v>1024.9000000000005</v>
      </c>
      <c r="E16" s="9">
        <f ca="1">data_Ni1000_TK6180[[#This Row],[Rpcb]]-data_Ni1000_TK6180[[#This Row],[Rsonde]]</f>
        <v>8.0000000000609361E-2</v>
      </c>
      <c r="F16" s="4">
        <f ca="1">data_Ni1000_TK6180[[#This Row],[Diff R]]/data_Ni1000_TK6180[[#This Row],[Rsonde]]</f>
        <v>7.8062489023057087E-5</v>
      </c>
      <c r="G16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6" s="9" cm="1">
        <f t="array" aca="1" ref="H16" ca="1">MAX(IF(ResValuesR24&lt;=ROUND(data_Ni1000_TK6180[[#This Row],[Rsonde]],2)-IF(data_Ni1000_TK6180[[#This Row],[Rsonde]]=MIN(data_Ni1000_TK6180[Rsonde]),100,$D15),ResValuesR24))</f>
        <v>7.5</v>
      </c>
      <c r="I16" s="9">
        <f ca="1">ROUND(data_Ni1000_TK6180[[#This Row],[RaddLow]]+(IF(data_Ni1000_TK6180[[#This Row],[Rsonde]]=MIN(data_Ni1000_TK6180[Rsonde]),0,$D15)-data_Ni1000_TK6180[[#This Row],[Rsonde]]),2)</f>
        <v>-0.62</v>
      </c>
      <c r="J16" s="9" cm="1">
        <f t="array" aca="1" ref="J16" ca="1">MIN(IF(ResValuesR24&gt;=ROUND(data_Ni1000_TK6180[[#This Row],[Rsonde]],2)-IF(data_Ni1000_TK6180[[#This Row],[Rsonde]]=MIN(data_Ni1000_TK6180[Rsonde]),100,$D15),ResValuesR24))</f>
        <v>8.1999999999999993</v>
      </c>
      <c r="K16" s="9">
        <f ca="1">ROUND(data_Ni1000_TK6180[[#This Row],[RaddHigh]]+(IF(data_Ni1000_TK6180[[#This Row],[Rsonde]]=MIN(data_Ni1000_TK6180[Rsonde]),0,$D15)-data_Ni1000_TK6180[[#This Row],[Rsonde]]),2)</f>
        <v>0.08</v>
      </c>
      <c r="L16" s="2" cm="1">
        <f t="array" aca="1" ref="L16" ca="1">IF(INDIRECT(RefCell_R77),(data_Ni1000_TK6180[[#This Row],[Rpcb]]*INDIRECT(RefCell_R77))/(data_Ni1000_TK6180[[#This Row],[Rpcb]]+INDIRECT(RefCell_R77)),data_Ni1000_TK6180[[#This Row],[Rpcb]])</f>
        <v>1024.9000000000005</v>
      </c>
      <c r="N16" s="3" t="s">
        <v>177</v>
      </c>
      <c r="O16">
        <f>1/(B31+273.15)</f>
        <v>3.331667499583542E-3</v>
      </c>
    </row>
    <row r="17" spans="1:24" x14ac:dyDescent="0.25">
      <c r="A17" t="s">
        <v>31</v>
      </c>
      <c r="B17" s="8">
        <v>6</v>
      </c>
      <c r="C17" s="9">
        <v>1033.1500000000001</v>
      </c>
      <c r="D17" s="9" cm="1">
        <f t="array" aca="1" ref="D17" ca="1">INDIRECT(RefCell_Rpot)+SUM($G$3:G17)</f>
        <v>1033.1000000000004</v>
      </c>
      <c r="E17" s="9">
        <f ca="1">data_Ni1000_TK6180[[#This Row],[Rpcb]]-data_Ni1000_TK6180[[#This Row],[Rsonde]]</f>
        <v>-4.9999999999727152E-2</v>
      </c>
      <c r="F17" s="4">
        <f ca="1">data_Ni1000_TK6180[[#This Row],[Diff R]]/data_Ni1000_TK6180[[#This Row],[Rsonde]]</f>
        <v>-4.8395683104802927E-5</v>
      </c>
      <c r="G17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7" s="9" cm="1">
        <f t="array" aca="1" ref="H17" ca="1">MAX(IF(ResValuesR24&lt;=ROUND(data_Ni1000_TK6180[[#This Row],[Rsonde]],2)-IF(data_Ni1000_TK6180[[#This Row],[Rsonde]]=MIN(data_Ni1000_TK6180[Rsonde]),100,$D16),ResValuesR24))</f>
        <v>8.1999999999999993</v>
      </c>
      <c r="I17" s="9">
        <f ca="1">ROUND(data_Ni1000_TK6180[[#This Row],[RaddLow]]+(IF(data_Ni1000_TK6180[[#This Row],[Rsonde]]=MIN(data_Ni1000_TK6180[Rsonde]),0,$D16)-data_Ni1000_TK6180[[#This Row],[Rsonde]]),2)</f>
        <v>-0.05</v>
      </c>
      <c r="J17" s="9" cm="1">
        <f t="array" aca="1" ref="J17" ca="1">MIN(IF(ResValuesR24&gt;=ROUND(data_Ni1000_TK6180[[#This Row],[Rsonde]],2)-IF(data_Ni1000_TK6180[[#This Row],[Rsonde]]=MIN(data_Ni1000_TK6180[Rsonde]),100,$D16),ResValuesR24))</f>
        <v>9.1</v>
      </c>
      <c r="K17" s="9">
        <f ca="1">ROUND(data_Ni1000_TK6180[[#This Row],[RaddHigh]]+(IF(data_Ni1000_TK6180[[#This Row],[Rsonde]]=MIN(data_Ni1000_TK6180[Rsonde]),0,$D16)-data_Ni1000_TK6180[[#This Row],[Rsonde]]),2)</f>
        <v>0.85</v>
      </c>
      <c r="L17" s="2" cm="1">
        <f t="array" aca="1" ref="L17" ca="1">IF(INDIRECT(RefCell_R77),(data_Ni1000_TK6180[[#This Row],[Rpcb]]*INDIRECT(RefCell_R77))/(data_Ni1000_TK6180[[#This Row],[Rpcb]]+INDIRECT(RefCell_R77)),data_Ni1000_TK6180[[#This Row],[Rpcb]])</f>
        <v>1033.1000000000004</v>
      </c>
    </row>
    <row r="18" spans="1:24" x14ac:dyDescent="0.25">
      <c r="A18" t="s">
        <v>32</v>
      </c>
      <c r="B18" s="8">
        <v>7.5</v>
      </c>
      <c r="C18" s="9">
        <v>1041.5149999999999</v>
      </c>
      <c r="D18" s="9" cm="1">
        <f t="array" aca="1" ref="D18" ca="1">INDIRECT(RefCell_Rpot)+SUM($G$3:G18)</f>
        <v>1041.3000000000006</v>
      </c>
      <c r="E18" s="9">
        <f ca="1">data_Ni1000_TK6180[[#This Row],[Rpcb]]-data_Ni1000_TK6180[[#This Row],[Rsonde]]</f>
        <v>-0.21499999999923602</v>
      </c>
      <c r="F18" s="4">
        <f ca="1">data_Ni1000_TK6180[[#This Row],[Diff R]]/data_Ni1000_TK6180[[#This Row],[Rsonde]]</f>
        <v>-2.0643005621545158E-4</v>
      </c>
      <c r="G18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8" s="9" cm="1">
        <f t="array" aca="1" ref="H18" ca="1">MAX(IF(ResValuesR24&lt;=ROUND(data_Ni1000_TK6180[[#This Row],[Rsonde]],2)-IF(data_Ni1000_TK6180[[#This Row],[Rsonde]]=MIN(data_Ni1000_TK6180[Rsonde]),100,$D17),ResValuesR24))</f>
        <v>8.1999999999999993</v>
      </c>
      <c r="I18" s="9">
        <f ca="1">ROUND(data_Ni1000_TK6180[[#This Row],[RaddLow]]+(IF(data_Ni1000_TK6180[[#This Row],[Rsonde]]=MIN(data_Ni1000_TK6180[Rsonde]),0,$D17)-data_Ni1000_TK6180[[#This Row],[Rsonde]]),2)</f>
        <v>-0.21</v>
      </c>
      <c r="J18" s="9" cm="1">
        <f t="array" aca="1" ref="J18" ca="1">MIN(IF(ResValuesR24&gt;=ROUND(data_Ni1000_TK6180[[#This Row],[Rsonde]],2)-IF(data_Ni1000_TK6180[[#This Row],[Rsonde]]=MIN(data_Ni1000_TK6180[Rsonde]),100,$D17),ResValuesR24))</f>
        <v>9.1</v>
      </c>
      <c r="K18" s="9">
        <f ca="1">ROUND(data_Ni1000_TK6180[[#This Row],[RaddHigh]]+(IF(data_Ni1000_TK6180[[#This Row],[Rsonde]]=MIN(data_Ni1000_TK6180[Rsonde]),0,$D17)-data_Ni1000_TK6180[[#This Row],[Rsonde]]),2)</f>
        <v>0.69</v>
      </c>
      <c r="L18" s="2" cm="1">
        <f t="array" aca="1" ref="L18" ca="1">IF(INDIRECT(RefCell_R77),(data_Ni1000_TK6180[[#This Row],[Rpcb]]*INDIRECT(RefCell_R77))/(data_Ni1000_TK6180[[#This Row],[Rpcb]]+INDIRECT(RefCell_R77)),data_Ni1000_TK6180[[#This Row],[Rpcb]])</f>
        <v>1041.3000000000006</v>
      </c>
      <c r="N18" t="s">
        <v>155</v>
      </c>
    </row>
    <row r="19" spans="1:24" x14ac:dyDescent="0.25">
      <c r="A19" t="s">
        <v>33</v>
      </c>
      <c r="B19" s="8">
        <v>9</v>
      </c>
      <c r="C19" s="9">
        <v>1049.9000000000001</v>
      </c>
      <c r="D19" s="9" cm="1">
        <f t="array" aca="1" ref="D19" ca="1">INDIRECT(RefCell_Rpot)+SUM($G$3:G19)</f>
        <v>1049.5000000000005</v>
      </c>
      <c r="E19" s="9">
        <f ca="1">data_Ni1000_TK6180[[#This Row],[Rpcb]]-data_Ni1000_TK6180[[#This Row],[Rsonde]]</f>
        <v>-0.3999999999996362</v>
      </c>
      <c r="F19" s="4">
        <f ca="1">data_Ni1000_TK6180[[#This Row],[Diff R]]/data_Ni1000_TK6180[[#This Row],[Rsonde]]</f>
        <v>-3.8098866558685225E-4</v>
      </c>
      <c r="G19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9" s="9" cm="1">
        <f t="array" aca="1" ref="H19" ca="1">MAX(IF(ResValuesR24&lt;=ROUND(data_Ni1000_TK6180[[#This Row],[Rsonde]],2)-IF(data_Ni1000_TK6180[[#This Row],[Rsonde]]=MIN(data_Ni1000_TK6180[Rsonde]),100,$D18),ResValuesR24))</f>
        <v>8.1999999999999993</v>
      </c>
      <c r="I19" s="9">
        <f ca="1">ROUND(data_Ni1000_TK6180[[#This Row],[RaddLow]]+(IF(data_Ni1000_TK6180[[#This Row],[Rsonde]]=MIN(data_Ni1000_TK6180[Rsonde]),0,$D18)-data_Ni1000_TK6180[[#This Row],[Rsonde]]),2)</f>
        <v>-0.4</v>
      </c>
      <c r="J19" s="9" cm="1">
        <f t="array" aca="1" ref="J19" ca="1">MIN(IF(ResValuesR24&gt;=ROUND(data_Ni1000_TK6180[[#This Row],[Rsonde]],2)-IF(data_Ni1000_TK6180[[#This Row],[Rsonde]]=MIN(data_Ni1000_TK6180[Rsonde]),100,$D18),ResValuesR24))</f>
        <v>9.1</v>
      </c>
      <c r="K19" s="9">
        <f ca="1">ROUND(data_Ni1000_TK6180[[#This Row],[RaddHigh]]+(IF(data_Ni1000_TK6180[[#This Row],[Rsonde]]=MIN(data_Ni1000_TK6180[Rsonde]),0,$D18)-data_Ni1000_TK6180[[#This Row],[Rsonde]]),2)</f>
        <v>0.5</v>
      </c>
      <c r="L19" s="2" cm="1">
        <f t="array" aca="1" ref="L19" ca="1">IF(INDIRECT(RefCell_R77),(data_Ni1000_TK6180[[#This Row],[Rpcb]]*INDIRECT(RefCell_R77))/(data_Ni1000_TK6180[[#This Row],[Rpcb]]+INDIRECT(RefCell_R77)),data_Ni1000_TK6180[[#This Row],[Rpcb]])</f>
        <v>1049.5000000000005</v>
      </c>
      <c r="N19" s="11" t="s">
        <v>156</v>
      </c>
    </row>
    <row r="20" spans="1:24" x14ac:dyDescent="0.25">
      <c r="A20" t="s">
        <v>34</v>
      </c>
      <c r="B20" s="8">
        <v>10.5</v>
      </c>
      <c r="C20" s="9">
        <v>1058.33</v>
      </c>
      <c r="D20" s="9" cm="1">
        <f t="array" aca="1" ref="D20" ca="1">INDIRECT(RefCell_Rpot)+SUM($G$3:G20)</f>
        <v>1058.6000000000006</v>
      </c>
      <c r="E20" s="9">
        <f ca="1">data_Ni1000_TK6180[[#This Row],[Rpcb]]-data_Ni1000_TK6180[[#This Row],[Rsonde]]</f>
        <v>0.27000000000066393</v>
      </c>
      <c r="F20" s="4">
        <f ca="1">data_Ni1000_TK6180[[#This Row],[Diff R]]/data_Ni1000_TK6180[[#This Row],[Rsonde]]</f>
        <v>2.5511891376098564E-4</v>
      </c>
      <c r="G20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9.1</v>
      </c>
      <c r="H20" s="9" cm="1">
        <f t="array" aca="1" ref="H20" ca="1">MAX(IF(ResValuesR24&lt;=ROUND(data_Ni1000_TK6180[[#This Row],[Rsonde]],2)-IF(data_Ni1000_TK6180[[#This Row],[Rsonde]]=MIN(data_Ni1000_TK6180[Rsonde]),100,$D19),ResValuesR24))</f>
        <v>8.1999999999999993</v>
      </c>
      <c r="I20" s="9">
        <f ca="1">ROUND(data_Ni1000_TK6180[[#This Row],[RaddLow]]+(IF(data_Ni1000_TK6180[[#This Row],[Rsonde]]=MIN(data_Ni1000_TK6180[Rsonde]),0,$D19)-data_Ni1000_TK6180[[#This Row],[Rsonde]]),2)</f>
        <v>-0.63</v>
      </c>
      <c r="J20" s="9" cm="1">
        <f t="array" aca="1" ref="J20" ca="1">MIN(IF(ResValuesR24&gt;=ROUND(data_Ni1000_TK6180[[#This Row],[Rsonde]],2)-IF(data_Ni1000_TK6180[[#This Row],[Rsonde]]=MIN(data_Ni1000_TK6180[Rsonde]),100,$D19),ResValuesR24))</f>
        <v>9.1</v>
      </c>
      <c r="K20" s="9">
        <f ca="1">ROUND(data_Ni1000_TK6180[[#This Row],[RaddHigh]]+(IF(data_Ni1000_TK6180[[#This Row],[Rsonde]]=MIN(data_Ni1000_TK6180[Rsonde]),0,$D19)-data_Ni1000_TK6180[[#This Row],[Rsonde]]),2)</f>
        <v>0.27</v>
      </c>
      <c r="L20" s="2" cm="1">
        <f t="array" aca="1" ref="L20" ca="1">IF(INDIRECT(RefCell_R77),(data_Ni1000_TK6180[[#This Row],[Rpcb]]*INDIRECT(RefCell_R77))/(data_Ni1000_TK6180[[#This Row],[Rpcb]]+INDIRECT(RefCell_R77)),data_Ni1000_TK6180[[#This Row],[Rpcb]])</f>
        <v>1058.6000000000006</v>
      </c>
    </row>
    <row r="21" spans="1:24" x14ac:dyDescent="0.25">
      <c r="A21" t="s">
        <v>35</v>
      </c>
      <c r="B21" s="8">
        <v>12</v>
      </c>
      <c r="C21" s="9">
        <v>1066.78</v>
      </c>
      <c r="D21" s="9" cm="1">
        <f t="array" aca="1" ref="D21" ca="1">INDIRECT(RefCell_Rpot)+SUM($G$3:G21)</f>
        <v>1066.8000000000006</v>
      </c>
      <c r="E21" s="9">
        <f ca="1">data_Ni1000_TK6180[[#This Row],[Rpcb]]-data_Ni1000_TK6180[[#This Row],[Rsonde]]</f>
        <v>2.0000000000663931E-2</v>
      </c>
      <c r="F21" s="4">
        <f ca="1">data_Ni1000_TK6180[[#This Row],[Diff R]]/data_Ni1000_TK6180[[#This Row],[Rsonde]]</f>
        <v>1.8748008024769804E-5</v>
      </c>
      <c r="G21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21" s="9" cm="1">
        <f t="array" aca="1" ref="H21" ca="1">MAX(IF(ResValuesR24&lt;=ROUND(data_Ni1000_TK6180[[#This Row],[Rsonde]],2)-IF(data_Ni1000_TK6180[[#This Row],[Rsonde]]=MIN(data_Ni1000_TK6180[Rsonde]),100,$D20),ResValuesR24))</f>
        <v>7.5</v>
      </c>
      <c r="I21" s="9">
        <f ca="1">ROUND(data_Ni1000_TK6180[[#This Row],[RaddLow]]+(IF(data_Ni1000_TK6180[[#This Row],[Rsonde]]=MIN(data_Ni1000_TK6180[Rsonde]),0,$D20)-data_Ni1000_TK6180[[#This Row],[Rsonde]]),2)</f>
        <v>-0.68</v>
      </c>
      <c r="J21" s="9" cm="1">
        <f t="array" aca="1" ref="J21" ca="1">MIN(IF(ResValuesR24&gt;=ROUND(data_Ni1000_TK6180[[#This Row],[Rsonde]],2)-IF(data_Ni1000_TK6180[[#This Row],[Rsonde]]=MIN(data_Ni1000_TK6180[Rsonde]),100,$D20),ResValuesR24))</f>
        <v>8.1999999999999993</v>
      </c>
      <c r="K21" s="9">
        <f ca="1">ROUND(data_Ni1000_TK6180[[#This Row],[RaddHigh]]+(IF(data_Ni1000_TK6180[[#This Row],[Rsonde]]=MIN(data_Ni1000_TK6180[Rsonde]),0,$D20)-data_Ni1000_TK6180[[#This Row],[Rsonde]]),2)</f>
        <v>0.02</v>
      </c>
      <c r="L21" s="2" cm="1">
        <f t="array" aca="1" ref="L21" ca="1">IF(INDIRECT(RefCell_R77),(data_Ni1000_TK6180[[#This Row],[Rpcb]]*INDIRECT(RefCell_R77))/(data_Ni1000_TK6180[[#This Row],[Rpcb]]+INDIRECT(RefCell_R77)),data_Ni1000_TK6180[[#This Row],[Rpcb]])</f>
        <v>1066.8000000000006</v>
      </c>
      <c r="N21" t="s">
        <v>153</v>
      </c>
      <c r="O21">
        <v>0</v>
      </c>
      <c r="P21">
        <v>-1</v>
      </c>
      <c r="Q21">
        <v>-2</v>
      </c>
      <c r="R21">
        <v>-3</v>
      </c>
      <c r="S21">
        <v>-4</v>
      </c>
      <c r="T21">
        <v>-5</v>
      </c>
      <c r="U21">
        <v>-6</v>
      </c>
      <c r="V21">
        <v>-7</v>
      </c>
      <c r="W21">
        <v>-8</v>
      </c>
      <c r="X21">
        <v>-9</v>
      </c>
    </row>
    <row r="22" spans="1:24" x14ac:dyDescent="0.25">
      <c r="A22" t="s">
        <v>36</v>
      </c>
      <c r="B22" s="8">
        <v>13.5</v>
      </c>
      <c r="C22" s="9">
        <v>1075.26</v>
      </c>
      <c r="D22" s="9" cm="1">
        <f t="array" aca="1" ref="D22" ca="1">INDIRECT(RefCell_Rpot)+SUM($G$3:G22)</f>
        <v>1075.0000000000007</v>
      </c>
      <c r="E22" s="9">
        <f ca="1">data_Ni1000_TK6180[[#This Row],[Rpcb]]-data_Ni1000_TK6180[[#This Row],[Rsonde]]</f>
        <v>-0.25999999999930878</v>
      </c>
      <c r="F22" s="4">
        <f ca="1">data_Ni1000_TK6180[[#This Row],[Diff R]]/data_Ni1000_TK6180[[#This Row],[Rsonde]]</f>
        <v>-2.4180198277561594E-4</v>
      </c>
      <c r="G22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22" s="9" cm="1">
        <f t="array" aca="1" ref="H22" ca="1">MAX(IF(ResValuesR24&lt;=ROUND(data_Ni1000_TK6180[[#This Row],[Rsonde]],2)-IF(data_Ni1000_TK6180[[#This Row],[Rsonde]]=MIN(data_Ni1000_TK6180[Rsonde]),100,$D21),ResValuesR24))</f>
        <v>8.1999999999999993</v>
      </c>
      <c r="I22" s="9">
        <f ca="1">ROUND(data_Ni1000_TK6180[[#This Row],[RaddLow]]+(IF(data_Ni1000_TK6180[[#This Row],[Rsonde]]=MIN(data_Ni1000_TK6180[Rsonde]),0,$D21)-data_Ni1000_TK6180[[#This Row],[Rsonde]]),2)</f>
        <v>-0.26</v>
      </c>
      <c r="J22" s="9" cm="1">
        <f t="array" aca="1" ref="J22" ca="1">MIN(IF(ResValuesR24&gt;=ROUND(data_Ni1000_TK6180[[#This Row],[Rsonde]],2)-IF(data_Ni1000_TK6180[[#This Row],[Rsonde]]=MIN(data_Ni1000_TK6180[Rsonde]),100,$D21),ResValuesR24))</f>
        <v>9.1</v>
      </c>
      <c r="K22" s="9">
        <f ca="1">ROUND(data_Ni1000_TK6180[[#This Row],[RaddHigh]]+(IF(data_Ni1000_TK6180[[#This Row],[Rsonde]]=MIN(data_Ni1000_TK6180[Rsonde]),0,$D21)-data_Ni1000_TK6180[[#This Row],[Rsonde]]),2)</f>
        <v>0.64</v>
      </c>
      <c r="L22" s="2" cm="1">
        <f t="array" aca="1" ref="L22" ca="1">IF(INDIRECT(RefCell_R77),(data_Ni1000_TK6180[[#This Row],[Rpcb]]*INDIRECT(RefCell_R77))/(data_Ni1000_TK6180[[#This Row],[Rpcb]]+INDIRECT(RefCell_R77)),data_Ni1000_TK6180[[#This Row],[Rpcb]])</f>
        <v>1075.0000000000007</v>
      </c>
      <c r="N22">
        <v>-20</v>
      </c>
      <c r="O22">
        <v>892.96</v>
      </c>
      <c r="P22">
        <v>887.75</v>
      </c>
      <c r="Q22">
        <v>882.56</v>
      </c>
      <c r="R22">
        <v>877.37</v>
      </c>
      <c r="S22">
        <v>872.2</v>
      </c>
      <c r="T22">
        <v>867.04</v>
      </c>
      <c r="U22">
        <v>861.9</v>
      </c>
      <c r="V22">
        <v>856.77</v>
      </c>
      <c r="W22">
        <v>851.65</v>
      </c>
      <c r="X22">
        <v>846.55</v>
      </c>
    </row>
    <row r="23" spans="1:24" x14ac:dyDescent="0.25">
      <c r="A23" t="s">
        <v>37</v>
      </c>
      <c r="B23" s="8">
        <v>15</v>
      </c>
      <c r="C23" s="9">
        <v>1083.77</v>
      </c>
      <c r="D23" s="9" cm="1">
        <f t="array" aca="1" ref="D23" ca="1">INDIRECT(RefCell_Rpot)+SUM($G$3:G23)</f>
        <v>1084.1000000000008</v>
      </c>
      <c r="E23" s="9">
        <f ca="1">data_Ni1000_TK6180[[#This Row],[Rpcb]]-data_Ni1000_TK6180[[#This Row],[Rsonde]]</f>
        <v>0.33000000000083674</v>
      </c>
      <c r="F23" s="4">
        <f ca="1">data_Ni1000_TK6180[[#This Row],[Diff R]]/data_Ni1000_TK6180[[#This Row],[Rsonde]]</f>
        <v>3.0449265065543124E-4</v>
      </c>
      <c r="G23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9.1</v>
      </c>
      <c r="H23" s="9" cm="1">
        <f t="array" aca="1" ref="H23" ca="1">MAX(IF(ResValuesR24&lt;=ROUND(data_Ni1000_TK6180[[#This Row],[Rsonde]],2)-IF(data_Ni1000_TK6180[[#This Row],[Rsonde]]=MIN(data_Ni1000_TK6180[Rsonde]),100,$D22),ResValuesR24))</f>
        <v>8.1999999999999993</v>
      </c>
      <c r="I23" s="9">
        <f ca="1">ROUND(data_Ni1000_TK6180[[#This Row],[RaddLow]]+(IF(data_Ni1000_TK6180[[#This Row],[Rsonde]]=MIN(data_Ni1000_TK6180[Rsonde]),0,$D22)-data_Ni1000_TK6180[[#This Row],[Rsonde]]),2)</f>
        <v>-0.56999999999999995</v>
      </c>
      <c r="J23" s="9" cm="1">
        <f t="array" aca="1" ref="J23" ca="1">MIN(IF(ResValuesR24&gt;=ROUND(data_Ni1000_TK6180[[#This Row],[Rsonde]],2)-IF(data_Ni1000_TK6180[[#This Row],[Rsonde]]=MIN(data_Ni1000_TK6180[Rsonde]),100,$D22),ResValuesR24))</f>
        <v>9.1</v>
      </c>
      <c r="K23" s="9">
        <f ca="1">ROUND(data_Ni1000_TK6180[[#This Row],[RaddHigh]]+(IF(data_Ni1000_TK6180[[#This Row],[Rsonde]]=MIN(data_Ni1000_TK6180[Rsonde]),0,$D22)-data_Ni1000_TK6180[[#This Row],[Rsonde]]),2)</f>
        <v>0.33</v>
      </c>
      <c r="L23" s="2" cm="1">
        <f t="array" aca="1" ref="L23" ca="1">IF(INDIRECT(RefCell_R77),(data_Ni1000_TK6180[[#This Row],[Rpcb]]*INDIRECT(RefCell_R77))/(data_Ni1000_TK6180[[#This Row],[Rpcb]]+INDIRECT(RefCell_R77)),data_Ni1000_TK6180[[#This Row],[Rpcb]])</f>
        <v>1084.1000000000008</v>
      </c>
      <c r="N23">
        <v>-10</v>
      </c>
      <c r="O23">
        <v>945.82</v>
      </c>
      <c r="P23">
        <v>940.47</v>
      </c>
      <c r="Q23">
        <v>935.14</v>
      </c>
      <c r="R23">
        <v>929.82</v>
      </c>
      <c r="S23">
        <v>924.51</v>
      </c>
      <c r="T23">
        <v>919.22</v>
      </c>
      <c r="U23">
        <v>913.94</v>
      </c>
      <c r="V23">
        <v>908.68</v>
      </c>
      <c r="W23">
        <v>903.43</v>
      </c>
      <c r="X23">
        <v>898.19</v>
      </c>
    </row>
    <row r="24" spans="1:24" x14ac:dyDescent="0.25">
      <c r="A24" t="s">
        <v>38</v>
      </c>
      <c r="B24" s="8">
        <v>16.5</v>
      </c>
      <c r="C24" s="9">
        <v>1092.3150000000001</v>
      </c>
      <c r="D24" s="9" cm="1">
        <f t="array" aca="1" ref="D24" ca="1">INDIRECT(RefCell_Rpot)+SUM($G$3:G24)</f>
        <v>1092.3000000000006</v>
      </c>
      <c r="E24" s="9">
        <f ca="1">data_Ni1000_TK6180[[#This Row],[Rpcb]]-data_Ni1000_TK6180[[#This Row],[Rsonde]]</f>
        <v>-1.4999999999417923E-2</v>
      </c>
      <c r="F24" s="4">
        <f ca="1">data_Ni1000_TK6180[[#This Row],[Diff R]]/data_Ni1000_TK6180[[#This Row],[Rsonde]]</f>
        <v>-1.373230249462648E-5</v>
      </c>
      <c r="G24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24" s="9" cm="1">
        <f t="array" aca="1" ref="H24" ca="1">MAX(IF(ResValuesR24&lt;=ROUND(data_Ni1000_TK6180[[#This Row],[Rsonde]],2)-IF(data_Ni1000_TK6180[[#This Row],[Rsonde]]=MIN(data_Ni1000_TK6180[Rsonde]),100,$D23),ResValuesR24))</f>
        <v>8.1999999999999993</v>
      </c>
      <c r="I24" s="9">
        <f ca="1">ROUND(data_Ni1000_TK6180[[#This Row],[RaddLow]]+(IF(data_Ni1000_TK6180[[#This Row],[Rsonde]]=MIN(data_Ni1000_TK6180[Rsonde]),0,$D23)-data_Ni1000_TK6180[[#This Row],[Rsonde]]),2)</f>
        <v>-0.01</v>
      </c>
      <c r="J24" s="9" cm="1">
        <f t="array" aca="1" ref="J24" ca="1">MIN(IF(ResValuesR24&gt;=ROUND(data_Ni1000_TK6180[[#This Row],[Rsonde]],2)-IF(data_Ni1000_TK6180[[#This Row],[Rsonde]]=MIN(data_Ni1000_TK6180[Rsonde]),100,$D23),ResValuesR24))</f>
        <v>9.1</v>
      </c>
      <c r="K24" s="9">
        <f ca="1">ROUND(data_Ni1000_TK6180[[#This Row],[RaddHigh]]+(IF(data_Ni1000_TK6180[[#This Row],[Rsonde]]=MIN(data_Ni1000_TK6180[Rsonde]),0,$D23)-data_Ni1000_TK6180[[#This Row],[Rsonde]]),2)</f>
        <v>0.89</v>
      </c>
      <c r="L24" s="2" cm="1">
        <f t="array" aca="1" ref="L24" ca="1">IF(INDIRECT(RefCell_R77),(data_Ni1000_TK6180[[#This Row],[Rpcb]]*INDIRECT(RefCell_R77))/(data_Ni1000_TK6180[[#This Row],[Rpcb]]+INDIRECT(RefCell_R77)),data_Ni1000_TK6180[[#This Row],[Rpcb]])</f>
        <v>1092.3000000000006</v>
      </c>
      <c r="N24">
        <v>0</v>
      </c>
      <c r="O24">
        <v>1000</v>
      </c>
      <c r="P24">
        <v>994.52</v>
      </c>
      <c r="Q24">
        <v>989.06</v>
      </c>
      <c r="R24">
        <v>983.6</v>
      </c>
      <c r="S24">
        <v>978.17</v>
      </c>
      <c r="T24">
        <v>972.74</v>
      </c>
      <c r="U24">
        <v>967.33</v>
      </c>
      <c r="V24">
        <v>961.93</v>
      </c>
      <c r="W24">
        <v>956.55</v>
      </c>
      <c r="X24">
        <v>951.17</v>
      </c>
    </row>
    <row r="25" spans="1:24" x14ac:dyDescent="0.25">
      <c r="A25" t="s">
        <v>39</v>
      </c>
      <c r="B25" s="8">
        <v>18</v>
      </c>
      <c r="C25" s="9">
        <v>1100.8900000000001</v>
      </c>
      <c r="D25" s="9" cm="1">
        <f t="array" aca="1" ref="D25" ca="1">INDIRECT(RefCell_Rpot)+SUM($G$3:G25)</f>
        <v>1100.5000000000009</v>
      </c>
      <c r="E25" s="9">
        <f ca="1">data_Ni1000_TK6180[[#This Row],[Rpcb]]-data_Ni1000_TK6180[[#This Row],[Rsonde]]</f>
        <v>-0.38999999999919055</v>
      </c>
      <c r="F25" s="4">
        <f ca="1">data_Ni1000_TK6180[[#This Row],[Diff R]]/data_Ni1000_TK6180[[#This Row],[Rsonde]]</f>
        <v>-3.5425882694836952E-4</v>
      </c>
      <c r="G25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25" s="9" cm="1">
        <f t="array" aca="1" ref="H25" ca="1">MAX(IF(ResValuesR24&lt;=ROUND(data_Ni1000_TK6180[[#This Row],[Rsonde]],2)-IF(data_Ni1000_TK6180[[#This Row],[Rsonde]]=MIN(data_Ni1000_TK6180[Rsonde]),100,$D24),ResValuesR24))</f>
        <v>8.1999999999999993</v>
      </c>
      <c r="I25" s="9">
        <f ca="1">ROUND(data_Ni1000_TK6180[[#This Row],[RaddLow]]+(IF(data_Ni1000_TK6180[[#This Row],[Rsonde]]=MIN(data_Ni1000_TK6180[Rsonde]),0,$D24)-data_Ni1000_TK6180[[#This Row],[Rsonde]]),2)</f>
        <v>-0.39</v>
      </c>
      <c r="J25" s="9" cm="1">
        <f t="array" aca="1" ref="J25" ca="1">MIN(IF(ResValuesR24&gt;=ROUND(data_Ni1000_TK6180[[#This Row],[Rsonde]],2)-IF(data_Ni1000_TK6180[[#This Row],[Rsonde]]=MIN(data_Ni1000_TK6180[Rsonde]),100,$D24),ResValuesR24))</f>
        <v>9.1</v>
      </c>
      <c r="K25" s="9">
        <f ca="1">ROUND(data_Ni1000_TK6180[[#This Row],[RaddHigh]]+(IF(data_Ni1000_TK6180[[#This Row],[Rsonde]]=MIN(data_Ni1000_TK6180[Rsonde]),0,$D24)-data_Ni1000_TK6180[[#This Row],[Rsonde]]),2)</f>
        <v>0.51</v>
      </c>
      <c r="L25" s="2" cm="1">
        <f t="array" aca="1" ref="L25" ca="1">IF(INDIRECT(RefCell_R77),(data_Ni1000_TK6180[[#This Row],[Rpcb]]*INDIRECT(RefCell_R77))/(data_Ni1000_TK6180[[#This Row],[Rpcb]]+INDIRECT(RefCell_R77)),data_Ni1000_TK6180[[#This Row],[Rpcb]])</f>
        <v>1100.5000000000009</v>
      </c>
    </row>
    <row r="26" spans="1:24" x14ac:dyDescent="0.25">
      <c r="A26" t="s">
        <v>40</v>
      </c>
      <c r="B26" s="8">
        <v>19.5</v>
      </c>
      <c r="C26" s="9">
        <v>1109.4899999999998</v>
      </c>
      <c r="D26" s="9" cm="1">
        <f t="array" aca="1" ref="D26" ca="1">INDIRECT(RefCell_Rpot)+SUM($G$3:G26)</f>
        <v>1109.6000000000008</v>
      </c>
      <c r="E26" s="9">
        <f ca="1">data_Ni1000_TK6180[[#This Row],[Rpcb]]-data_Ni1000_TK6180[[#This Row],[Rsonde]]</f>
        <v>0.11000000000103682</v>
      </c>
      <c r="F26" s="4">
        <f ca="1">data_Ni1000_TK6180[[#This Row],[Diff R]]/data_Ni1000_TK6180[[#This Row],[Rsonde]]</f>
        <v>9.9144652048271589E-5</v>
      </c>
      <c r="G26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9.1</v>
      </c>
      <c r="H26" s="9" cm="1">
        <f t="array" aca="1" ref="H26" ca="1">MAX(IF(ResValuesR24&lt;=ROUND(data_Ni1000_TK6180[[#This Row],[Rsonde]],2)-IF(data_Ni1000_TK6180[[#This Row],[Rsonde]]=MIN(data_Ni1000_TK6180[Rsonde]),100,$D25),ResValuesR24))</f>
        <v>8.1999999999999993</v>
      </c>
      <c r="I26" s="9">
        <f ca="1">ROUND(data_Ni1000_TK6180[[#This Row],[RaddLow]]+(IF(data_Ni1000_TK6180[[#This Row],[Rsonde]]=MIN(data_Ni1000_TK6180[Rsonde]),0,$D25)-data_Ni1000_TK6180[[#This Row],[Rsonde]]),2)</f>
        <v>-0.79</v>
      </c>
      <c r="J26" s="9" cm="1">
        <f t="array" aca="1" ref="J26" ca="1">MIN(IF(ResValuesR24&gt;=ROUND(data_Ni1000_TK6180[[#This Row],[Rsonde]],2)-IF(data_Ni1000_TK6180[[#This Row],[Rsonde]]=MIN(data_Ni1000_TK6180[Rsonde]),100,$D25),ResValuesR24))</f>
        <v>9.1</v>
      </c>
      <c r="K26" s="9">
        <f ca="1">ROUND(data_Ni1000_TK6180[[#This Row],[RaddHigh]]+(IF(data_Ni1000_TK6180[[#This Row],[Rsonde]]=MIN(data_Ni1000_TK6180[Rsonde]),0,$D25)-data_Ni1000_TK6180[[#This Row],[Rsonde]]),2)</f>
        <v>0.11</v>
      </c>
      <c r="L26" s="2" cm="1">
        <f t="array" aca="1" ref="L26" ca="1">IF(INDIRECT(RefCell_R77),(data_Ni1000_TK6180[[#This Row],[Rpcb]]*INDIRECT(RefCell_R77))/(data_Ni1000_TK6180[[#This Row],[Rpcb]]+INDIRECT(RefCell_R77)),data_Ni1000_TK6180[[#This Row],[Rpcb]])</f>
        <v>1109.6000000000008</v>
      </c>
      <c r="N26" t="s">
        <v>153</v>
      </c>
      <c r="O26">
        <v>0</v>
      </c>
      <c r="P26">
        <v>1</v>
      </c>
      <c r="Q26">
        <v>2</v>
      </c>
      <c r="R26">
        <v>3</v>
      </c>
      <c r="S26">
        <v>4</v>
      </c>
      <c r="T26">
        <v>5</v>
      </c>
      <c r="U26">
        <v>6</v>
      </c>
      <c r="V26">
        <v>7</v>
      </c>
      <c r="W26">
        <v>8</v>
      </c>
      <c r="X26">
        <v>9</v>
      </c>
    </row>
    <row r="27" spans="1:24" x14ac:dyDescent="0.25">
      <c r="A27" t="s">
        <v>41</v>
      </c>
      <c r="B27" s="8">
        <v>21</v>
      </c>
      <c r="C27" s="9">
        <v>1118.1199999999999</v>
      </c>
      <c r="D27" s="9" cm="1">
        <f t="array" aca="1" ref="D27" ca="1">INDIRECT(RefCell_Rpot)+SUM($G$3:G27)</f>
        <v>1117.8000000000009</v>
      </c>
      <c r="E27" s="9">
        <f ca="1">data_Ni1000_TK6180[[#This Row],[Rpcb]]-data_Ni1000_TK6180[[#This Row],[Rsonde]]</f>
        <v>-0.31999999999902684</v>
      </c>
      <c r="F27" s="4">
        <f ca="1">data_Ni1000_TK6180[[#This Row],[Diff R]]/data_Ni1000_TK6180[[#This Row],[Rsonde]]</f>
        <v>-2.8619468393287559E-4</v>
      </c>
      <c r="G27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27" s="9" cm="1">
        <f t="array" aca="1" ref="H27" ca="1">MAX(IF(ResValuesR24&lt;=ROUND(data_Ni1000_TK6180[[#This Row],[Rsonde]],2)-IF(data_Ni1000_TK6180[[#This Row],[Rsonde]]=MIN(data_Ni1000_TK6180[Rsonde]),100,$D26),ResValuesR24))</f>
        <v>8.1999999999999993</v>
      </c>
      <c r="I27" s="9">
        <f ca="1">ROUND(data_Ni1000_TK6180[[#This Row],[RaddLow]]+(IF(data_Ni1000_TK6180[[#This Row],[Rsonde]]=MIN(data_Ni1000_TK6180[Rsonde]),0,$D26)-data_Ni1000_TK6180[[#This Row],[Rsonde]]),2)</f>
        <v>-0.32</v>
      </c>
      <c r="J27" s="9" cm="1">
        <f t="array" aca="1" ref="J27" ca="1">MIN(IF(ResValuesR24&gt;=ROUND(data_Ni1000_TK6180[[#This Row],[Rsonde]],2)-IF(data_Ni1000_TK6180[[#This Row],[Rsonde]]=MIN(data_Ni1000_TK6180[Rsonde]),100,$D26),ResValuesR24))</f>
        <v>9.1</v>
      </c>
      <c r="K27" s="9">
        <f ca="1">ROUND(data_Ni1000_TK6180[[#This Row],[RaddHigh]]+(IF(data_Ni1000_TK6180[[#This Row],[Rsonde]]=MIN(data_Ni1000_TK6180[Rsonde]),0,$D26)-data_Ni1000_TK6180[[#This Row],[Rsonde]]),2)</f>
        <v>0.57999999999999996</v>
      </c>
      <c r="L27" s="2" cm="1">
        <f t="array" aca="1" ref="L27" ca="1">IF(INDIRECT(RefCell_R77),(data_Ni1000_TK6180[[#This Row],[Rpcb]]*INDIRECT(RefCell_R77))/(data_Ni1000_TK6180[[#This Row],[Rpcb]]+INDIRECT(RefCell_R77)),data_Ni1000_TK6180[[#This Row],[Rpcb]])</f>
        <v>1117.8000000000009</v>
      </c>
      <c r="N27">
        <v>0</v>
      </c>
      <c r="O27">
        <v>1000</v>
      </c>
      <c r="P27">
        <v>1005.49</v>
      </c>
      <c r="Q27">
        <v>1011</v>
      </c>
      <c r="R27">
        <v>1016.51</v>
      </c>
      <c r="S27">
        <v>1022.05</v>
      </c>
      <c r="T27">
        <v>1027.5899999999999</v>
      </c>
      <c r="U27">
        <v>1033.1500000000001</v>
      </c>
      <c r="V27">
        <v>1038.72</v>
      </c>
      <c r="W27">
        <v>1044.31</v>
      </c>
      <c r="X27">
        <v>1049.9000000000001</v>
      </c>
    </row>
    <row r="28" spans="1:24" x14ac:dyDescent="0.25">
      <c r="A28" t="s">
        <v>42</v>
      </c>
      <c r="B28" s="8">
        <v>22.5</v>
      </c>
      <c r="C28" s="9">
        <v>1126.79</v>
      </c>
      <c r="D28" s="9" cm="1">
        <f t="array" aca="1" ref="D28" ca="1">INDIRECT(RefCell_Rpot)+SUM($G$3:G28)</f>
        <v>1126.9000000000008</v>
      </c>
      <c r="E28" s="9">
        <f ca="1">data_Ni1000_TK6180[[#This Row],[Rpcb]]-data_Ni1000_TK6180[[#This Row],[Rsonde]]</f>
        <v>0.11000000000080945</v>
      </c>
      <c r="F28" s="4">
        <f ca="1">data_Ni1000_TK6180[[#This Row],[Diff R]]/data_Ni1000_TK6180[[#This Row],[Rsonde]]</f>
        <v>9.7622449614222218E-5</v>
      </c>
      <c r="G28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9.1</v>
      </c>
      <c r="H28" s="9" cm="1">
        <f t="array" aca="1" ref="H28" ca="1">MAX(IF(ResValuesR24&lt;=ROUND(data_Ni1000_TK6180[[#This Row],[Rsonde]],2)-IF(data_Ni1000_TK6180[[#This Row],[Rsonde]]=MIN(data_Ni1000_TK6180[Rsonde]),100,$D27),ResValuesR24))</f>
        <v>8.1999999999999993</v>
      </c>
      <c r="I28" s="9">
        <f ca="1">ROUND(data_Ni1000_TK6180[[#This Row],[RaddLow]]+(IF(data_Ni1000_TK6180[[#This Row],[Rsonde]]=MIN(data_Ni1000_TK6180[Rsonde]),0,$D27)-data_Ni1000_TK6180[[#This Row],[Rsonde]]),2)</f>
        <v>-0.79</v>
      </c>
      <c r="J28" s="9" cm="1">
        <f t="array" aca="1" ref="J28" ca="1">MIN(IF(ResValuesR24&gt;=ROUND(data_Ni1000_TK6180[[#This Row],[Rsonde]],2)-IF(data_Ni1000_TK6180[[#This Row],[Rsonde]]=MIN(data_Ni1000_TK6180[Rsonde]),100,$D27),ResValuesR24))</f>
        <v>9.1</v>
      </c>
      <c r="K28" s="9">
        <f ca="1">ROUND(data_Ni1000_TK6180[[#This Row],[RaddHigh]]+(IF(data_Ni1000_TK6180[[#This Row],[Rsonde]]=MIN(data_Ni1000_TK6180[Rsonde]),0,$D27)-data_Ni1000_TK6180[[#This Row],[Rsonde]]),2)</f>
        <v>0.11</v>
      </c>
      <c r="L28" s="2" cm="1">
        <f t="array" aca="1" ref="L28" ca="1">IF(INDIRECT(RefCell_R77),(data_Ni1000_TK6180[[#This Row],[Rpcb]]*INDIRECT(RefCell_R77))/(data_Ni1000_TK6180[[#This Row],[Rpcb]]+INDIRECT(RefCell_R77)),data_Ni1000_TK6180[[#This Row],[Rpcb]])</f>
        <v>1126.9000000000008</v>
      </c>
      <c r="N28">
        <v>10</v>
      </c>
      <c r="O28">
        <v>1055.52</v>
      </c>
      <c r="P28">
        <v>1061.1400000000001</v>
      </c>
      <c r="Q28">
        <v>1066.78</v>
      </c>
      <c r="R28">
        <v>1072.43</v>
      </c>
      <c r="S28">
        <v>1078.0899999999999</v>
      </c>
      <c r="T28">
        <v>1083.77</v>
      </c>
      <c r="U28">
        <v>1089.46</v>
      </c>
      <c r="V28">
        <v>1095.17</v>
      </c>
      <c r="W28">
        <v>1100.8900000000001</v>
      </c>
      <c r="X28">
        <v>1106.6199999999999</v>
      </c>
    </row>
    <row r="29" spans="1:24" x14ac:dyDescent="0.25">
      <c r="A29" t="s">
        <v>43</v>
      </c>
      <c r="B29" s="8">
        <v>24</v>
      </c>
      <c r="C29" s="9">
        <v>1135.48</v>
      </c>
      <c r="D29" s="9" cm="1">
        <f t="array" aca="1" ref="D29" ca="1">INDIRECT(RefCell_Rpot)+SUM($G$3:G29)</f>
        <v>1135.1000000000008</v>
      </c>
      <c r="E29" s="9">
        <f ca="1">data_Ni1000_TK6180[[#This Row],[Rpcb]]-data_Ni1000_TK6180[[#This Row],[Rsonde]]</f>
        <v>-0.37999999999919964</v>
      </c>
      <c r="F29" s="4">
        <f ca="1">data_Ni1000_TK6180[[#This Row],[Diff R]]/data_Ni1000_TK6180[[#This Row],[Rsonde]]</f>
        <v>-3.3466023179553987E-4</v>
      </c>
      <c r="G29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29" s="9" cm="1">
        <f t="array" aca="1" ref="H29" ca="1">MAX(IF(ResValuesR24&lt;=ROUND(data_Ni1000_TK6180[[#This Row],[Rsonde]],2)-IF(data_Ni1000_TK6180[[#This Row],[Rsonde]]=MIN(data_Ni1000_TK6180[Rsonde]),100,$D28),ResValuesR24))</f>
        <v>8.1999999999999993</v>
      </c>
      <c r="I29" s="9">
        <f ca="1">ROUND(data_Ni1000_TK6180[[#This Row],[RaddLow]]+(IF(data_Ni1000_TK6180[[#This Row],[Rsonde]]=MIN(data_Ni1000_TK6180[Rsonde]),0,$D28)-data_Ni1000_TK6180[[#This Row],[Rsonde]]),2)</f>
        <v>-0.38</v>
      </c>
      <c r="J29" s="9" cm="1">
        <f t="array" aca="1" ref="J29" ca="1">MIN(IF(ResValuesR24&gt;=ROUND(data_Ni1000_TK6180[[#This Row],[Rsonde]],2)-IF(data_Ni1000_TK6180[[#This Row],[Rsonde]]=MIN(data_Ni1000_TK6180[Rsonde]),100,$D28),ResValuesR24))</f>
        <v>9.1</v>
      </c>
      <c r="K29" s="9">
        <f ca="1">ROUND(data_Ni1000_TK6180[[#This Row],[RaddHigh]]+(IF(data_Ni1000_TK6180[[#This Row],[Rsonde]]=MIN(data_Ni1000_TK6180[Rsonde]),0,$D28)-data_Ni1000_TK6180[[#This Row],[Rsonde]]),2)</f>
        <v>0.52</v>
      </c>
      <c r="L29" s="2" cm="1">
        <f t="array" aca="1" ref="L29" ca="1">IF(INDIRECT(RefCell_R77),(data_Ni1000_TK6180[[#This Row],[Rpcb]]*INDIRECT(RefCell_R77))/(data_Ni1000_TK6180[[#This Row],[Rpcb]]+INDIRECT(RefCell_R77)),data_Ni1000_TK6180[[#This Row],[Rpcb]])</f>
        <v>1135.1000000000008</v>
      </c>
      <c r="N29">
        <v>20</v>
      </c>
      <c r="O29">
        <v>1112.3599999999999</v>
      </c>
      <c r="P29">
        <v>1118.1199999999999</v>
      </c>
      <c r="Q29">
        <v>1123.9000000000001</v>
      </c>
      <c r="R29">
        <v>1129.68</v>
      </c>
      <c r="S29">
        <v>1135.48</v>
      </c>
      <c r="T29">
        <v>1141.29</v>
      </c>
      <c r="U29">
        <v>1147.1199999999999</v>
      </c>
      <c r="V29">
        <v>1152.96</v>
      </c>
      <c r="W29">
        <v>1158.81</v>
      </c>
      <c r="X29">
        <v>1164.68</v>
      </c>
    </row>
    <row r="30" spans="1:24" x14ac:dyDescent="0.25">
      <c r="A30" t="s">
        <v>44</v>
      </c>
      <c r="B30" s="8">
        <v>25.5</v>
      </c>
      <c r="C30" s="9">
        <v>1144.2049999999999</v>
      </c>
      <c r="D30" s="9" cm="1">
        <f t="array" aca="1" ref="D30" ca="1">INDIRECT(RefCell_Rpot)+SUM($G$3:G30)</f>
        <v>1144.2000000000007</v>
      </c>
      <c r="E30" s="9">
        <f ca="1">data_Ni1000_TK6180[[#This Row],[Rpcb]]-data_Ni1000_TK6180[[#This Row],[Rsonde]]</f>
        <v>-4.9999999991996447E-3</v>
      </c>
      <c r="F30" s="4">
        <f ca="1">data_Ni1000_TK6180[[#This Row],[Diff R]]/data_Ni1000_TK6180[[#This Row],[Rsonde]]</f>
        <v>-4.3698463118057037E-6</v>
      </c>
      <c r="G30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9.1</v>
      </c>
      <c r="H30" s="9" cm="1">
        <f t="array" aca="1" ref="H30" ca="1">MAX(IF(ResValuesR24&lt;=ROUND(data_Ni1000_TK6180[[#This Row],[Rsonde]],2)-IF(data_Ni1000_TK6180[[#This Row],[Rsonde]]=MIN(data_Ni1000_TK6180[Rsonde]),100,$D29),ResValuesR24))</f>
        <v>9.1</v>
      </c>
      <c r="I30" s="9">
        <f ca="1">ROUND(data_Ni1000_TK6180[[#This Row],[RaddLow]]+(IF(data_Ni1000_TK6180[[#This Row],[Rsonde]]=MIN(data_Ni1000_TK6180[Rsonde]),0,$D29)-data_Ni1000_TK6180[[#This Row],[Rsonde]]),2)</f>
        <v>0</v>
      </c>
      <c r="J30" s="9" cm="1">
        <f t="array" aca="1" ref="J30" ca="1">MIN(IF(ResValuesR24&gt;=ROUND(data_Ni1000_TK6180[[#This Row],[Rsonde]],2)-IF(data_Ni1000_TK6180[[#This Row],[Rsonde]]=MIN(data_Ni1000_TK6180[Rsonde]),100,$D29),ResValuesR24))</f>
        <v>10</v>
      </c>
      <c r="K30" s="9">
        <f ca="1">ROUND(data_Ni1000_TK6180[[#This Row],[RaddHigh]]+(IF(data_Ni1000_TK6180[[#This Row],[Rsonde]]=MIN(data_Ni1000_TK6180[Rsonde]),0,$D29)-data_Ni1000_TK6180[[#This Row],[Rsonde]]),2)</f>
        <v>0.9</v>
      </c>
      <c r="L30" s="2" cm="1">
        <f t="array" aca="1" ref="L30" ca="1">IF(INDIRECT(RefCell_R77),(data_Ni1000_TK6180[[#This Row],[Rpcb]]*INDIRECT(RefCell_R77))/(data_Ni1000_TK6180[[#This Row],[Rpcb]]+INDIRECT(RefCell_R77)),data_Ni1000_TK6180[[#This Row],[Rpcb]])</f>
        <v>1144.2000000000007</v>
      </c>
      <c r="N30">
        <v>30</v>
      </c>
      <c r="O30">
        <v>1170.56</v>
      </c>
      <c r="P30">
        <v>1176.45</v>
      </c>
      <c r="Q30">
        <v>1182.3599999999999</v>
      </c>
      <c r="R30">
        <v>1188.28</v>
      </c>
      <c r="S30">
        <v>1194.21</v>
      </c>
      <c r="T30">
        <v>1200.1600000000001</v>
      </c>
      <c r="U30">
        <v>1206.1300000000001</v>
      </c>
      <c r="V30">
        <v>1212.0999999999999</v>
      </c>
      <c r="W30">
        <v>1218.0899999999999</v>
      </c>
      <c r="X30">
        <v>1224.0899999999999</v>
      </c>
    </row>
    <row r="31" spans="1:24" x14ac:dyDescent="0.25">
      <c r="A31" t="s">
        <v>45</v>
      </c>
      <c r="B31" s="8">
        <v>27</v>
      </c>
      <c r="C31" s="9">
        <v>1152.96</v>
      </c>
      <c r="D31" s="9" cm="1">
        <f t="array" aca="1" ref="D31" ca="1">INDIRECT(RefCell_Rpot)+SUM($G$3:G31)</f>
        <v>1153.3000000000006</v>
      </c>
      <c r="E31" s="9">
        <f ca="1">data_Ni1000_TK6180[[#This Row],[Rpcb]]-data_Ni1000_TK6180[[#This Row],[Rsonde]]</f>
        <v>0.34000000000060027</v>
      </c>
      <c r="F31" s="4">
        <f ca="1">data_Ni1000_TK6180[[#This Row],[Diff R]]/data_Ni1000_TK6180[[#This Row],[Rsonde]]</f>
        <v>2.9489314460224143E-4</v>
      </c>
      <c r="G31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9.1</v>
      </c>
      <c r="H31" s="9" cm="1">
        <f t="array" aca="1" ref="H31" ca="1">MAX(IF(ResValuesR24&lt;=ROUND(data_Ni1000_TK6180[[#This Row],[Rsonde]],2)-IF(data_Ni1000_TK6180[[#This Row],[Rsonde]]=MIN(data_Ni1000_TK6180[Rsonde]),100,$D30),ResValuesR24))</f>
        <v>8.1999999999999993</v>
      </c>
      <c r="I31" s="9">
        <f ca="1">ROUND(data_Ni1000_TK6180[[#This Row],[RaddLow]]+(IF(data_Ni1000_TK6180[[#This Row],[Rsonde]]=MIN(data_Ni1000_TK6180[Rsonde]),0,$D30)-data_Ni1000_TK6180[[#This Row],[Rsonde]]),2)</f>
        <v>-0.56000000000000005</v>
      </c>
      <c r="J31" s="9" cm="1">
        <f t="array" aca="1" ref="J31" ca="1">MIN(IF(ResValuesR24&gt;=ROUND(data_Ni1000_TK6180[[#This Row],[Rsonde]],2)-IF(data_Ni1000_TK6180[[#This Row],[Rsonde]]=MIN(data_Ni1000_TK6180[Rsonde]),100,$D30),ResValuesR24))</f>
        <v>9.1</v>
      </c>
      <c r="K31" s="9">
        <f ca="1">ROUND(data_Ni1000_TK6180[[#This Row],[RaddHigh]]+(IF(data_Ni1000_TK6180[[#This Row],[Rsonde]]=MIN(data_Ni1000_TK6180[Rsonde]),0,$D30)-data_Ni1000_TK6180[[#This Row],[Rsonde]]),2)</f>
        <v>0.34</v>
      </c>
      <c r="L31" s="2" cm="1">
        <f t="array" aca="1" ref="L31" ca="1">IF(INDIRECT(RefCell_R77),(data_Ni1000_TK6180[[#This Row],[Rpcb]]*INDIRECT(RefCell_R77))/(data_Ni1000_TK6180[[#This Row],[Rpcb]]+INDIRECT(RefCell_R77)),data_Ni1000_TK6180[[#This Row],[Rpcb]])</f>
        <v>1153.3000000000006</v>
      </c>
    </row>
    <row r="32" spans="1:24" x14ac:dyDescent="0.25">
      <c r="A32" t="s">
        <v>46</v>
      </c>
      <c r="B32" s="8">
        <v>28.5</v>
      </c>
      <c r="C32" s="9">
        <v>1161.7449999999999</v>
      </c>
      <c r="D32" s="9" cm="1">
        <f t="array" aca="1" ref="D32" ca="1">INDIRECT(RefCell_Rpot)+SUM($G$3:G32)</f>
        <v>1161.5000000000007</v>
      </c>
      <c r="E32" s="9">
        <f ca="1">data_Ni1000_TK6180[[#This Row],[Rpcb]]-data_Ni1000_TK6180[[#This Row],[Rsonde]]</f>
        <v>-0.24499999999920874</v>
      </c>
      <c r="F32" s="4">
        <f ca="1">data_Ni1000_TK6180[[#This Row],[Diff R]]/data_Ni1000_TK6180[[#This Row],[Rsonde]]</f>
        <v>-2.1088965306432028E-4</v>
      </c>
      <c r="G32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32" s="9" cm="1">
        <f t="array" aca="1" ref="H32" ca="1">MAX(IF(ResValuesR24&lt;=ROUND(data_Ni1000_TK6180[[#This Row],[Rsonde]],2)-IF(data_Ni1000_TK6180[[#This Row],[Rsonde]]=MIN(data_Ni1000_TK6180[Rsonde]),100,$D31),ResValuesR24))</f>
        <v>8.1999999999999993</v>
      </c>
      <c r="I32" s="9">
        <f ca="1">ROUND(data_Ni1000_TK6180[[#This Row],[RaddLow]]+(IF(data_Ni1000_TK6180[[#This Row],[Rsonde]]=MIN(data_Ni1000_TK6180[Rsonde]),0,$D31)-data_Ni1000_TK6180[[#This Row],[Rsonde]]),2)</f>
        <v>-0.24</v>
      </c>
      <c r="J32" s="9" cm="1">
        <f t="array" aca="1" ref="J32" ca="1">MIN(IF(ResValuesR24&gt;=ROUND(data_Ni1000_TK6180[[#This Row],[Rsonde]],2)-IF(data_Ni1000_TK6180[[#This Row],[Rsonde]]=MIN(data_Ni1000_TK6180[Rsonde]),100,$D31),ResValuesR24))</f>
        <v>9.1</v>
      </c>
      <c r="K32" s="9">
        <f ca="1">ROUND(data_Ni1000_TK6180[[#This Row],[RaddHigh]]+(IF(data_Ni1000_TK6180[[#This Row],[Rsonde]]=MIN(data_Ni1000_TK6180[Rsonde]),0,$D31)-data_Ni1000_TK6180[[#This Row],[Rsonde]]),2)</f>
        <v>0.66</v>
      </c>
      <c r="L32" s="2" cm="1">
        <f t="array" aca="1" ref="L32" ca="1">IF(INDIRECT(RefCell_R77),(data_Ni1000_TK6180[[#This Row],[Rpcb]]*INDIRECT(RefCell_R77))/(data_Ni1000_TK6180[[#This Row],[Rpcb]]+INDIRECT(RefCell_R77)),data_Ni1000_TK6180[[#This Row],[Rpcb]])</f>
        <v>1161.5000000000007</v>
      </c>
    </row>
    <row r="33" spans="1:12" x14ac:dyDescent="0.25">
      <c r="A33" t="s">
        <v>47</v>
      </c>
      <c r="B33" s="8">
        <v>30</v>
      </c>
      <c r="C33" s="9">
        <v>1170.56</v>
      </c>
      <c r="D33" s="9" cm="1">
        <f t="array" aca="1" ref="D33" ca="1">INDIRECT(RefCell_Rpot)+SUM($G$3:G33)</f>
        <v>1170.6000000000006</v>
      </c>
      <c r="E33" s="9">
        <f ca="1">data_Ni1000_TK6180[[#This Row],[Rpcb]]-data_Ni1000_TK6180[[#This Row],[Rsonde]]</f>
        <v>4.0000000000645741E-2</v>
      </c>
      <c r="F33" s="4">
        <f ca="1">data_Ni1000_TK6180[[#This Row],[Diff R]]/data_Ni1000_TK6180[[#This Row],[Rsonde]]</f>
        <v>3.4171678513400205E-5</v>
      </c>
      <c r="G33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9.1</v>
      </c>
      <c r="H33" s="9" cm="1">
        <f t="array" aca="1" ref="H33" ca="1">MAX(IF(ResValuesR24&lt;=ROUND(data_Ni1000_TK6180[[#This Row],[Rsonde]],2)-IF(data_Ni1000_TK6180[[#This Row],[Rsonde]]=MIN(data_Ni1000_TK6180[Rsonde]),100,$D32),ResValuesR24))</f>
        <v>8.1999999999999993</v>
      </c>
      <c r="I33" s="9">
        <f ca="1">ROUND(data_Ni1000_TK6180[[#This Row],[RaddLow]]+(IF(data_Ni1000_TK6180[[#This Row],[Rsonde]]=MIN(data_Ni1000_TK6180[Rsonde]),0,$D32)-data_Ni1000_TK6180[[#This Row],[Rsonde]]),2)</f>
        <v>-0.86</v>
      </c>
      <c r="J33" s="9" cm="1">
        <f t="array" aca="1" ref="J33" ca="1">MIN(IF(ResValuesR24&gt;=ROUND(data_Ni1000_TK6180[[#This Row],[Rsonde]],2)-IF(data_Ni1000_TK6180[[#This Row],[Rsonde]]=MIN(data_Ni1000_TK6180[Rsonde]),100,$D32),ResValuesR24))</f>
        <v>9.1</v>
      </c>
      <c r="K33" s="9">
        <f ca="1">ROUND(data_Ni1000_TK6180[[#This Row],[RaddHigh]]+(IF(data_Ni1000_TK6180[[#This Row],[Rsonde]]=MIN(data_Ni1000_TK6180[Rsonde]),0,$D32)-data_Ni1000_TK6180[[#This Row],[Rsonde]]),2)</f>
        <v>0.04</v>
      </c>
      <c r="L33" s="2" cm="1">
        <f t="array" aca="1" ref="L33" ca="1">IF(INDIRECT(RefCell_R77),(data_Ni1000_TK6180[[#This Row],[Rpcb]]*INDIRECT(RefCell_R77))/(data_Ni1000_TK6180[[#This Row],[Rpcb]]+INDIRECT(RefCell_R77)),data_Ni1000_TK6180[[#This Row],[Rpcb]])</f>
        <v>1170.6000000000006</v>
      </c>
    </row>
    <row r="34" spans="1:12" x14ac:dyDescent="0.25">
      <c r="A34" t="s">
        <v>48</v>
      </c>
      <c r="B34" s="8">
        <v>31.5</v>
      </c>
      <c r="C34" s="9">
        <v>1179.405</v>
      </c>
      <c r="D34" s="9" cm="1">
        <f t="array" aca="1" ref="D34" ca="1">INDIRECT(RefCell_Rpot)+SUM($G$3:G34)</f>
        <v>1179.7000000000005</v>
      </c>
      <c r="E34" s="9">
        <f ca="1">data_Ni1000_TK6180[[#This Row],[Rpcb]]-data_Ni1000_TK6180[[#This Row],[Rsonde]]</f>
        <v>0.29500000000052751</v>
      </c>
      <c r="F34" s="4">
        <f ca="1">data_Ni1000_TK6180[[#This Row],[Diff R]]/data_Ni1000_TK6180[[#This Row],[Rsonde]]</f>
        <v>2.5012612291835929E-4</v>
      </c>
      <c r="G34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9.1</v>
      </c>
      <c r="H34" s="9" cm="1">
        <f t="array" aca="1" ref="H34" ca="1">MAX(IF(ResValuesR24&lt;=ROUND(data_Ni1000_TK6180[[#This Row],[Rsonde]],2)-IF(data_Ni1000_TK6180[[#This Row],[Rsonde]]=MIN(data_Ni1000_TK6180[Rsonde]),100,$D33),ResValuesR24))</f>
        <v>8.1999999999999993</v>
      </c>
      <c r="I34" s="9">
        <f ca="1">ROUND(data_Ni1000_TK6180[[#This Row],[RaddLow]]+(IF(data_Ni1000_TK6180[[#This Row],[Rsonde]]=MIN(data_Ni1000_TK6180[Rsonde]),0,$D33)-data_Ni1000_TK6180[[#This Row],[Rsonde]]),2)</f>
        <v>-0.6</v>
      </c>
      <c r="J34" s="9" cm="1">
        <f t="array" aca="1" ref="J34" ca="1">MIN(IF(ResValuesR24&gt;=ROUND(data_Ni1000_TK6180[[#This Row],[Rsonde]],2)-IF(data_Ni1000_TK6180[[#This Row],[Rsonde]]=MIN(data_Ni1000_TK6180[Rsonde]),100,$D33),ResValuesR24))</f>
        <v>9.1</v>
      </c>
      <c r="K34" s="9">
        <f ca="1">ROUND(data_Ni1000_TK6180[[#This Row],[RaddHigh]]+(IF(data_Ni1000_TK6180[[#This Row],[Rsonde]]=MIN(data_Ni1000_TK6180[Rsonde]),0,$D33)-data_Ni1000_TK6180[[#This Row],[Rsonde]]),2)</f>
        <v>0.3</v>
      </c>
      <c r="L34" s="2" cm="1">
        <f t="array" aca="1" ref="L34" ca="1">IF(INDIRECT(RefCell_R77),(data_Ni1000_TK6180[[#This Row],[Rpcb]]*INDIRECT(RefCell_R77))/(data_Ni1000_TK6180[[#This Row],[Rpcb]]+INDIRECT(RefCell_R77)),data_Ni1000_TK6180[[#This Row],[Rpcb]])</f>
        <v>1179.7000000000005</v>
      </c>
    </row>
  </sheetData>
  <mergeCells count="1">
    <mergeCell ref="A1:L1"/>
  </mergeCells>
  <conditionalFormatting sqref="F3:F34">
    <cfRule type="cellIs" dxfId="183" priority="1" operator="between">
      <formula>-0.005</formula>
      <formula>0.005</formula>
    </cfRule>
  </conditionalFormatting>
  <dataValidations count="1">
    <dataValidation type="list" allowBlank="1" showInputMessage="1" showErrorMessage="1" sqref="O3" xr:uid="{27C88A56-53B4-4959-97B6-EE0EEE718159}">
      <formula1>INDIRECT("TableR77[R]")</formula1>
    </dataValidation>
  </dataValidations>
  <hyperlinks>
    <hyperlink ref="N19" r:id="rId1" xr:uid="{B934A380-2C87-4725-AA60-087741EA3E51}"/>
    <hyperlink ref="Q3" r:id="rId2" display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xr:uid="{2530FBDA-BD5B-4F93-8FF8-BA2ECF4EABEC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6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7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8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9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10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11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12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r:id="rId13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6" r:id="rId14" name="Button 10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7" r:id="rId15" name="Button 11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765A4-BF90-4C34-80D6-F1ADD0A2468F}">
  <sheetPr codeName="Feuil10"/>
  <dimension ref="A1:R34"/>
  <sheetViews>
    <sheetView workbookViewId="0">
      <selection activeCell="E35" sqref="E35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8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8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63</v>
      </c>
      <c r="P2" s="7" t="s">
        <v>113</v>
      </c>
      <c r="R2" t="s">
        <v>224</v>
      </c>
    </row>
    <row r="3" spans="1:18" x14ac:dyDescent="0.25">
      <c r="A3" t="s">
        <v>48</v>
      </c>
      <c r="B3" s="8">
        <v>-15</v>
      </c>
      <c r="C3" s="9">
        <v>72502</v>
      </c>
      <c r="D3" s="9" cm="1">
        <f t="array" aca="1" ref="D3" ca="1">INDIRECT(RefCell_Rpot)+SUM(G3:G$34)</f>
        <v>72773</v>
      </c>
      <c r="E3" s="9">
        <f ca="1">data_NTC_10k_3977[[#This Row],[Rpcb]]-data_NTC_10k_3977[[#This Row],[Rsonde]]</f>
        <v>271</v>
      </c>
      <c r="F3" s="4">
        <f ca="1">data_NTC_10k_3977[[#This Row],[Diff R]]/data_NTC_10k_3977[[#This Row],[Rsonde]]</f>
        <v>3.7378279219883589E-3</v>
      </c>
      <c r="G3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6200</v>
      </c>
      <c r="H3" s="9" cm="1">
        <f t="array" aca="1" ref="H3" ca="1">MAX(IF(ResValuesR24&lt;=ROUND(data_NTC_10k_3977[[#This Row],[Rsonde]],2)-IF(data_NTC_10k_3977[[#This Row],[Rsonde]]=MIN(data_NTC_10k_3977[Rsonde]),100,$D4),ResValuesR24))</f>
        <v>5600</v>
      </c>
      <c r="I3" s="9">
        <f ca="1">ROUND(data_NTC_10k_3977[[#This Row],[RaddLow]]+(IF(data_NTC_10k_3977[[#This Row],[Rsonde]]=MIN(data_NTC_10k_3977[Rsonde]),0,$D4)-data_NTC_10k_3977[[#This Row],[Rsonde]]),2)</f>
        <v>-329</v>
      </c>
      <c r="J3" s="9" cm="1">
        <f t="array" aca="1" ref="J3" ca="1">MIN(IF(ResValuesR24&gt;=ROUND(data_NTC_10k_3977[[#This Row],[Rsonde]],2)-IF(data_NTC_10k_3977[[#This Row],[Rsonde]]=MIN(data_NTC_10k_3977[Rsonde]),100,$D4),ResValuesR24))</f>
        <v>6200</v>
      </c>
      <c r="K3" s="9">
        <f ca="1">ROUND(data_NTC_10k_3977[[#This Row],[RaddHigh]]+(IF(data_NTC_10k_3977[[#This Row],[Rsonde]]=MIN(data_NTC_10k_3977[Rsonde]),0,$D4)-data_NTC_10k_3977[[#This Row],[Rsonde]]),2)</f>
        <v>271</v>
      </c>
      <c r="L3" s="2" cm="1">
        <f t="array" aca="1" ref="L3" ca="1">IF(INDIRECT(RefCell_R77),(data_NTC_10k_3977[[#This Row],[Rpcb]]*INDIRECT(RefCell_R77))/(data_NTC_10k_3977[[#This Row],[Rpcb]]+INDIRECT(RefCell_R77)),data_NTC_10k_3977[[#This Row],[Rpcb]])</f>
        <v>4992.2987726056854</v>
      </c>
      <c r="N3" t="s">
        <v>112</v>
      </c>
      <c r="O3">
        <v>5360</v>
      </c>
      <c r="P3" s="7" t="s">
        <v>113</v>
      </c>
      <c r="R3">
        <v>5600</v>
      </c>
    </row>
    <row r="4" spans="1:18" x14ac:dyDescent="0.25">
      <c r="A4" t="s">
        <v>47</v>
      </c>
      <c r="B4" s="8">
        <v>-13.5</v>
      </c>
      <c r="C4" s="9">
        <v>66690</v>
      </c>
      <c r="D4" s="9" cm="1">
        <f t="array" aca="1" ref="D4" ca="1">INDIRECT(RefCell_Rpot)+SUM(G4:G$34)</f>
        <v>66573</v>
      </c>
      <c r="E4" s="9">
        <f ca="1">data_NTC_10k_3977[[#This Row],[Rpcb]]-data_NTC_10k_3977[[#This Row],[Rsonde]]</f>
        <v>-117</v>
      </c>
      <c r="F4" s="4">
        <f ca="1">data_NTC_10k_3977[[#This Row],[Diff R]]/data_NTC_10k_3977[[#This Row],[Rsonde]]</f>
        <v>-1.7543859649122807E-3</v>
      </c>
      <c r="G4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5100</v>
      </c>
      <c r="H4" s="9" cm="1">
        <f t="array" aca="1" ref="H4" ca="1">MAX(IF(ResValuesR24&lt;=ROUND(data_NTC_10k_3977[[#This Row],[Rsonde]],2)-IF(data_NTC_10k_3977[[#This Row],[Rsonde]]=MIN(data_NTC_10k_3977[Rsonde]),100,$D5),ResValuesR24))</f>
        <v>5100</v>
      </c>
      <c r="I4" s="9">
        <f ca="1">ROUND(data_NTC_10k_3977[[#This Row],[RaddLow]]+(IF(data_NTC_10k_3977[[#This Row],[Rsonde]]=MIN(data_NTC_10k_3977[Rsonde]),0,$D5)-data_NTC_10k_3977[[#This Row],[Rsonde]]),2)</f>
        <v>-117</v>
      </c>
      <c r="J4" s="9" cm="1">
        <f t="array" aca="1" ref="J4" ca="1">MIN(IF(ResValuesR24&gt;=ROUND(data_NTC_10k_3977[[#This Row],[Rsonde]],2)-IF(data_NTC_10k_3977[[#This Row],[Rsonde]]=MIN(data_NTC_10k_3977[Rsonde]),100,$D5),ResValuesR24))</f>
        <v>5600</v>
      </c>
      <c r="K4" s="9">
        <f ca="1">ROUND(data_NTC_10k_3977[[#This Row],[RaddHigh]]+(IF(data_NTC_10k_3977[[#This Row],[Rsonde]]=MIN(data_NTC_10k_3977[Rsonde]),0,$D5)-data_NTC_10k_3977[[#This Row],[Rsonde]]),2)</f>
        <v>383</v>
      </c>
      <c r="L4" s="2" cm="1">
        <f t="array" aca="1" ref="L4" ca="1">IF(INDIRECT(RefCell_R77),(data_NTC_10k_3977[[#This Row],[Rpcb]]*INDIRECT(RefCell_R77))/(data_NTC_10k_3977[[#This Row],[Rpcb]]+INDIRECT(RefCell_R77)),data_NTC_10k_3977[[#This Row],[Rpcb]])</f>
        <v>4960.6061195835009</v>
      </c>
      <c r="R4">
        <v>5600</v>
      </c>
    </row>
    <row r="5" spans="1:18" x14ac:dyDescent="0.25">
      <c r="A5" t="s">
        <v>46</v>
      </c>
      <c r="B5" s="8">
        <v>-12</v>
      </c>
      <c r="C5" s="9">
        <v>61394</v>
      </c>
      <c r="D5" s="9" cm="1">
        <f t="array" aca="1" ref="D5" ca="1">INDIRECT(RefCell_Rpot)+SUM(G5:G$34)</f>
        <v>61473</v>
      </c>
      <c r="E5" s="9">
        <f ca="1">data_NTC_10k_3977[[#This Row],[Rpcb]]-data_NTC_10k_3977[[#This Row],[Rsonde]]</f>
        <v>79</v>
      </c>
      <c r="F5" s="4">
        <f ca="1">data_NTC_10k_3977[[#This Row],[Diff R]]/data_NTC_10k_3977[[#This Row],[Rsonde]]</f>
        <v>1.2867706942046454E-3</v>
      </c>
      <c r="G5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5100</v>
      </c>
      <c r="H5" s="9" cm="1">
        <f t="array" aca="1" ref="H5" ca="1">MAX(IF(ResValuesR24&lt;=ROUND(data_NTC_10k_3977[[#This Row],[Rsonde]],2)-IF(data_NTC_10k_3977[[#This Row],[Rsonde]]=MIN(data_NTC_10k_3977[Rsonde]),100,$D6),ResValuesR24))</f>
        <v>4700</v>
      </c>
      <c r="I5" s="9">
        <f ca="1">ROUND(data_NTC_10k_3977[[#This Row],[RaddLow]]+(IF(data_NTC_10k_3977[[#This Row],[Rsonde]]=MIN(data_NTC_10k_3977[Rsonde]),0,$D6)-data_NTC_10k_3977[[#This Row],[Rsonde]]),2)</f>
        <v>-321</v>
      </c>
      <c r="J5" s="9" cm="1">
        <f t="array" aca="1" ref="J5" ca="1">MIN(IF(ResValuesR24&gt;=ROUND(data_NTC_10k_3977[[#This Row],[Rsonde]],2)-IF(data_NTC_10k_3977[[#This Row],[Rsonde]]=MIN(data_NTC_10k_3977[Rsonde]),100,$D6),ResValuesR24))</f>
        <v>5100</v>
      </c>
      <c r="K5" s="9">
        <f ca="1">ROUND(data_NTC_10k_3977[[#This Row],[RaddHigh]]+(IF(data_NTC_10k_3977[[#This Row],[Rsonde]]=MIN(data_NTC_10k_3977[Rsonde]),0,$D6)-data_NTC_10k_3977[[#This Row],[Rsonde]]),2)</f>
        <v>79</v>
      </c>
      <c r="L5" s="2" cm="1">
        <f t="array" aca="1" ref="L5" ca="1">IF(INDIRECT(RefCell_R77),(data_NTC_10k_3977[[#This Row],[Rpcb]]*INDIRECT(RefCell_R77))/(data_NTC_10k_3977[[#This Row],[Rpcb]]+INDIRECT(RefCell_R77)),data_NTC_10k_3977[[#This Row],[Rpcb]])</f>
        <v>4930.1285293193487</v>
      </c>
      <c r="N5" s="1" t="s">
        <v>215</v>
      </c>
      <c r="R5">
        <v>4300</v>
      </c>
    </row>
    <row r="6" spans="1:18" x14ac:dyDescent="0.25">
      <c r="A6" t="s">
        <v>45</v>
      </c>
      <c r="B6" s="8">
        <v>-10.5</v>
      </c>
      <c r="C6" s="9">
        <v>56563</v>
      </c>
      <c r="D6" s="9" cm="1">
        <f t="array" aca="1" ref="D6" ca="1">INDIRECT(RefCell_Rpot)+SUM(G6:G$34)</f>
        <v>56373</v>
      </c>
      <c r="E6" s="9">
        <f ca="1">data_NTC_10k_3977[[#This Row],[Rpcb]]-data_NTC_10k_3977[[#This Row],[Rsonde]]</f>
        <v>-190</v>
      </c>
      <c r="F6" s="4">
        <f ca="1">data_NTC_10k_3977[[#This Row],[Diff R]]/data_NTC_10k_3977[[#This Row],[Rsonde]]</f>
        <v>-3.3590863285186431E-3</v>
      </c>
      <c r="G6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4300</v>
      </c>
      <c r="H6" s="9" cm="1">
        <f t="array" aca="1" ref="H6" ca="1">MAX(IF(ResValuesR24&lt;=ROUND(data_NTC_10k_3977[[#This Row],[Rsonde]],2)-IF(data_NTC_10k_3977[[#This Row],[Rsonde]]=MIN(data_NTC_10k_3977[Rsonde]),100,$D7),ResValuesR24))</f>
        <v>4300</v>
      </c>
      <c r="I6" s="9">
        <f ca="1">ROUND(data_NTC_10k_3977[[#This Row],[RaddLow]]+(IF(data_NTC_10k_3977[[#This Row],[Rsonde]]=MIN(data_NTC_10k_3977[Rsonde]),0,$D7)-data_NTC_10k_3977[[#This Row],[Rsonde]]),2)</f>
        <v>-190</v>
      </c>
      <c r="J6" s="9" cm="1">
        <f t="array" aca="1" ref="J6" ca="1">MIN(IF(ResValuesR24&gt;=ROUND(data_NTC_10k_3977[[#This Row],[Rsonde]],2)-IF(data_NTC_10k_3977[[#This Row],[Rsonde]]=MIN(data_NTC_10k_3977[Rsonde]),100,$D7),ResValuesR24))</f>
        <v>4700</v>
      </c>
      <c r="K6" s="9">
        <f ca="1">ROUND(data_NTC_10k_3977[[#This Row],[RaddHigh]]+(IF(data_NTC_10k_3977[[#This Row],[Rsonde]]=MIN(data_NTC_10k_3977[Rsonde]),0,$D7)-data_NTC_10k_3977[[#This Row],[Rsonde]]),2)</f>
        <v>210</v>
      </c>
      <c r="L6" s="2" cm="1">
        <f t="array" aca="1" ref="L6" ca="1">IF(INDIRECT(RefCell_R77),(data_NTC_10k_3977[[#This Row],[Rpcb]]*INDIRECT(RefCell_R77))/(data_NTC_10k_3977[[#This Row],[Rpcb]]+INDIRECT(RefCell_R77)),data_NTC_10k_3977[[#This Row],[Rpcb]])</f>
        <v>4894.6151977062509</v>
      </c>
      <c r="N6" s="35" t="s">
        <v>131</v>
      </c>
      <c r="O6">
        <f t="shared" ref="O6" si="0">O14 - O11*O7 - O11^3*O8</f>
        <v>1.1311666630540308E-3</v>
      </c>
      <c r="R6">
        <v>4700</v>
      </c>
    </row>
    <row r="7" spans="1:18" x14ac:dyDescent="0.25">
      <c r="A7" t="s">
        <v>44</v>
      </c>
      <c r="B7" s="8">
        <v>-9</v>
      </c>
      <c r="C7" s="9">
        <v>52153</v>
      </c>
      <c r="D7" s="9" cm="1">
        <f t="array" aca="1" ref="D7" ca="1">INDIRECT(RefCell_Rpot)+SUM(G7:G$34)</f>
        <v>52073</v>
      </c>
      <c r="E7" s="9">
        <f ca="1">data_NTC_10k_3977[[#This Row],[Rpcb]]-data_NTC_10k_3977[[#This Row],[Rsonde]]</f>
        <v>-80</v>
      </c>
      <c r="F7" s="4">
        <f ca="1">data_NTC_10k_3977[[#This Row],[Diff R]]/data_NTC_10k_3977[[#This Row],[Rsonde]]</f>
        <v>-1.5339481908998524E-3</v>
      </c>
      <c r="G7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3900</v>
      </c>
      <c r="H7" s="9" cm="1">
        <f t="array" aca="1" ref="H7" ca="1">MAX(IF(ResValuesR24&lt;=ROUND(data_NTC_10k_3977[[#This Row],[Rsonde]],2)-IF(data_NTC_10k_3977[[#This Row],[Rsonde]]=MIN(data_NTC_10k_3977[Rsonde]),100,$D8),ResValuesR24))</f>
        <v>3900</v>
      </c>
      <c r="I7" s="9">
        <f ca="1">ROUND(data_NTC_10k_3977[[#This Row],[RaddLow]]+(IF(data_NTC_10k_3977[[#This Row],[Rsonde]]=MIN(data_NTC_10k_3977[Rsonde]),0,$D8)-data_NTC_10k_3977[[#This Row],[Rsonde]]),2)</f>
        <v>-80</v>
      </c>
      <c r="J7" s="9" cm="1">
        <f t="array" aca="1" ref="J7" ca="1">MIN(IF(ResValuesR24&gt;=ROUND(data_NTC_10k_3977[[#This Row],[Rsonde]],2)-IF(data_NTC_10k_3977[[#This Row],[Rsonde]]=MIN(data_NTC_10k_3977[Rsonde]),100,$D8),ResValuesR24))</f>
        <v>4300</v>
      </c>
      <c r="K7" s="9">
        <f ca="1">ROUND(data_NTC_10k_3977[[#This Row],[RaddHigh]]+(IF(data_NTC_10k_3977[[#This Row],[Rsonde]]=MIN(data_NTC_10k_3977[Rsonde]),0,$D8)-data_NTC_10k_3977[[#This Row],[Rsonde]]),2)</f>
        <v>320</v>
      </c>
      <c r="L7" s="2" cm="1">
        <f t="array" aca="1" ref="L7" ca="1">IF(INDIRECT(RefCell_R77),(data_NTC_10k_3977[[#This Row],[Rpcb]]*INDIRECT(RefCell_R77))/(data_NTC_10k_3977[[#This Row],[Rpcb]]+INDIRECT(RefCell_R77)),data_NTC_10k_3977[[#This Row],[Rpcb]])</f>
        <v>4859.7719081364376</v>
      </c>
      <c r="N7" s="35" t="s">
        <v>130</v>
      </c>
      <c r="O7">
        <f t="shared" ref="O7" si="1">(1/(O11-O12)) * (O14-O15-(O11^3-O12^3)*O8)</f>
        <v>2.3354464470411155E-4</v>
      </c>
      <c r="R7">
        <v>3900</v>
      </c>
    </row>
    <row r="8" spans="1:18" x14ac:dyDescent="0.25">
      <c r="A8" t="s">
        <v>43</v>
      </c>
      <c r="B8" s="8">
        <v>-7.5</v>
      </c>
      <c r="C8" s="9">
        <v>48123</v>
      </c>
      <c r="D8" s="9" cm="1">
        <f t="array" aca="1" ref="D8" ca="1">INDIRECT(RefCell_Rpot)+SUM(G8:G$34)</f>
        <v>48173</v>
      </c>
      <c r="E8" s="9">
        <f ca="1">data_NTC_10k_3977[[#This Row],[Rpcb]]-data_NTC_10k_3977[[#This Row],[Rsonde]]</f>
        <v>50</v>
      </c>
      <c r="F8" s="4">
        <f ca="1">data_NTC_10k_3977[[#This Row],[Diff R]]/data_NTC_10k_3977[[#This Row],[Rsonde]]</f>
        <v>1.0390042183571265E-3</v>
      </c>
      <c r="G8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3600</v>
      </c>
      <c r="H8" s="9" cm="1">
        <f t="array" aca="1" ref="H8" ca="1">MAX(IF(ResValuesR24&lt;=ROUND(data_NTC_10k_3977[[#This Row],[Rsonde]],2)-IF(data_NTC_10k_3977[[#This Row],[Rsonde]]=MIN(data_NTC_10k_3977[Rsonde]),100,$D9),ResValuesR24))</f>
        <v>3300</v>
      </c>
      <c r="I8" s="9">
        <f ca="1">ROUND(data_NTC_10k_3977[[#This Row],[RaddLow]]+(IF(data_NTC_10k_3977[[#This Row],[Rsonde]]=MIN(data_NTC_10k_3977[Rsonde]),0,$D9)-data_NTC_10k_3977[[#This Row],[Rsonde]]),2)</f>
        <v>-250</v>
      </c>
      <c r="J8" s="9" cm="1">
        <f t="array" aca="1" ref="J8" ca="1">MIN(IF(ResValuesR24&gt;=ROUND(data_NTC_10k_3977[[#This Row],[Rsonde]],2)-IF(data_NTC_10k_3977[[#This Row],[Rsonde]]=MIN(data_NTC_10k_3977[Rsonde]),100,$D9),ResValuesR24))</f>
        <v>3600</v>
      </c>
      <c r="K8" s="9">
        <f ca="1">ROUND(data_NTC_10k_3977[[#This Row],[RaddHigh]]+(IF(data_NTC_10k_3977[[#This Row],[Rsonde]]=MIN(data_NTC_10k_3977[Rsonde]),0,$D9)-data_NTC_10k_3977[[#This Row],[Rsonde]]),2)</f>
        <v>50</v>
      </c>
      <c r="L8" s="2" cm="1">
        <f t="array" aca="1" ref="L8" ca="1">IF(INDIRECT(RefCell_R77),(data_NTC_10k_3977[[#This Row],[Rpcb]]*INDIRECT(RefCell_R77))/(data_NTC_10k_3977[[#This Row],[Rpcb]]+INDIRECT(RefCell_R77)),data_NTC_10k_3977[[#This Row],[Rpcb]])</f>
        <v>4823.3291614518148</v>
      </c>
      <c r="N8" s="35" t="s">
        <v>129</v>
      </c>
      <c r="O8">
        <f t="shared" ref="O8" si="2">O10/O9</f>
        <v>9.1936482358299078E-8</v>
      </c>
      <c r="R8">
        <v>3900</v>
      </c>
    </row>
    <row r="9" spans="1:18" x14ac:dyDescent="0.25">
      <c r="A9" t="s">
        <v>42</v>
      </c>
      <c r="B9" s="8">
        <v>-6</v>
      </c>
      <c r="C9" s="9">
        <v>44439</v>
      </c>
      <c r="D9" s="9" cm="1">
        <f t="array" aca="1" ref="D9" ca="1">INDIRECT(RefCell_Rpot)+SUM(G9:G$34)</f>
        <v>44573</v>
      </c>
      <c r="E9" s="9">
        <f ca="1">data_NTC_10k_3977[[#This Row],[Rpcb]]-data_NTC_10k_3977[[#This Row],[Rsonde]]</f>
        <v>134</v>
      </c>
      <c r="F9" s="4">
        <f ca="1">data_NTC_10k_3977[[#This Row],[Diff R]]/data_NTC_10k_3977[[#This Row],[Rsonde]]</f>
        <v>3.0153693827493868E-3</v>
      </c>
      <c r="G9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3600</v>
      </c>
      <c r="H9" s="9" cm="1">
        <f t="array" aca="1" ref="H9" ca="1">MAX(IF(ResValuesR24&lt;=ROUND(data_NTC_10k_3977[[#This Row],[Rsonde]],2)-IF(data_NTC_10k_3977[[#This Row],[Rsonde]]=MIN(data_NTC_10k_3977[Rsonde]),100,$D10),ResValuesR24))</f>
        <v>3300</v>
      </c>
      <c r="I9" s="9">
        <f ca="1">ROUND(data_NTC_10k_3977[[#This Row],[RaddLow]]+(IF(data_NTC_10k_3977[[#This Row],[Rsonde]]=MIN(data_NTC_10k_3977[Rsonde]),0,$D10)-data_NTC_10k_3977[[#This Row],[Rsonde]]),2)</f>
        <v>-166</v>
      </c>
      <c r="J9" s="9" cm="1">
        <f t="array" aca="1" ref="J9" ca="1">MIN(IF(ResValuesR24&gt;=ROUND(data_NTC_10k_3977[[#This Row],[Rsonde]],2)-IF(data_NTC_10k_3977[[#This Row],[Rsonde]]=MIN(data_NTC_10k_3977[Rsonde]),100,$D10),ResValuesR24))</f>
        <v>3600</v>
      </c>
      <c r="K9" s="9">
        <f ca="1">ROUND(data_NTC_10k_3977[[#This Row],[RaddHigh]]+(IF(data_NTC_10k_3977[[#This Row],[Rsonde]]=MIN(data_NTC_10k_3977[Rsonde]),0,$D10)-data_NTC_10k_3977[[#This Row],[Rsonde]]),2)</f>
        <v>134</v>
      </c>
      <c r="L9" s="2" cm="1">
        <f t="array" aca="1" ref="L9" ca="1">IF(INDIRECT(RefCell_R77),(data_NTC_10k_3977[[#This Row],[Rpcb]]*INDIRECT(RefCell_R77))/(data_NTC_10k_3977[[#This Row],[Rpcb]]+INDIRECT(RefCell_R77)),data_NTC_10k_3977[[#This Row],[Rpcb]])</f>
        <v>4784.6370135982215</v>
      </c>
      <c r="N9" s="3" t="s">
        <v>181</v>
      </c>
      <c r="O9">
        <f t="shared" ref="O9" si="3">(O12-O13)/(O11-O12) * (O12^3-O11^3) + (O12^3-O13^3)</f>
        <v>-60.846113197936063</v>
      </c>
      <c r="R9">
        <v>3300</v>
      </c>
    </row>
    <row r="10" spans="1:18" x14ac:dyDescent="0.25">
      <c r="A10" t="s">
        <v>41</v>
      </c>
      <c r="B10" s="8">
        <v>-4.5</v>
      </c>
      <c r="C10" s="9">
        <v>41068</v>
      </c>
      <c r="D10" s="9" cm="1">
        <f t="array" aca="1" ref="D10" ca="1">INDIRECT(RefCell_Rpot)+SUM(G10:G$34)</f>
        <v>40973</v>
      </c>
      <c r="E10" s="9">
        <f ca="1">data_NTC_10k_3977[[#This Row],[Rpcb]]-data_NTC_10k_3977[[#This Row],[Rsonde]]</f>
        <v>-95</v>
      </c>
      <c r="F10" s="4">
        <f ca="1">data_NTC_10k_3977[[#This Row],[Diff R]]/data_NTC_10k_3977[[#This Row],[Rsonde]]</f>
        <v>-2.3132365832278174E-3</v>
      </c>
      <c r="G10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3000</v>
      </c>
      <c r="H10" s="9" cm="1">
        <f t="array" aca="1" ref="H10" ca="1">MAX(IF(ResValuesR24&lt;=ROUND(data_NTC_10k_3977[[#This Row],[Rsonde]],2)-IF(data_NTC_10k_3977[[#This Row],[Rsonde]]=MIN(data_NTC_10k_3977[Rsonde]),100,$D11),ResValuesR24))</f>
        <v>3000</v>
      </c>
      <c r="I10" s="9">
        <f ca="1">ROUND(data_NTC_10k_3977[[#This Row],[RaddLow]]+(IF(data_NTC_10k_3977[[#This Row],[Rsonde]]=MIN(data_NTC_10k_3977[Rsonde]),0,$D11)-data_NTC_10k_3977[[#This Row],[Rsonde]]),2)</f>
        <v>-95</v>
      </c>
      <c r="J10" s="9" cm="1">
        <f t="array" aca="1" ref="J10" ca="1">MIN(IF(ResValuesR24&gt;=ROUND(data_NTC_10k_3977[[#This Row],[Rsonde]],2)-IF(data_NTC_10k_3977[[#This Row],[Rsonde]]=MIN(data_NTC_10k_3977[Rsonde]),100,$D11),ResValuesR24))</f>
        <v>3300</v>
      </c>
      <c r="K10" s="9">
        <f ca="1">ROUND(data_NTC_10k_3977[[#This Row],[RaddHigh]]+(IF(data_NTC_10k_3977[[#This Row],[Rsonde]]=MIN(data_NTC_10k_3977[Rsonde]),0,$D11)-data_NTC_10k_3977[[#This Row],[Rsonde]]),2)</f>
        <v>205</v>
      </c>
      <c r="L10" s="2" cm="1">
        <f t="array" aca="1" ref="L10" ca="1">IF(INDIRECT(RefCell_R77),(data_NTC_10k_3977[[#This Row],[Rpcb]]*INDIRECT(RefCell_R77))/(data_NTC_10k_3977[[#This Row],[Rpcb]]+INDIRECT(RefCell_R77)),data_NTC_10k_3977[[#This Row],[Rpcb]])</f>
        <v>4739.9322297282715</v>
      </c>
      <c r="N10" s="3" t="s">
        <v>182</v>
      </c>
      <c r="O10">
        <f t="shared" ref="O10" si="4">O15 - O16 - ( (O12-O13)/(O11-O12) ) * (O14-O15)</f>
        <v>-5.5939776125931177E-6</v>
      </c>
      <c r="R10">
        <v>3300</v>
      </c>
    </row>
    <row r="11" spans="1:18" x14ac:dyDescent="0.25">
      <c r="A11" t="s">
        <v>40</v>
      </c>
      <c r="B11" s="8">
        <v>-3</v>
      </c>
      <c r="C11" s="9">
        <v>37980</v>
      </c>
      <c r="D11" s="9" cm="1">
        <f t="array" aca="1" ref="D11" ca="1">INDIRECT(RefCell_Rpot)+SUM(G11:G$34)</f>
        <v>37973</v>
      </c>
      <c r="E11" s="9">
        <f ca="1">data_NTC_10k_3977[[#This Row],[Rpcb]]-data_NTC_10k_3977[[#This Row],[Rsonde]]</f>
        <v>-7</v>
      </c>
      <c r="F11" s="4">
        <f ca="1">data_NTC_10k_3977[[#This Row],[Diff R]]/data_NTC_10k_3977[[#This Row],[Rsonde]]</f>
        <v>-1.8430753027909427E-4</v>
      </c>
      <c r="G11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2700</v>
      </c>
      <c r="H11" s="9" cm="1">
        <f t="array" aca="1" ref="H11" ca="1">MAX(IF(ResValuesR24&lt;=ROUND(data_NTC_10k_3977[[#This Row],[Rsonde]],2)-IF(data_NTC_10k_3977[[#This Row],[Rsonde]]=MIN(data_NTC_10k_3977[Rsonde]),100,$D12),ResValuesR24))</f>
        <v>2700</v>
      </c>
      <c r="I11" s="9">
        <f ca="1">ROUND(data_NTC_10k_3977[[#This Row],[RaddLow]]+(IF(data_NTC_10k_3977[[#This Row],[Rsonde]]=MIN(data_NTC_10k_3977[Rsonde]),0,$D12)-data_NTC_10k_3977[[#This Row],[Rsonde]]),2)</f>
        <v>-7</v>
      </c>
      <c r="J11" s="9" cm="1">
        <f t="array" aca="1" ref="J11" ca="1">MIN(IF(ResValuesR24&gt;=ROUND(data_NTC_10k_3977[[#This Row],[Rsonde]],2)-IF(data_NTC_10k_3977[[#This Row],[Rsonde]]=MIN(data_NTC_10k_3977[Rsonde]),100,$D12),ResValuesR24))</f>
        <v>3000</v>
      </c>
      <c r="K11" s="9">
        <f ca="1">ROUND(data_NTC_10k_3977[[#This Row],[RaddHigh]]+(IF(data_NTC_10k_3977[[#This Row],[Rsonde]]=MIN(data_NTC_10k_3977[Rsonde]),0,$D12)-data_NTC_10k_3977[[#This Row],[Rsonde]]),2)</f>
        <v>293</v>
      </c>
      <c r="L11" s="2" cm="1">
        <f t="array" aca="1" ref="L11" ca="1">IF(INDIRECT(RefCell_R77),(data_NTC_10k_3977[[#This Row],[Rpcb]]*INDIRECT(RefCell_R77))/(data_NTC_10k_3977[[#This Row],[Rpcb]]+INDIRECT(RefCell_R77)),data_NTC_10k_3977[[#This Row],[Rpcb]])</f>
        <v>4697.0041308010059</v>
      </c>
      <c r="N11" s="3" t="s">
        <v>178</v>
      </c>
      <c r="O11">
        <f>LN(C3)</f>
        <v>11.191369426669171</v>
      </c>
      <c r="R11">
        <v>2700</v>
      </c>
    </row>
    <row r="12" spans="1:18" x14ac:dyDescent="0.25">
      <c r="A12" t="s">
        <v>39</v>
      </c>
      <c r="B12" s="8">
        <v>-1.5</v>
      </c>
      <c r="C12" s="9">
        <v>35151</v>
      </c>
      <c r="D12" s="9" cm="1">
        <f t="array" aca="1" ref="D12" ca="1">INDIRECT(RefCell_Rpot)+SUM(G12:G$34)</f>
        <v>35273</v>
      </c>
      <c r="E12" s="9">
        <f ca="1">data_NTC_10k_3977[[#This Row],[Rpcb]]-data_NTC_10k_3977[[#This Row],[Rsonde]]</f>
        <v>122</v>
      </c>
      <c r="F12" s="4">
        <f ca="1">data_NTC_10k_3977[[#This Row],[Diff R]]/data_NTC_10k_3977[[#This Row],[Rsonde]]</f>
        <v>3.4707405194731302E-3</v>
      </c>
      <c r="G12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2700</v>
      </c>
      <c r="H12" s="9" cm="1">
        <f t="array" aca="1" ref="H12" ca="1">MAX(IF(ResValuesR24&lt;=ROUND(data_NTC_10k_3977[[#This Row],[Rsonde]],2)-IF(data_NTC_10k_3977[[#This Row],[Rsonde]]=MIN(data_NTC_10k_3977[Rsonde]),100,$D13),ResValuesR24))</f>
        <v>2400</v>
      </c>
      <c r="I12" s="9">
        <f ca="1">ROUND(data_NTC_10k_3977[[#This Row],[RaddLow]]+(IF(data_NTC_10k_3977[[#This Row],[Rsonde]]=MIN(data_NTC_10k_3977[Rsonde]),0,$D13)-data_NTC_10k_3977[[#This Row],[Rsonde]]),2)</f>
        <v>-178</v>
      </c>
      <c r="J12" s="9" cm="1">
        <f t="array" aca="1" ref="J12" ca="1">MIN(IF(ResValuesR24&gt;=ROUND(data_NTC_10k_3977[[#This Row],[Rsonde]],2)-IF(data_NTC_10k_3977[[#This Row],[Rsonde]]=MIN(data_NTC_10k_3977[Rsonde]),100,$D13),ResValuesR24))</f>
        <v>2700</v>
      </c>
      <c r="K12" s="9">
        <f ca="1">ROUND(data_NTC_10k_3977[[#This Row],[RaddHigh]]+(IF(data_NTC_10k_3977[[#This Row],[Rsonde]]=MIN(data_NTC_10k_3977[Rsonde]),0,$D13)-data_NTC_10k_3977[[#This Row],[Rsonde]]),2)</f>
        <v>122</v>
      </c>
      <c r="L12" s="2" cm="1">
        <f t="array" aca="1" ref="L12" ca="1">IF(INDIRECT(RefCell_R77),(data_NTC_10k_3977[[#This Row],[Rpcb]]*INDIRECT(RefCell_R77))/(data_NTC_10k_3977[[#This Row],[Rpcb]]+INDIRECT(RefCell_R77)),data_NTC_10k_3977[[#This Row],[Rpcb]])</f>
        <v>4652.9490807963966</v>
      </c>
      <c r="N12" s="3" t="s">
        <v>179</v>
      </c>
      <c r="O12">
        <f>LN(C17)</f>
        <v>10.090879566143188</v>
      </c>
      <c r="R12">
        <v>2700</v>
      </c>
    </row>
    <row r="13" spans="1:18" x14ac:dyDescent="0.25">
      <c r="A13" t="s">
        <v>38</v>
      </c>
      <c r="B13" s="8">
        <v>0</v>
      </c>
      <c r="C13" s="9">
        <v>32555</v>
      </c>
      <c r="D13" s="9" cm="1">
        <f t="array" aca="1" ref="D13" ca="1">INDIRECT(RefCell_Rpot)+SUM(G13:G$34)</f>
        <v>32573</v>
      </c>
      <c r="E13" s="9">
        <f ca="1">data_NTC_10k_3977[[#This Row],[Rpcb]]-data_NTC_10k_3977[[#This Row],[Rsonde]]</f>
        <v>18</v>
      </c>
      <c r="F13" s="4">
        <f ca="1">data_NTC_10k_3977[[#This Row],[Diff R]]/data_NTC_10k_3977[[#This Row],[Rsonde]]</f>
        <v>5.5291045922285364E-4</v>
      </c>
      <c r="G13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2400</v>
      </c>
      <c r="H13" s="9" cm="1">
        <f t="array" aca="1" ref="H13" ca="1">MAX(IF(ResValuesR24&lt;=ROUND(data_NTC_10k_3977[[#This Row],[Rsonde]],2)-IF(data_NTC_10k_3977[[#This Row],[Rsonde]]=MIN(data_NTC_10k_3977[Rsonde]),100,$D14),ResValuesR24))</f>
        <v>2200</v>
      </c>
      <c r="I13" s="9">
        <f ca="1">ROUND(data_NTC_10k_3977[[#This Row],[RaddLow]]+(IF(data_NTC_10k_3977[[#This Row],[Rsonde]]=MIN(data_NTC_10k_3977[Rsonde]),0,$D14)-data_NTC_10k_3977[[#This Row],[Rsonde]]),2)</f>
        <v>-182</v>
      </c>
      <c r="J13" s="9" cm="1">
        <f t="array" aca="1" ref="J13" ca="1">MIN(IF(ResValuesR24&gt;=ROUND(data_NTC_10k_3977[[#This Row],[Rsonde]],2)-IF(data_NTC_10k_3977[[#This Row],[Rsonde]]=MIN(data_NTC_10k_3977[Rsonde]),100,$D14),ResValuesR24))</f>
        <v>2400</v>
      </c>
      <c r="K13" s="9">
        <f ca="1">ROUND(data_NTC_10k_3977[[#This Row],[RaddHigh]]+(IF(data_NTC_10k_3977[[#This Row],[Rsonde]]=MIN(data_NTC_10k_3977[Rsonde]),0,$D14)-data_NTC_10k_3977[[#This Row],[Rsonde]]),2)</f>
        <v>18</v>
      </c>
      <c r="L13" s="2" cm="1">
        <f t="array" aca="1" ref="L13" ca="1">IF(INDIRECT(RefCell_R77),(data_NTC_10k_3977[[#This Row],[Rpcb]]*INDIRECT(RefCell_R77))/(data_NTC_10k_3977[[#This Row],[Rpcb]]+INDIRECT(RefCell_R77)),data_NTC_10k_3977[[#This Row],[Rpcb]])</f>
        <v>4602.6225186513066</v>
      </c>
      <c r="N13" s="3" t="s">
        <v>180</v>
      </c>
      <c r="O13">
        <f>LN(C31)</f>
        <v>9.1232562650690685</v>
      </c>
      <c r="R13">
        <v>2400</v>
      </c>
    </row>
    <row r="14" spans="1:18" x14ac:dyDescent="0.25">
      <c r="A14" t="s">
        <v>37</v>
      </c>
      <c r="B14" s="8">
        <v>1.5</v>
      </c>
      <c r="C14" s="9">
        <v>30173</v>
      </c>
      <c r="D14" s="9" cm="1">
        <f t="array" aca="1" ref="D14" ca="1">INDIRECT(RefCell_Rpot)+SUM(G14:G$34)</f>
        <v>30173</v>
      </c>
      <c r="E14" s="9">
        <f ca="1">data_NTC_10k_3977[[#This Row],[Rpcb]]-data_NTC_10k_3977[[#This Row],[Rsonde]]</f>
        <v>0</v>
      </c>
      <c r="F14" s="4">
        <f ca="1">data_NTC_10k_3977[[#This Row],[Diff R]]/data_NTC_10k_3977[[#This Row],[Rsonde]]</f>
        <v>0</v>
      </c>
      <c r="G14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2200</v>
      </c>
      <c r="H14" s="9" cm="1">
        <f t="array" aca="1" ref="H14" ca="1">MAX(IF(ResValuesR24&lt;=ROUND(data_NTC_10k_3977[[#This Row],[Rsonde]],2)-IF(data_NTC_10k_3977[[#This Row],[Rsonde]]=MIN(data_NTC_10k_3977[Rsonde]),100,$D15),ResValuesR24))</f>
        <v>2200</v>
      </c>
      <c r="I14" s="9">
        <f ca="1">ROUND(data_NTC_10k_3977[[#This Row],[RaddLow]]+(IF(data_NTC_10k_3977[[#This Row],[Rsonde]]=MIN(data_NTC_10k_3977[Rsonde]),0,$D15)-data_NTC_10k_3977[[#This Row],[Rsonde]]),2)</f>
        <v>0</v>
      </c>
      <c r="J14" s="9" cm="1">
        <f t="array" aca="1" ref="J14" ca="1">MIN(IF(ResValuesR24&gt;=ROUND(data_NTC_10k_3977[[#This Row],[Rsonde]],2)-IF(data_NTC_10k_3977[[#This Row],[Rsonde]]=MIN(data_NTC_10k_3977[Rsonde]),100,$D15),ResValuesR24))</f>
        <v>2200</v>
      </c>
      <c r="K14" s="9">
        <f ca="1">ROUND(data_NTC_10k_3977[[#This Row],[RaddHigh]]+(IF(data_NTC_10k_3977[[#This Row],[Rsonde]]=MIN(data_NTC_10k_3977[Rsonde]),0,$D15)-data_NTC_10k_3977[[#This Row],[Rsonde]]),2)</f>
        <v>0</v>
      </c>
      <c r="L14" s="2" cm="1">
        <f t="array" aca="1" ref="L14" ca="1">IF(INDIRECT(RefCell_R77),(data_NTC_10k_3977[[#This Row],[Rpcb]]*INDIRECT(RefCell_R77))/(data_NTC_10k_3977[[#This Row],[Rpcb]]+INDIRECT(RefCell_R77)),data_NTC_10k_3977[[#This Row],[Rpcb]])</f>
        <v>4551.4670869332731</v>
      </c>
      <c r="N14" s="3" t="s">
        <v>175</v>
      </c>
      <c r="O14">
        <f>1/(B3+273.15)</f>
        <v>3.8737168312996321E-3</v>
      </c>
      <c r="R14">
        <v>2200</v>
      </c>
    </row>
    <row r="15" spans="1:18" x14ac:dyDescent="0.25">
      <c r="A15" t="s">
        <v>36</v>
      </c>
      <c r="B15" s="8">
        <v>3</v>
      </c>
      <c r="C15" s="9">
        <v>27985</v>
      </c>
      <c r="D15" s="9" cm="1">
        <f t="array" aca="1" ref="D15" ca="1">INDIRECT(RefCell_Rpot)+SUM(G15:G$34)</f>
        <v>27973</v>
      </c>
      <c r="E15" s="9">
        <f ca="1">data_NTC_10k_3977[[#This Row],[Rpcb]]-data_NTC_10k_3977[[#This Row],[Rsonde]]</f>
        <v>-12</v>
      </c>
      <c r="F15" s="4">
        <f ca="1">data_NTC_10k_3977[[#This Row],[Diff R]]/data_NTC_10k_3977[[#This Row],[Rsonde]]</f>
        <v>-4.288011434697159E-4</v>
      </c>
      <c r="G15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2000</v>
      </c>
      <c r="H15" s="9" cm="1">
        <f t="array" aca="1" ref="H15" ca="1">MAX(IF(ResValuesR24&lt;=ROUND(data_NTC_10k_3977[[#This Row],[Rsonde]],2)-IF(data_NTC_10k_3977[[#This Row],[Rsonde]]=MIN(data_NTC_10k_3977[Rsonde]),100,$D16),ResValuesR24))</f>
        <v>2000</v>
      </c>
      <c r="I15" s="9">
        <f ca="1">ROUND(data_NTC_10k_3977[[#This Row],[RaddLow]]+(IF(data_NTC_10k_3977[[#This Row],[Rsonde]]=MIN(data_NTC_10k_3977[Rsonde]),0,$D16)-data_NTC_10k_3977[[#This Row],[Rsonde]]),2)</f>
        <v>-12</v>
      </c>
      <c r="J15" s="9" cm="1">
        <f t="array" aca="1" ref="J15" ca="1">MIN(IF(ResValuesR24&gt;=ROUND(data_NTC_10k_3977[[#This Row],[Rsonde]],2)-IF(data_NTC_10k_3977[[#This Row],[Rsonde]]=MIN(data_NTC_10k_3977[Rsonde]),100,$D16),ResValuesR24))</f>
        <v>2200</v>
      </c>
      <c r="K15" s="9">
        <f ca="1">ROUND(data_NTC_10k_3977[[#This Row],[RaddHigh]]+(IF(data_NTC_10k_3977[[#This Row],[Rsonde]]=MIN(data_NTC_10k_3977[Rsonde]),0,$D16)-data_NTC_10k_3977[[#This Row],[Rsonde]]),2)</f>
        <v>188</v>
      </c>
      <c r="L15" s="2" cm="1">
        <f t="array" aca="1" ref="L15" ca="1">IF(INDIRECT(RefCell_R77),(data_NTC_10k_3977[[#This Row],[Rpcb]]*INDIRECT(RefCell_R77))/(data_NTC_10k_3977[[#This Row],[Rpcb]]+INDIRECT(RefCell_R77)),data_NTC_10k_3977[[#This Row],[Rpcb]])</f>
        <v>4498.1033810338104</v>
      </c>
      <c r="N15" s="3" t="s">
        <v>176</v>
      </c>
      <c r="O15">
        <f>1/(B17+273.15)</f>
        <v>3.5823034210997673E-3</v>
      </c>
      <c r="R15">
        <v>2000</v>
      </c>
    </row>
    <row r="16" spans="1:18" x14ac:dyDescent="0.25">
      <c r="A16" t="s">
        <v>35</v>
      </c>
      <c r="B16" s="8">
        <v>4.5</v>
      </c>
      <c r="C16" s="9">
        <v>25973</v>
      </c>
      <c r="D16" s="9" cm="1">
        <f t="array" aca="1" ref="D16" ca="1">INDIRECT(RefCell_Rpot)+SUM(G16:G$34)</f>
        <v>25973</v>
      </c>
      <c r="E16" s="9">
        <f ca="1">data_NTC_10k_3977[[#This Row],[Rpcb]]-data_NTC_10k_3977[[#This Row],[Rsonde]]</f>
        <v>0</v>
      </c>
      <c r="F16" s="4">
        <f ca="1">data_NTC_10k_3977[[#This Row],[Diff R]]/data_NTC_10k_3977[[#This Row],[Rsonde]]</f>
        <v>0</v>
      </c>
      <c r="G16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1800</v>
      </c>
      <c r="H16" s="9" cm="1">
        <f t="array" aca="1" ref="H16" ca="1">MAX(IF(ResValuesR24&lt;=ROUND(data_NTC_10k_3977[[#This Row],[Rsonde]],2)-IF(data_NTC_10k_3977[[#This Row],[Rsonde]]=MIN(data_NTC_10k_3977[Rsonde]),100,$D17),ResValuesR24))</f>
        <v>1800</v>
      </c>
      <c r="I16" s="9">
        <f ca="1">ROUND(data_NTC_10k_3977[[#This Row],[RaddLow]]+(IF(data_NTC_10k_3977[[#This Row],[Rsonde]]=MIN(data_NTC_10k_3977[Rsonde]),0,$D17)-data_NTC_10k_3977[[#This Row],[Rsonde]]),2)</f>
        <v>0</v>
      </c>
      <c r="J16" s="9" cm="1">
        <f t="array" aca="1" ref="J16" ca="1">MIN(IF(ResValuesR24&gt;=ROUND(data_NTC_10k_3977[[#This Row],[Rsonde]],2)-IF(data_NTC_10k_3977[[#This Row],[Rsonde]]=MIN(data_NTC_10k_3977[Rsonde]),100,$D17),ResValuesR24))</f>
        <v>1800</v>
      </c>
      <c r="K16" s="9">
        <f ca="1">ROUND(data_NTC_10k_3977[[#This Row],[RaddHigh]]+(IF(data_NTC_10k_3977[[#This Row],[Rsonde]]=MIN(data_NTC_10k_3977[Rsonde]),0,$D17)-data_NTC_10k_3977[[#This Row],[Rsonde]]),2)</f>
        <v>0</v>
      </c>
      <c r="L16" s="2" cm="1">
        <f t="array" aca="1" ref="L16" ca="1">IF(INDIRECT(RefCell_R77),(data_NTC_10k_3977[[#This Row],[Rpcb]]*INDIRECT(RefCell_R77))/(data_NTC_10k_3977[[#This Row],[Rpcb]]+INDIRECT(RefCell_R77)),data_NTC_10k_3977[[#This Row],[Rpcb]])</f>
        <v>4443.0881179587013</v>
      </c>
      <c r="N16" s="3" t="s">
        <v>177</v>
      </c>
      <c r="O16">
        <f>1/(B31+273.15)</f>
        <v>3.331667499583542E-3</v>
      </c>
      <c r="R16">
        <v>2000</v>
      </c>
    </row>
    <row r="17" spans="1:18" x14ac:dyDescent="0.25">
      <c r="A17" t="s">
        <v>34</v>
      </c>
      <c r="B17" s="8">
        <v>6</v>
      </c>
      <c r="C17" s="9">
        <v>24122</v>
      </c>
      <c r="D17" s="9" cm="1">
        <f t="array" aca="1" ref="D17" ca="1">INDIRECT(RefCell_Rpot)+SUM(G17:G$34)</f>
        <v>24173</v>
      </c>
      <c r="E17" s="9">
        <f ca="1">data_NTC_10k_3977[[#This Row],[Rpcb]]-data_NTC_10k_3977[[#This Row],[Rsonde]]</f>
        <v>51</v>
      </c>
      <c r="F17" s="4">
        <f ca="1">data_NTC_10k_3977[[#This Row],[Diff R]]/data_NTC_10k_3977[[#This Row],[Rsonde]]</f>
        <v>2.114252549539839E-3</v>
      </c>
      <c r="G17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1800</v>
      </c>
      <c r="H17" s="9" cm="1">
        <f t="array" aca="1" ref="H17" ca="1">MAX(IF(ResValuesR24&lt;=ROUND(data_NTC_10k_3977[[#This Row],[Rsonde]],2)-IF(data_NTC_10k_3977[[#This Row],[Rsonde]]=MIN(data_NTC_10k_3977[Rsonde]),100,$D18),ResValuesR24))</f>
        <v>1600</v>
      </c>
      <c r="I17" s="9">
        <f ca="1">ROUND(data_NTC_10k_3977[[#This Row],[RaddLow]]+(IF(data_NTC_10k_3977[[#This Row],[Rsonde]]=MIN(data_NTC_10k_3977[Rsonde]),0,$D18)-data_NTC_10k_3977[[#This Row],[Rsonde]]),2)</f>
        <v>-149</v>
      </c>
      <c r="J17" s="9" cm="1">
        <f t="array" aca="1" ref="J17" ca="1">MIN(IF(ResValuesR24&gt;=ROUND(data_NTC_10k_3977[[#This Row],[Rsonde]],2)-IF(data_NTC_10k_3977[[#This Row],[Rsonde]]=MIN(data_NTC_10k_3977[Rsonde]),100,$D18),ResValuesR24))</f>
        <v>1800</v>
      </c>
      <c r="K17" s="9">
        <f ca="1">ROUND(data_NTC_10k_3977[[#This Row],[RaddHigh]]+(IF(data_NTC_10k_3977[[#This Row],[Rsonde]]=MIN(data_NTC_10k_3977[Rsonde]),0,$D18)-data_NTC_10k_3977[[#This Row],[Rsonde]]),2)</f>
        <v>51</v>
      </c>
      <c r="L17" s="2" cm="1">
        <f t="array" aca="1" ref="L17" ca="1">IF(INDIRECT(RefCell_R77),(data_NTC_10k_3977[[#This Row],[Rpcb]]*INDIRECT(RefCell_R77))/(data_NTC_10k_3977[[#This Row],[Rpcb]]+INDIRECT(RefCell_R77)),data_NTC_10k_3977[[#This Row],[Rpcb]])</f>
        <v>4387.2034673077578</v>
      </c>
      <c r="R17">
        <v>1600</v>
      </c>
    </row>
    <row r="18" spans="1:18" x14ac:dyDescent="0.25">
      <c r="A18" t="s">
        <v>33</v>
      </c>
      <c r="B18" s="8">
        <v>7.5</v>
      </c>
      <c r="C18" s="9">
        <v>22419</v>
      </c>
      <c r="D18" s="9" cm="1">
        <f t="array" aca="1" ref="D18" ca="1">INDIRECT(RefCell_Rpot)+SUM(G18:G$34)</f>
        <v>22373</v>
      </c>
      <c r="E18" s="9">
        <f ca="1">data_NTC_10k_3977[[#This Row],[Rpcb]]-data_NTC_10k_3977[[#This Row],[Rsonde]]</f>
        <v>-46</v>
      </c>
      <c r="F18" s="4">
        <f ca="1">data_NTC_10k_3977[[#This Row],[Diff R]]/data_NTC_10k_3977[[#This Row],[Rsonde]]</f>
        <v>-2.0518310361746731E-3</v>
      </c>
      <c r="G18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1500</v>
      </c>
      <c r="H18" s="9" cm="1">
        <f t="array" aca="1" ref="H18" ca="1">MAX(IF(ResValuesR24&lt;=ROUND(data_NTC_10k_3977[[#This Row],[Rsonde]],2)-IF(data_NTC_10k_3977[[#This Row],[Rsonde]]=MIN(data_NTC_10k_3977[Rsonde]),100,$D19),ResValuesR24))</f>
        <v>1500</v>
      </c>
      <c r="I18" s="9">
        <f ca="1">ROUND(data_NTC_10k_3977[[#This Row],[RaddLow]]+(IF(data_NTC_10k_3977[[#This Row],[Rsonde]]=MIN(data_NTC_10k_3977[Rsonde]),0,$D19)-data_NTC_10k_3977[[#This Row],[Rsonde]]),2)</f>
        <v>-46</v>
      </c>
      <c r="J18" s="9" cm="1">
        <f t="array" aca="1" ref="J18" ca="1">MIN(IF(ResValuesR24&gt;=ROUND(data_NTC_10k_3977[[#This Row],[Rsonde]],2)-IF(data_NTC_10k_3977[[#This Row],[Rsonde]]=MIN(data_NTC_10k_3977[Rsonde]),100,$D19),ResValuesR24))</f>
        <v>1600</v>
      </c>
      <c r="K18" s="9">
        <f ca="1">ROUND(data_NTC_10k_3977[[#This Row],[RaddHigh]]+(IF(data_NTC_10k_3977[[#This Row],[Rsonde]]=MIN(data_NTC_10k_3977[Rsonde]),0,$D19)-data_NTC_10k_3977[[#This Row],[Rsonde]]),2)</f>
        <v>54</v>
      </c>
      <c r="L18" s="2" cm="1">
        <f t="array" aca="1" ref="L18" ca="1">IF(INDIRECT(RefCell_R77),(data_NTC_10k_3977[[#This Row],[Rpcb]]*INDIRECT(RefCell_R77))/(data_NTC_10k_3977[[#This Row],[Rpcb]]+INDIRECT(RefCell_R77)),data_NTC_10k_3977[[#This Row],[Rpcb]])</f>
        <v>4324.0644719287493</v>
      </c>
      <c r="R18">
        <v>1600</v>
      </c>
    </row>
    <row r="19" spans="1:18" x14ac:dyDescent="0.25">
      <c r="A19" t="s">
        <v>32</v>
      </c>
      <c r="B19" s="8">
        <v>9</v>
      </c>
      <c r="C19" s="9">
        <v>20850</v>
      </c>
      <c r="D19" s="9" cm="1">
        <f t="array" aca="1" ref="D19" ca="1">INDIRECT(RefCell_Rpot)+SUM(G19:G$34)</f>
        <v>20873</v>
      </c>
      <c r="E19" s="9">
        <f ca="1">data_NTC_10k_3977[[#This Row],[Rpcb]]-data_NTC_10k_3977[[#This Row],[Rsonde]]</f>
        <v>23</v>
      </c>
      <c r="F19" s="4">
        <f ca="1">data_NTC_10k_3977[[#This Row],[Diff R]]/data_NTC_10k_3977[[#This Row],[Rsonde]]</f>
        <v>1.1031175059952039E-3</v>
      </c>
      <c r="G19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1500</v>
      </c>
      <c r="H19" s="9" cm="1">
        <f t="array" aca="1" ref="H19" ca="1">MAX(IF(ResValuesR24&lt;=ROUND(data_NTC_10k_3977[[#This Row],[Rsonde]],2)-IF(data_NTC_10k_3977[[#This Row],[Rsonde]]=MIN(data_NTC_10k_3977[Rsonde]),100,$D20),ResValuesR24))</f>
        <v>1300</v>
      </c>
      <c r="I19" s="9">
        <f ca="1">ROUND(data_NTC_10k_3977[[#This Row],[RaddLow]]+(IF(data_NTC_10k_3977[[#This Row],[Rsonde]]=MIN(data_NTC_10k_3977[Rsonde]),0,$D20)-data_NTC_10k_3977[[#This Row],[Rsonde]]),2)</f>
        <v>-177</v>
      </c>
      <c r="J19" s="9" cm="1">
        <f t="array" aca="1" ref="J19" ca="1">MIN(IF(ResValuesR24&gt;=ROUND(data_NTC_10k_3977[[#This Row],[Rsonde]],2)-IF(data_NTC_10k_3977[[#This Row],[Rsonde]]=MIN(data_NTC_10k_3977[Rsonde]),100,$D20),ResValuesR24))</f>
        <v>1500</v>
      </c>
      <c r="K19" s="9">
        <f ca="1">ROUND(data_NTC_10k_3977[[#This Row],[RaddHigh]]+(IF(data_NTC_10k_3977[[#This Row],[Rsonde]]=MIN(data_NTC_10k_3977[Rsonde]),0,$D20)-data_NTC_10k_3977[[#This Row],[Rsonde]]),2)</f>
        <v>23</v>
      </c>
      <c r="L19" s="2" cm="1">
        <f t="array" aca="1" ref="L19" ca="1">IF(INDIRECT(RefCell_R77),(data_NTC_10k_3977[[#This Row],[Rpcb]]*INDIRECT(RefCell_R77))/(data_NTC_10k_3977[[#This Row],[Rpcb]]+INDIRECT(RefCell_R77)),data_NTC_10k_3977[[#This Row],[Rpcb]])</f>
        <v>4264.8297945336026</v>
      </c>
      <c r="R19">
        <v>1300</v>
      </c>
    </row>
    <row r="20" spans="1:18" x14ac:dyDescent="0.25">
      <c r="A20" t="s">
        <v>31</v>
      </c>
      <c r="B20" s="8">
        <v>10.5</v>
      </c>
      <c r="C20" s="9">
        <v>19403</v>
      </c>
      <c r="D20" s="9" cm="1">
        <f t="array" aca="1" ref="D20" ca="1">INDIRECT(RefCell_Rpot)+SUM(G20:G$34)</f>
        <v>19373</v>
      </c>
      <c r="E20" s="9">
        <f ca="1">data_NTC_10k_3977[[#This Row],[Rpcb]]-data_NTC_10k_3977[[#This Row],[Rsonde]]</f>
        <v>-30</v>
      </c>
      <c r="F20" s="4">
        <f ca="1">data_NTC_10k_3977[[#This Row],[Diff R]]/data_NTC_10k_3977[[#This Row],[Rsonde]]</f>
        <v>-1.5461526568056486E-3</v>
      </c>
      <c r="G20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1300</v>
      </c>
      <c r="H20" s="9" cm="1">
        <f t="array" aca="1" ref="H20" ca="1">MAX(IF(ResValuesR24&lt;=ROUND(data_NTC_10k_3977[[#This Row],[Rsonde]],2)-IF(data_NTC_10k_3977[[#This Row],[Rsonde]]=MIN(data_NTC_10k_3977[Rsonde]),100,$D21),ResValuesR24))</f>
        <v>1300</v>
      </c>
      <c r="I20" s="9">
        <f ca="1">ROUND(data_NTC_10k_3977[[#This Row],[RaddLow]]+(IF(data_NTC_10k_3977[[#This Row],[Rsonde]]=MIN(data_NTC_10k_3977[Rsonde]),0,$D21)-data_NTC_10k_3977[[#This Row],[Rsonde]]),2)</f>
        <v>-30</v>
      </c>
      <c r="J20" s="9" cm="1">
        <f t="array" aca="1" ref="J20" ca="1">MIN(IF(ResValuesR24&gt;=ROUND(data_NTC_10k_3977[[#This Row],[Rsonde]],2)-IF(data_NTC_10k_3977[[#This Row],[Rsonde]]=MIN(data_NTC_10k_3977[Rsonde]),100,$D21),ResValuesR24))</f>
        <v>1500</v>
      </c>
      <c r="K20" s="9">
        <f ca="1">ROUND(data_NTC_10k_3977[[#This Row],[RaddHigh]]+(IF(data_NTC_10k_3977[[#This Row],[Rsonde]]=MIN(data_NTC_10k_3977[Rsonde]),0,$D21)-data_NTC_10k_3977[[#This Row],[Rsonde]]),2)</f>
        <v>170</v>
      </c>
      <c r="L20" s="2" cm="1">
        <f t="array" aca="1" ref="L20" ca="1">IF(INDIRECT(RefCell_R77),(data_NTC_10k_3977[[#This Row],[Rpcb]]*INDIRECT(RefCell_R77))/(data_NTC_10k_3977[[#This Row],[Rpcb]]+INDIRECT(RefCell_R77)),data_NTC_10k_3977[[#This Row],[Rpcb]])</f>
        <v>4198.4102211620102</v>
      </c>
      <c r="R20">
        <v>1500</v>
      </c>
    </row>
    <row r="21" spans="1:18" x14ac:dyDescent="0.25">
      <c r="A21" t="s">
        <v>30</v>
      </c>
      <c r="B21" s="8">
        <v>12</v>
      </c>
      <c r="C21" s="9">
        <v>18068</v>
      </c>
      <c r="D21" s="9" cm="1">
        <f t="array" aca="1" ref="D21" ca="1">INDIRECT(RefCell_Rpot)+SUM(G21:G$34)</f>
        <v>18073</v>
      </c>
      <c r="E21" s="9">
        <f ca="1">data_NTC_10k_3977[[#This Row],[Rpcb]]-data_NTC_10k_3977[[#This Row],[Rsonde]]</f>
        <v>5</v>
      </c>
      <c r="F21" s="4">
        <f ca="1">data_NTC_10k_3977[[#This Row],[Diff R]]/data_NTC_10k_3977[[#This Row],[Rsonde]]</f>
        <v>2.767323444764224E-4</v>
      </c>
      <c r="G21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1200</v>
      </c>
      <c r="H21" s="9" cm="1">
        <f t="array" aca="1" ref="H21" ca="1">MAX(IF(ResValuesR24&lt;=ROUND(data_NTC_10k_3977[[#This Row],[Rsonde]],2)-IF(data_NTC_10k_3977[[#This Row],[Rsonde]]=MIN(data_NTC_10k_3977[Rsonde]),100,$D22),ResValuesR24))</f>
        <v>1100</v>
      </c>
      <c r="I21" s="9">
        <f ca="1">ROUND(data_NTC_10k_3977[[#This Row],[RaddLow]]+(IF(data_NTC_10k_3977[[#This Row],[Rsonde]]=MIN(data_NTC_10k_3977[Rsonde]),0,$D22)-data_NTC_10k_3977[[#This Row],[Rsonde]]),2)</f>
        <v>-95</v>
      </c>
      <c r="J21" s="9" cm="1">
        <f t="array" aca="1" ref="J21" ca="1">MIN(IF(ResValuesR24&gt;=ROUND(data_NTC_10k_3977[[#This Row],[Rsonde]],2)-IF(data_NTC_10k_3977[[#This Row],[Rsonde]]=MIN(data_NTC_10k_3977[Rsonde]),100,$D22),ResValuesR24))</f>
        <v>1200</v>
      </c>
      <c r="K21" s="9">
        <f ca="1">ROUND(data_NTC_10k_3977[[#This Row],[RaddHigh]]+(IF(data_NTC_10k_3977[[#This Row],[Rsonde]]=MIN(data_NTC_10k_3977[Rsonde]),0,$D22)-data_NTC_10k_3977[[#This Row],[Rsonde]]),2)</f>
        <v>5</v>
      </c>
      <c r="L21" s="2" cm="1">
        <f t="array" aca="1" ref="L21" ca="1">IF(INDIRECT(RefCell_R77),(data_NTC_10k_3977[[#This Row],[Rpcb]]*INDIRECT(RefCell_R77))/(data_NTC_10k_3977[[#This Row],[Rpcb]]+INDIRECT(RefCell_R77)),data_NTC_10k_3977[[#This Row],[Rpcb]])</f>
        <v>4133.9683352537022</v>
      </c>
      <c r="R21">
        <v>1200</v>
      </c>
    </row>
    <row r="22" spans="1:18" x14ac:dyDescent="0.25">
      <c r="A22" t="s">
        <v>29</v>
      </c>
      <c r="B22" s="8">
        <v>13.5</v>
      </c>
      <c r="C22" s="9">
        <v>16836</v>
      </c>
      <c r="D22" s="9" cm="1">
        <f t="array" aca="1" ref="D22" ca="1">INDIRECT(RefCell_Rpot)+SUM(G22:G$34)</f>
        <v>16873</v>
      </c>
      <c r="E22" s="9">
        <f ca="1">data_NTC_10k_3977[[#This Row],[Rpcb]]-data_NTC_10k_3977[[#This Row],[Rsonde]]</f>
        <v>37</v>
      </c>
      <c r="F22" s="4">
        <f ca="1">data_NTC_10k_3977[[#This Row],[Diff R]]/data_NTC_10k_3977[[#This Row],[Rsonde]]</f>
        <v>2.197671655975291E-3</v>
      </c>
      <c r="G22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1200</v>
      </c>
      <c r="H22" s="9" cm="1">
        <f t="array" aca="1" ref="H22" ca="1">MAX(IF(ResValuesR24&lt;=ROUND(data_NTC_10k_3977[[#This Row],[Rsonde]],2)-IF(data_NTC_10k_3977[[#This Row],[Rsonde]]=MIN(data_NTC_10k_3977[Rsonde]),100,$D23),ResValuesR24))</f>
        <v>1100</v>
      </c>
      <c r="I22" s="9">
        <f ca="1">ROUND(data_NTC_10k_3977[[#This Row],[RaddLow]]+(IF(data_NTC_10k_3977[[#This Row],[Rsonde]]=MIN(data_NTC_10k_3977[Rsonde]),0,$D23)-data_NTC_10k_3977[[#This Row],[Rsonde]]),2)</f>
        <v>-63</v>
      </c>
      <c r="J22" s="9" cm="1">
        <f t="array" aca="1" ref="J22" ca="1">MIN(IF(ResValuesR24&gt;=ROUND(data_NTC_10k_3977[[#This Row],[Rsonde]],2)-IF(data_NTC_10k_3977[[#This Row],[Rsonde]]=MIN(data_NTC_10k_3977[Rsonde]),100,$D23),ResValuesR24))</f>
        <v>1200</v>
      </c>
      <c r="K22" s="9">
        <f ca="1">ROUND(data_NTC_10k_3977[[#This Row],[RaddHigh]]+(IF(data_NTC_10k_3977[[#This Row],[Rsonde]]=MIN(data_NTC_10k_3977[Rsonde]),0,$D23)-data_NTC_10k_3977[[#This Row],[Rsonde]]),2)</f>
        <v>37</v>
      </c>
      <c r="L22" s="2" cm="1">
        <f t="array" aca="1" ref="L22" ca="1">IF(INDIRECT(RefCell_R77),(data_NTC_10k_3977[[#This Row],[Rpcb]]*INDIRECT(RefCell_R77))/(data_NTC_10k_3977[[#This Row],[Rpcb]]+INDIRECT(RefCell_R77)),data_NTC_10k_3977[[#This Row],[Rpcb]])</f>
        <v>4067.7947195610127</v>
      </c>
      <c r="R22">
        <v>1200</v>
      </c>
    </row>
    <row r="23" spans="1:18" x14ac:dyDescent="0.25">
      <c r="A23" t="s">
        <v>28</v>
      </c>
      <c r="B23" s="8">
        <v>15</v>
      </c>
      <c r="C23" s="9">
        <v>15698</v>
      </c>
      <c r="D23" s="9" cm="1">
        <f t="array" aca="1" ref="D23" ca="1">INDIRECT(RefCell_Rpot)+SUM(G23:G$34)</f>
        <v>15673</v>
      </c>
      <c r="E23" s="9">
        <f ca="1">data_NTC_10k_3977[[#This Row],[Rpcb]]-data_NTC_10k_3977[[#This Row],[Rsonde]]</f>
        <v>-25</v>
      </c>
      <c r="F23" s="4">
        <f ca="1">data_NTC_10k_3977[[#This Row],[Diff R]]/data_NTC_10k_3977[[#This Row],[Rsonde]]</f>
        <v>-1.5925595617276086E-3</v>
      </c>
      <c r="G23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1000</v>
      </c>
      <c r="H23" s="9" cm="1">
        <f t="array" aca="1" ref="H23" ca="1">MAX(IF(ResValuesR24&lt;=ROUND(data_NTC_10k_3977[[#This Row],[Rsonde]],2)-IF(data_NTC_10k_3977[[#This Row],[Rsonde]]=MIN(data_NTC_10k_3977[Rsonde]),100,$D24),ResValuesR24))</f>
        <v>1000</v>
      </c>
      <c r="I23" s="9">
        <f ca="1">ROUND(data_NTC_10k_3977[[#This Row],[RaddLow]]+(IF(data_NTC_10k_3977[[#This Row],[Rsonde]]=MIN(data_NTC_10k_3977[Rsonde]),0,$D24)-data_NTC_10k_3977[[#This Row],[Rsonde]]),2)</f>
        <v>-25</v>
      </c>
      <c r="J23" s="9" cm="1">
        <f t="array" aca="1" ref="J23" ca="1">MIN(IF(ResValuesR24&gt;=ROUND(data_NTC_10k_3977[[#This Row],[Rsonde]],2)-IF(data_NTC_10k_3977[[#This Row],[Rsonde]]=MIN(data_NTC_10k_3977[Rsonde]),100,$D24),ResValuesR24))</f>
        <v>1100</v>
      </c>
      <c r="K23" s="9">
        <f ca="1">ROUND(data_NTC_10k_3977[[#This Row],[RaddHigh]]+(IF(data_NTC_10k_3977[[#This Row],[Rsonde]]=MIN(data_NTC_10k_3977[Rsonde]),0,$D24)-data_NTC_10k_3977[[#This Row],[Rsonde]]),2)</f>
        <v>75</v>
      </c>
      <c r="L23" s="2" cm="1">
        <f t="array" aca="1" ref="L23" ca="1">IF(INDIRECT(RefCell_R77),(data_NTC_10k_3977[[#This Row],[Rpcb]]*INDIRECT(RefCell_R77))/(data_NTC_10k_3977[[#This Row],[Rpcb]]+INDIRECT(RefCell_R77)),data_NTC_10k_3977[[#This Row],[Rpcb]])</f>
        <v>3994.0702705272665</v>
      </c>
      <c r="R23">
        <v>1000</v>
      </c>
    </row>
    <row r="24" spans="1:18" x14ac:dyDescent="0.25">
      <c r="A24" t="s">
        <v>27</v>
      </c>
      <c r="B24" s="8">
        <v>16.5</v>
      </c>
      <c r="C24" s="9">
        <v>14646</v>
      </c>
      <c r="D24" s="9" cm="1">
        <f t="array" aca="1" ref="D24" ca="1">INDIRECT(RefCell_Rpot)+SUM(G24:G$34)</f>
        <v>14673</v>
      </c>
      <c r="E24" s="9">
        <f ca="1">data_NTC_10k_3977[[#This Row],[Rpcb]]-data_NTC_10k_3977[[#This Row],[Rsonde]]</f>
        <v>27</v>
      </c>
      <c r="F24" s="4">
        <f ca="1">data_NTC_10k_3977[[#This Row],[Diff R]]/data_NTC_10k_3977[[#This Row],[Rsonde]]</f>
        <v>1.8435067595247848E-3</v>
      </c>
      <c r="G24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1000</v>
      </c>
      <c r="H24" s="9" cm="1">
        <f t="array" aca="1" ref="H24" ca="1">MAX(IF(ResValuesR24&lt;=ROUND(data_NTC_10k_3977[[#This Row],[Rsonde]],2)-IF(data_NTC_10k_3977[[#This Row],[Rsonde]]=MIN(data_NTC_10k_3977[Rsonde]),100,$D25),ResValuesR24))</f>
        <v>910</v>
      </c>
      <c r="I24" s="9">
        <f ca="1">ROUND(data_NTC_10k_3977[[#This Row],[RaddLow]]+(IF(data_NTC_10k_3977[[#This Row],[Rsonde]]=MIN(data_NTC_10k_3977[Rsonde]),0,$D25)-data_NTC_10k_3977[[#This Row],[Rsonde]]),2)</f>
        <v>-63</v>
      </c>
      <c r="J24" s="9" cm="1">
        <f t="array" aca="1" ref="J24" ca="1">MIN(IF(ResValuesR24&gt;=ROUND(data_NTC_10k_3977[[#This Row],[Rsonde]],2)-IF(data_NTC_10k_3977[[#This Row],[Rsonde]]=MIN(data_NTC_10k_3977[Rsonde]),100,$D25),ResValuesR24))</f>
        <v>1000</v>
      </c>
      <c r="K24" s="9">
        <f ca="1">ROUND(data_NTC_10k_3977[[#This Row],[RaddHigh]]+(IF(data_NTC_10k_3977[[#This Row],[Rsonde]]=MIN(data_NTC_10k_3977[Rsonde]),0,$D25)-data_NTC_10k_3977[[#This Row],[Rsonde]]),2)</f>
        <v>27</v>
      </c>
      <c r="L24" s="2" cm="1">
        <f t="array" aca="1" ref="L24" ca="1">IF(INDIRECT(RefCell_R77),(data_NTC_10k_3977[[#This Row],[Rpcb]]*INDIRECT(RefCell_R77))/(data_NTC_10k_3977[[#This Row],[Rpcb]]+INDIRECT(RefCell_R77)),data_NTC_10k_3977[[#This Row],[Rpcb]])</f>
        <v>3925.8862876254179</v>
      </c>
      <c r="R24">
        <v>1000</v>
      </c>
    </row>
    <row r="25" spans="1:18" x14ac:dyDescent="0.25">
      <c r="A25" t="s">
        <v>26</v>
      </c>
      <c r="B25" s="8">
        <v>18</v>
      </c>
      <c r="C25" s="9">
        <v>13673</v>
      </c>
      <c r="D25" s="9" cm="1">
        <f t="array" aca="1" ref="D25" ca="1">INDIRECT(RefCell_Rpot)+SUM(G25:G$34)</f>
        <v>13673</v>
      </c>
      <c r="E25" s="9">
        <f ca="1">data_NTC_10k_3977[[#This Row],[Rpcb]]-data_NTC_10k_3977[[#This Row],[Rsonde]]</f>
        <v>0</v>
      </c>
      <c r="F25" s="4">
        <f ca="1">data_NTC_10k_3977[[#This Row],[Diff R]]/data_NTC_10k_3977[[#This Row],[Rsonde]]</f>
        <v>0</v>
      </c>
      <c r="G25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910</v>
      </c>
      <c r="H25" s="9" cm="1">
        <f t="array" aca="1" ref="H25" ca="1">MAX(IF(ResValuesR24&lt;=ROUND(data_NTC_10k_3977[[#This Row],[Rsonde]],2)-IF(data_NTC_10k_3977[[#This Row],[Rsonde]]=MIN(data_NTC_10k_3977[Rsonde]),100,$D26),ResValuesR24))</f>
        <v>910</v>
      </c>
      <c r="I25" s="9">
        <f ca="1">ROUND(data_NTC_10k_3977[[#This Row],[RaddLow]]+(IF(data_NTC_10k_3977[[#This Row],[Rsonde]]=MIN(data_NTC_10k_3977[Rsonde]),0,$D26)-data_NTC_10k_3977[[#This Row],[Rsonde]]),2)</f>
        <v>0</v>
      </c>
      <c r="J25" s="9" cm="1">
        <f t="array" aca="1" ref="J25" ca="1">MIN(IF(ResValuesR24&gt;=ROUND(data_NTC_10k_3977[[#This Row],[Rsonde]],2)-IF(data_NTC_10k_3977[[#This Row],[Rsonde]]=MIN(data_NTC_10k_3977[Rsonde]),100,$D26),ResValuesR24))</f>
        <v>910</v>
      </c>
      <c r="K25" s="9">
        <f ca="1">ROUND(data_NTC_10k_3977[[#This Row],[RaddHigh]]+(IF(data_NTC_10k_3977[[#This Row],[Rsonde]]=MIN(data_NTC_10k_3977[Rsonde]),0,$D26)-data_NTC_10k_3977[[#This Row],[Rsonde]]),2)</f>
        <v>0</v>
      </c>
      <c r="L25" s="2" cm="1">
        <f t="array" aca="1" ref="L25" ca="1">IF(INDIRECT(RefCell_R77),(data_NTC_10k_3977[[#This Row],[Rpcb]]*INDIRECT(RefCell_R77))/(data_NTC_10k_3977[[#This Row],[Rpcb]]+INDIRECT(RefCell_R77)),data_NTC_10k_3977[[#This Row],[Rpcb]])</f>
        <v>3850.537487521673</v>
      </c>
      <c r="R25">
        <v>820</v>
      </c>
    </row>
    <row r="26" spans="1:18" x14ac:dyDescent="0.25">
      <c r="A26" t="s">
        <v>25</v>
      </c>
      <c r="B26" s="8">
        <v>19.5</v>
      </c>
      <c r="C26" s="9">
        <v>12773</v>
      </c>
      <c r="D26" s="9" cm="1">
        <f t="array" aca="1" ref="D26" ca="1">INDIRECT(RefCell_Rpot)+SUM(G26:G$34)</f>
        <v>12763</v>
      </c>
      <c r="E26" s="9">
        <f ca="1">data_NTC_10k_3977[[#This Row],[Rpcb]]-data_NTC_10k_3977[[#This Row],[Rsonde]]</f>
        <v>-10</v>
      </c>
      <c r="F26" s="4">
        <f ca="1">data_NTC_10k_3977[[#This Row],[Diff R]]/data_NTC_10k_3977[[#This Row],[Rsonde]]</f>
        <v>-7.8290143270962184E-4</v>
      </c>
      <c r="G26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819.99999999999989</v>
      </c>
      <c r="H26" s="9" cm="1">
        <f t="array" aca="1" ref="H26" ca="1">MAX(IF(ResValuesR24&lt;=ROUND(data_NTC_10k_3977[[#This Row],[Rsonde]],2)-IF(data_NTC_10k_3977[[#This Row],[Rsonde]]=MIN(data_NTC_10k_3977[Rsonde]),100,$D27),ResValuesR24))</f>
        <v>819.99999999999989</v>
      </c>
      <c r="I26" s="9">
        <f ca="1">ROUND(data_NTC_10k_3977[[#This Row],[RaddLow]]+(IF(data_NTC_10k_3977[[#This Row],[Rsonde]]=MIN(data_NTC_10k_3977[Rsonde]),0,$D27)-data_NTC_10k_3977[[#This Row],[Rsonde]]),2)</f>
        <v>-10</v>
      </c>
      <c r="J26" s="9" cm="1">
        <f t="array" aca="1" ref="J26" ca="1">MIN(IF(ResValuesR24&gt;=ROUND(data_NTC_10k_3977[[#This Row],[Rsonde]],2)-IF(data_NTC_10k_3977[[#This Row],[Rsonde]]=MIN(data_NTC_10k_3977[Rsonde]),100,$D27),ResValuesR24))</f>
        <v>910</v>
      </c>
      <c r="K26" s="9">
        <f ca="1">ROUND(data_NTC_10k_3977[[#This Row],[RaddHigh]]+(IF(data_NTC_10k_3977[[#This Row],[Rsonde]]=MIN(data_NTC_10k_3977[Rsonde]),0,$D27)-data_NTC_10k_3977[[#This Row],[Rsonde]]),2)</f>
        <v>80</v>
      </c>
      <c r="L26" s="2" cm="1">
        <f t="array" aca="1" ref="L26" ca="1">IF(INDIRECT(RefCell_R77),(data_NTC_10k_3977[[#This Row],[Rpcb]]*INDIRECT(RefCell_R77))/(data_NTC_10k_3977[[#This Row],[Rpcb]]+INDIRECT(RefCell_R77)),data_NTC_10k_3977[[#This Row],[Rpcb]])</f>
        <v>3774.7436958560943</v>
      </c>
      <c r="R26">
        <v>910</v>
      </c>
    </row>
    <row r="27" spans="1:18" x14ac:dyDescent="0.25">
      <c r="A27" t="s">
        <v>24</v>
      </c>
      <c r="B27" s="8">
        <v>21</v>
      </c>
      <c r="C27" s="9">
        <v>11939</v>
      </c>
      <c r="D27" s="9" cm="1">
        <f t="array" aca="1" ref="D27" ca="1">INDIRECT(RefCell_Rpot)+SUM(G27:G$34)</f>
        <v>11943</v>
      </c>
      <c r="E27" s="9">
        <f ca="1">data_NTC_10k_3977[[#This Row],[Rpcb]]-data_NTC_10k_3977[[#This Row],[Rsonde]]</f>
        <v>4</v>
      </c>
      <c r="F27" s="4">
        <f ca="1">data_NTC_10k_3977[[#This Row],[Diff R]]/data_NTC_10k_3977[[#This Row],[Rsonde]]</f>
        <v>3.3503643521232932E-4</v>
      </c>
      <c r="G27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750</v>
      </c>
      <c r="H27" s="9" cm="1">
        <f t="array" aca="1" ref="H27" ca="1">MAX(IF(ResValuesR24&lt;=ROUND(data_NTC_10k_3977[[#This Row],[Rsonde]],2)-IF(data_NTC_10k_3977[[#This Row],[Rsonde]]=MIN(data_NTC_10k_3977[Rsonde]),100,$D28),ResValuesR24))</f>
        <v>680</v>
      </c>
      <c r="I27" s="9">
        <f ca="1">ROUND(data_NTC_10k_3977[[#This Row],[RaddLow]]+(IF(data_NTC_10k_3977[[#This Row],[Rsonde]]=MIN(data_NTC_10k_3977[Rsonde]),0,$D28)-data_NTC_10k_3977[[#This Row],[Rsonde]]),2)</f>
        <v>-66</v>
      </c>
      <c r="J27" s="9" cm="1">
        <f t="array" aca="1" ref="J27" ca="1">MIN(IF(ResValuesR24&gt;=ROUND(data_NTC_10k_3977[[#This Row],[Rsonde]],2)-IF(data_NTC_10k_3977[[#This Row],[Rsonde]]=MIN(data_NTC_10k_3977[Rsonde]),100,$D28),ResValuesR24))</f>
        <v>750</v>
      </c>
      <c r="K27" s="9">
        <f ca="1">ROUND(data_NTC_10k_3977[[#This Row],[RaddHigh]]+(IF(data_NTC_10k_3977[[#This Row],[Rsonde]]=MIN(data_NTC_10k_3977[Rsonde]),0,$D28)-data_NTC_10k_3977[[#This Row],[Rsonde]]),2)</f>
        <v>4</v>
      </c>
      <c r="L27" s="2" cm="1">
        <f t="array" aca="1" ref="L27" ca="1">IF(INDIRECT(RefCell_R77),(data_NTC_10k_3977[[#This Row],[Rpcb]]*INDIRECT(RefCell_R77))/(data_NTC_10k_3977[[#This Row],[Rpcb]]+INDIRECT(RefCell_R77)),data_NTC_10k_3977[[#This Row],[Rpcb]])</f>
        <v>3699.6174073860025</v>
      </c>
      <c r="R27">
        <v>750</v>
      </c>
    </row>
    <row r="28" spans="1:18" x14ac:dyDescent="0.25">
      <c r="A28" t="s">
        <v>23</v>
      </c>
      <c r="B28" s="8">
        <v>22.5</v>
      </c>
      <c r="C28" s="9">
        <v>11166</v>
      </c>
      <c r="D28" s="9" cm="1">
        <f t="array" aca="1" ref="D28" ca="1">INDIRECT(RefCell_Rpot)+SUM(G28:G$34)</f>
        <v>11193</v>
      </c>
      <c r="E28" s="9">
        <f ca="1">data_NTC_10k_3977[[#This Row],[Rpcb]]-data_NTC_10k_3977[[#This Row],[Rsonde]]</f>
        <v>27</v>
      </c>
      <c r="F28" s="4">
        <f ca="1">data_NTC_10k_3977[[#This Row],[Diff R]]/data_NTC_10k_3977[[#This Row],[Rsonde]]</f>
        <v>2.4180548092423426E-3</v>
      </c>
      <c r="G28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750</v>
      </c>
      <c r="H28" s="9" cm="1">
        <f t="array" aca="1" ref="H28" ca="1">MAX(IF(ResValuesR24&lt;=ROUND(data_NTC_10k_3977[[#This Row],[Rsonde]],2)-IF(data_NTC_10k_3977[[#This Row],[Rsonde]]=MIN(data_NTC_10k_3977[Rsonde]),100,$D29),ResValuesR24))</f>
        <v>680</v>
      </c>
      <c r="I28" s="9">
        <f ca="1">ROUND(data_NTC_10k_3977[[#This Row],[RaddLow]]+(IF(data_NTC_10k_3977[[#This Row],[Rsonde]]=MIN(data_NTC_10k_3977[Rsonde]),0,$D29)-data_NTC_10k_3977[[#This Row],[Rsonde]]),2)</f>
        <v>-43</v>
      </c>
      <c r="J28" s="9" cm="1">
        <f t="array" aca="1" ref="J28" ca="1">MIN(IF(ResValuesR24&gt;=ROUND(data_NTC_10k_3977[[#This Row],[Rsonde]],2)-IF(data_NTC_10k_3977[[#This Row],[Rsonde]]=MIN(data_NTC_10k_3977[Rsonde]),100,$D29),ResValuesR24))</f>
        <v>750</v>
      </c>
      <c r="K28" s="9">
        <f ca="1">ROUND(data_NTC_10k_3977[[#This Row],[RaddHigh]]+(IF(data_NTC_10k_3977[[#This Row],[Rsonde]]=MIN(data_NTC_10k_3977[Rsonde]),0,$D29)-data_NTC_10k_3977[[#This Row],[Rsonde]]),2)</f>
        <v>27</v>
      </c>
      <c r="L28" s="2" cm="1">
        <f t="array" aca="1" ref="L28" ca="1">IF(INDIRECT(RefCell_R77),(data_NTC_10k_3977[[#This Row],[Rpcb]]*INDIRECT(RefCell_R77))/(data_NTC_10k_3977[[#This Row],[Rpcb]]+INDIRECT(RefCell_R77)),data_NTC_10k_3977[[#This Row],[Rpcb]])</f>
        <v>3624.3871201594875</v>
      </c>
      <c r="R28">
        <v>750</v>
      </c>
    </row>
    <row r="29" spans="1:18" x14ac:dyDescent="0.25">
      <c r="A29" t="s">
        <v>22</v>
      </c>
      <c r="B29" s="8">
        <v>24</v>
      </c>
      <c r="C29" s="9">
        <v>10449</v>
      </c>
      <c r="D29" s="9" cm="1">
        <f t="array" aca="1" ref="D29" ca="1">INDIRECT(RefCell_Rpot)+SUM(G29:G$34)</f>
        <v>10443</v>
      </c>
      <c r="E29" s="9">
        <f ca="1">data_NTC_10k_3977[[#This Row],[Rpcb]]-data_NTC_10k_3977[[#This Row],[Rsonde]]</f>
        <v>-6</v>
      </c>
      <c r="F29" s="4">
        <f ca="1">data_NTC_10k_3977[[#This Row],[Diff R]]/data_NTC_10k_3977[[#This Row],[Rsonde]]</f>
        <v>-5.7421762848119441E-4</v>
      </c>
      <c r="G29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680</v>
      </c>
      <c r="H29" s="9" cm="1">
        <f t="array" aca="1" ref="H29" ca="1">MAX(IF(ResValuesR24&lt;=ROUND(data_NTC_10k_3977[[#This Row],[Rsonde]],2)-IF(data_NTC_10k_3977[[#This Row],[Rsonde]]=MIN(data_NTC_10k_3977[Rsonde]),100,$D30),ResValuesR24))</f>
        <v>680</v>
      </c>
      <c r="I29" s="9">
        <f ca="1">ROUND(data_NTC_10k_3977[[#This Row],[RaddLow]]+(IF(data_NTC_10k_3977[[#This Row],[Rsonde]]=MIN(data_NTC_10k_3977[Rsonde]),0,$D30)-data_NTC_10k_3977[[#This Row],[Rsonde]]),2)</f>
        <v>-6</v>
      </c>
      <c r="J29" s="9" cm="1">
        <f t="array" aca="1" ref="J29" ca="1">MIN(IF(ResValuesR24&gt;=ROUND(data_NTC_10k_3977[[#This Row],[Rsonde]],2)-IF(data_NTC_10k_3977[[#This Row],[Rsonde]]=MIN(data_NTC_10k_3977[Rsonde]),100,$D30),ResValuesR24))</f>
        <v>750</v>
      </c>
      <c r="K29" s="9">
        <f ca="1">ROUND(data_NTC_10k_3977[[#This Row],[RaddHigh]]+(IF(data_NTC_10k_3977[[#This Row],[Rsonde]]=MIN(data_NTC_10k_3977[Rsonde]),0,$D30)-data_NTC_10k_3977[[#This Row],[Rsonde]]),2)</f>
        <v>64</v>
      </c>
      <c r="L29" s="2" cm="1">
        <f t="array" aca="1" ref="L29" ca="1">IF(INDIRECT(RefCell_R77),(data_NTC_10k_3977[[#This Row],[Rpcb]]*INDIRECT(RefCell_R77))/(data_NTC_10k_3977[[#This Row],[Rpcb]]+INDIRECT(RefCell_R77)),data_NTC_10k_3977[[#This Row],[Rpcb]])</f>
        <v>3542.0160728975511</v>
      </c>
      <c r="R29">
        <v>620</v>
      </c>
    </row>
    <row r="30" spans="1:18" x14ac:dyDescent="0.25">
      <c r="A30" t="s">
        <v>21</v>
      </c>
      <c r="B30" s="8">
        <v>25.5</v>
      </c>
      <c r="C30" s="9">
        <v>9784</v>
      </c>
      <c r="D30" s="9" cm="1">
        <f t="array" aca="1" ref="D30" ca="1">INDIRECT(RefCell_Rpot)+SUM(G30:G$34)</f>
        <v>9763</v>
      </c>
      <c r="E30" s="9">
        <f ca="1">data_NTC_10k_3977[[#This Row],[Rpcb]]-data_NTC_10k_3977[[#This Row],[Rsonde]]</f>
        <v>-21</v>
      </c>
      <c r="F30" s="4">
        <f ca="1">data_NTC_10k_3977[[#This Row],[Diff R]]/data_NTC_10k_3977[[#This Row],[Rsonde]]</f>
        <v>-2.1463614063777594E-3</v>
      </c>
      <c r="G30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620</v>
      </c>
      <c r="H30" s="9" cm="1">
        <f t="array" aca="1" ref="H30" ca="1">MAX(IF(ResValuesR24&lt;=ROUND(data_NTC_10k_3977[[#This Row],[Rsonde]],2)-IF(data_NTC_10k_3977[[#This Row],[Rsonde]]=MIN(data_NTC_10k_3977[Rsonde]),100,$D31),ResValuesR24))</f>
        <v>620</v>
      </c>
      <c r="I30" s="9">
        <f ca="1">ROUND(data_NTC_10k_3977[[#This Row],[RaddLow]]+(IF(data_NTC_10k_3977[[#This Row],[Rsonde]]=MIN(data_NTC_10k_3977[Rsonde]),0,$D31)-data_NTC_10k_3977[[#This Row],[Rsonde]]),2)</f>
        <v>-21</v>
      </c>
      <c r="J30" s="9" cm="1">
        <f t="array" aca="1" ref="J30" ca="1">MIN(IF(ResValuesR24&gt;=ROUND(data_NTC_10k_3977[[#This Row],[Rsonde]],2)-IF(data_NTC_10k_3977[[#This Row],[Rsonde]]=MIN(data_NTC_10k_3977[Rsonde]),100,$D31),ResValuesR24))</f>
        <v>680</v>
      </c>
      <c r="K30" s="9">
        <f ca="1">ROUND(data_NTC_10k_3977[[#This Row],[RaddHigh]]+(IF(data_NTC_10k_3977[[#This Row],[Rsonde]]=MIN(data_NTC_10k_3977[Rsonde]),0,$D31)-data_NTC_10k_3977[[#This Row],[Rsonde]]),2)</f>
        <v>39</v>
      </c>
      <c r="L30" s="2" cm="1">
        <f t="array" aca="1" ref="L30" ca="1">IF(INDIRECT(RefCell_R77),(data_NTC_10k_3977[[#This Row],[Rpcb]]*INDIRECT(RefCell_R77))/(data_NTC_10k_3977[[#This Row],[Rpcb]]+INDIRECT(RefCell_R77)),data_NTC_10k_3977[[#This Row],[Rpcb]])</f>
        <v>3460.271110229452</v>
      </c>
      <c r="R30">
        <v>680</v>
      </c>
    </row>
    <row r="31" spans="1:18" x14ac:dyDescent="0.25">
      <c r="A31" t="s">
        <v>20</v>
      </c>
      <c r="B31" s="8">
        <v>27</v>
      </c>
      <c r="C31" s="9">
        <v>9166</v>
      </c>
      <c r="D31" s="9" cm="1">
        <f t="array" aca="1" ref="D31" ca="1">INDIRECT(RefCell_Rpot)+SUM(G31:G$34)</f>
        <v>9143</v>
      </c>
      <c r="E31" s="9">
        <f ca="1">data_NTC_10k_3977[[#This Row],[Rpcb]]-data_NTC_10k_3977[[#This Row],[Rsonde]]</f>
        <v>-23</v>
      </c>
      <c r="F31" s="4">
        <f ca="1">data_NTC_10k_3977[[#This Row],[Diff R]]/data_NTC_10k_3977[[#This Row],[Rsonde]]</f>
        <v>-2.5092734017019419E-3</v>
      </c>
      <c r="G31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560</v>
      </c>
      <c r="H31" s="9" cm="1">
        <f t="array" aca="1" ref="H31" ca="1">MAX(IF(ResValuesR24&lt;=ROUND(data_NTC_10k_3977[[#This Row],[Rsonde]],2)-IF(data_NTC_10k_3977[[#This Row],[Rsonde]]=MIN(data_NTC_10k_3977[Rsonde]),100,$D32),ResValuesR24))</f>
        <v>560</v>
      </c>
      <c r="I31" s="9">
        <f ca="1">ROUND(data_NTC_10k_3977[[#This Row],[RaddLow]]+(IF(data_NTC_10k_3977[[#This Row],[Rsonde]]=MIN(data_NTC_10k_3977[Rsonde]),0,$D32)-data_NTC_10k_3977[[#This Row],[Rsonde]]),2)</f>
        <v>-23</v>
      </c>
      <c r="J31" s="9" cm="1">
        <f t="array" aca="1" ref="J31" ca="1">MIN(IF(ResValuesR24&gt;=ROUND(data_NTC_10k_3977[[#This Row],[Rsonde]],2)-IF(data_NTC_10k_3977[[#This Row],[Rsonde]]=MIN(data_NTC_10k_3977[Rsonde]),100,$D32),ResValuesR24))</f>
        <v>620</v>
      </c>
      <c r="K31" s="9">
        <f ca="1">ROUND(data_NTC_10k_3977[[#This Row],[RaddHigh]]+(IF(data_NTC_10k_3977[[#This Row],[Rsonde]]=MIN(data_NTC_10k_3977[Rsonde]),0,$D32)-data_NTC_10k_3977[[#This Row],[Rsonde]]),2)</f>
        <v>37</v>
      </c>
      <c r="L31" s="2" cm="1">
        <f t="array" aca="1" ref="L31" ca="1">IF(INDIRECT(RefCell_R77),(data_NTC_10k_3977[[#This Row],[Rpcb]]*INDIRECT(RefCell_R77))/(data_NTC_10k_3977[[#This Row],[Rpcb]]+INDIRECT(RefCell_R77)),data_NTC_10k_3977[[#This Row],[Rpcb]])</f>
        <v>3379.058125904985</v>
      </c>
      <c r="R31">
        <v>560</v>
      </c>
    </row>
    <row r="32" spans="1:18" x14ac:dyDescent="0.25">
      <c r="A32" t="s">
        <v>19</v>
      </c>
      <c r="B32" s="8">
        <v>28.5</v>
      </c>
      <c r="C32" s="9">
        <v>8593</v>
      </c>
      <c r="D32" s="9" cm="1">
        <f t="array" aca="1" ref="D32" ca="1">INDIRECT(RefCell_Rpot)+SUM(G32:G$34)</f>
        <v>8583</v>
      </c>
      <c r="E32" s="9">
        <f ca="1">data_NTC_10k_3977[[#This Row],[Rpcb]]-data_NTC_10k_3977[[#This Row],[Rsonde]]</f>
        <v>-10</v>
      </c>
      <c r="F32" s="4">
        <f ca="1">data_NTC_10k_3977[[#This Row],[Diff R]]/data_NTC_10k_3977[[#This Row],[Rsonde]]</f>
        <v>-1.1637379262190155E-3</v>
      </c>
      <c r="G32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509.99999999999994</v>
      </c>
      <c r="H32" s="9" cm="1">
        <f t="array" aca="1" ref="H32" ca="1">MAX(IF(ResValuesR24&lt;=ROUND(data_NTC_10k_3977[[#This Row],[Rsonde]],2)-IF(data_NTC_10k_3977[[#This Row],[Rsonde]]=MIN(data_NTC_10k_3977[Rsonde]),100,$D33),ResValuesR24))</f>
        <v>509.99999999999994</v>
      </c>
      <c r="I32" s="9">
        <f ca="1">ROUND(data_NTC_10k_3977[[#This Row],[RaddLow]]+(IF(data_NTC_10k_3977[[#This Row],[Rsonde]]=MIN(data_NTC_10k_3977[Rsonde]),0,$D33)-data_NTC_10k_3977[[#This Row],[Rsonde]]),2)</f>
        <v>-10</v>
      </c>
      <c r="J32" s="9" cm="1">
        <f t="array" aca="1" ref="J32" ca="1">MIN(IF(ResValuesR24&gt;=ROUND(data_NTC_10k_3977[[#This Row],[Rsonde]],2)-IF(data_NTC_10k_3977[[#This Row],[Rsonde]]=MIN(data_NTC_10k_3977[Rsonde]),100,$D33),ResValuesR24))</f>
        <v>560</v>
      </c>
      <c r="K32" s="9">
        <f ca="1">ROUND(data_NTC_10k_3977[[#This Row],[RaddHigh]]+(IF(data_NTC_10k_3977[[#This Row],[Rsonde]]=MIN(data_NTC_10k_3977[Rsonde]),0,$D33)-data_NTC_10k_3977[[#This Row],[Rsonde]]),2)</f>
        <v>40</v>
      </c>
      <c r="L32" s="2" cm="1">
        <f t="array" aca="1" ref="L32" ca="1">IF(INDIRECT(RefCell_R77),(data_NTC_10k_3977[[#This Row],[Rpcb]]*INDIRECT(RefCell_R77))/(data_NTC_10k_3977[[#This Row],[Rpcb]]+INDIRECT(RefCell_R77)),data_NTC_10k_3977[[#This Row],[Rpcb]])</f>
        <v>3299.4965215520333</v>
      </c>
      <c r="R32">
        <v>510</v>
      </c>
    </row>
    <row r="33" spans="1:18" x14ac:dyDescent="0.25">
      <c r="A33" t="s">
        <v>18</v>
      </c>
      <c r="B33" s="8">
        <v>30</v>
      </c>
      <c r="C33" s="9">
        <v>8059</v>
      </c>
      <c r="D33" s="9" cm="1">
        <f t="array" aca="1" ref="D33" ca="1">INDIRECT(RefCell_Rpot)+SUM(G33:G$34)</f>
        <v>8073</v>
      </c>
      <c r="E33" s="9">
        <f ca="1">data_NTC_10k_3977[[#This Row],[Rpcb]]-data_NTC_10k_3977[[#This Row],[Rsonde]]</f>
        <v>14</v>
      </c>
      <c r="F33" s="4">
        <f ca="1">data_NTC_10k_3977[[#This Row],[Diff R]]/data_NTC_10k_3977[[#This Row],[Rsonde]]</f>
        <v>1.7371882367539398E-3</v>
      </c>
      <c r="G33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509.99999999999994</v>
      </c>
      <c r="H33" s="9" cm="1">
        <f t="array" aca="1" ref="H33" ca="1">MAX(IF(ResValuesR24&lt;=ROUND(data_NTC_10k_3977[[#This Row],[Rsonde]],2)-IF(data_NTC_10k_3977[[#This Row],[Rsonde]]=MIN(data_NTC_10k_3977[Rsonde]),100,$D34),ResValuesR24))</f>
        <v>470</v>
      </c>
      <c r="I33" s="9">
        <f ca="1">ROUND(data_NTC_10k_3977[[#This Row],[RaddLow]]+(IF(data_NTC_10k_3977[[#This Row],[Rsonde]]=MIN(data_NTC_10k_3977[Rsonde]),0,$D34)-data_NTC_10k_3977[[#This Row],[Rsonde]]),2)</f>
        <v>-26</v>
      </c>
      <c r="J33" s="9" cm="1">
        <f t="array" aca="1" ref="J33" ca="1">MIN(IF(ResValuesR24&gt;=ROUND(data_NTC_10k_3977[[#This Row],[Rsonde]],2)-IF(data_NTC_10k_3977[[#This Row],[Rsonde]]=MIN(data_NTC_10k_3977[Rsonde]),100,$D34),ResValuesR24))</f>
        <v>509.99999999999994</v>
      </c>
      <c r="K33" s="9">
        <f ca="1">ROUND(data_NTC_10k_3977[[#This Row],[RaddHigh]]+(IF(data_NTC_10k_3977[[#This Row],[Rsonde]]=MIN(data_NTC_10k_3977[Rsonde]),0,$D34)-data_NTC_10k_3977[[#This Row],[Rsonde]]),2)</f>
        <v>14</v>
      </c>
      <c r="L33" s="2" cm="1">
        <f t="array" aca="1" ref="L33" ca="1">IF(INDIRECT(RefCell_R77),(data_NTC_10k_3977[[#This Row],[Rpcb]]*INDIRECT(RefCell_R77))/(data_NTC_10k_3977[[#This Row],[Rpcb]]+INDIRECT(RefCell_R77)),data_NTC_10k_3977[[#This Row],[Rpcb]])</f>
        <v>3221.2670289585349</v>
      </c>
      <c r="R33">
        <v>510</v>
      </c>
    </row>
    <row r="34" spans="1:18" x14ac:dyDescent="0.25">
      <c r="A34" t="s">
        <v>17</v>
      </c>
      <c r="B34" s="8">
        <v>31.5</v>
      </c>
      <c r="C34" s="9">
        <v>7563</v>
      </c>
      <c r="D34" s="9" cm="1">
        <f t="array" aca="1" ref="D34" ca="1">INDIRECT(RefCell_Rpot)+SUM(G34:G$34)</f>
        <v>7563</v>
      </c>
      <c r="E34" s="9">
        <f ca="1">data_NTC_10k_3977[[#This Row],[Rpcb]]-data_NTC_10k_3977[[#This Row],[Rsonde]]</f>
        <v>0</v>
      </c>
      <c r="F34" s="4">
        <f ca="1">data_NTC_10k_3977[[#This Row],[Diff R]]/data_NTC_10k_3977[[#This Row],[Rsonde]]</f>
        <v>0</v>
      </c>
      <c r="G34" s="9">
        <f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7500</v>
      </c>
      <c r="H34" s="9" cm="1">
        <f t="array" ref="H34">MAX(IF(ResValuesR24&lt;=ROUND(data_NTC_10k_3977[[#This Row],[Rsonde]],2)-IF(data_NTC_10k_3977[[#This Row],[Rsonde]]=MIN(data_NTC_10k_3977[Rsonde]),100,$D35),ResValuesR24))</f>
        <v>6800</v>
      </c>
      <c r="I34" s="9">
        <f>ROUND(data_NTC_10k_3977[[#This Row],[RaddLow]]+(IF(data_NTC_10k_3977[[#This Row],[Rsonde]]=MIN(data_NTC_10k_3977[Rsonde]),0,$D35)-data_NTC_10k_3977[[#This Row],[Rsonde]]),2)</f>
        <v>-763</v>
      </c>
      <c r="J34" s="9" cm="1">
        <f t="array" ref="J34">MIN(IF(ResValuesR24&gt;=ROUND(data_NTC_10k_3977[[#This Row],[Rsonde]],2)-IF(data_NTC_10k_3977[[#This Row],[Rsonde]]=MIN(data_NTC_10k_3977[Rsonde]),100,$D35),ResValuesR24))</f>
        <v>7500</v>
      </c>
      <c r="K34" s="9">
        <f>ROUND(data_NTC_10k_3977[[#This Row],[RaddHigh]]+(IF(data_NTC_10k_3977[[#This Row],[Rsonde]]=MIN(data_NTC_10k_3977[Rsonde]),0,$D35)-data_NTC_10k_3977[[#This Row],[Rsonde]]),2)</f>
        <v>-63</v>
      </c>
      <c r="L34" s="2" cm="1">
        <f t="array" aca="1" ref="L34" ca="1">IF(INDIRECT(RefCell_R77),(data_NTC_10k_3977[[#This Row],[Rpcb]]*INDIRECT(RefCell_R77))/(data_NTC_10k_3977[[#This Row],[Rpcb]]+INDIRECT(RefCell_R77)),data_NTC_10k_3977[[#This Row],[Rpcb]])</f>
        <v>3136.8629575176042</v>
      </c>
      <c r="R34">
        <v>7500</v>
      </c>
    </row>
  </sheetData>
  <mergeCells count="1">
    <mergeCell ref="A1:L1"/>
  </mergeCells>
  <conditionalFormatting sqref="F3:F34">
    <cfRule type="cellIs" dxfId="171" priority="1" operator="between">
      <formula>-0.005</formula>
      <formula>0.005</formula>
    </cfRule>
  </conditionalFormatting>
  <dataValidations count="1">
    <dataValidation type="list" allowBlank="1" showInputMessage="1" showErrorMessage="1" sqref="O3" xr:uid="{E8E837C3-727F-415A-9872-65F28082B230}">
      <formula1>INDIRECT("TableR77[R]")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5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6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7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8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9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0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1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2" name="Button 10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3" name="Button 11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62DD0-879E-4E85-B5C9-F889C29FEDEA}">
  <sheetPr codeName="Feuil26"/>
  <dimension ref="A1:P34"/>
  <sheetViews>
    <sheetView workbookViewId="0">
      <selection activeCell="N21" sqref="N21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63</v>
      </c>
      <c r="P2" s="7" t="s">
        <v>113</v>
      </c>
    </row>
    <row r="3" spans="1:16" x14ac:dyDescent="0.25">
      <c r="A3" t="s">
        <v>48</v>
      </c>
      <c r="B3" s="8">
        <v>-15</v>
      </c>
      <c r="C3" s="9">
        <v>72502</v>
      </c>
      <c r="D3" s="9" cm="1">
        <f t="array" aca="1" ref="D3" ca="1">INDIRECT(RefCell_Rpot)+SUM(G3:G$34)</f>
        <v>72773</v>
      </c>
      <c r="E3" s="9">
        <f ca="1">data_NTC_10k2_3977[[#This Row],[Rpcb]]-data_NTC_10k2_3977[[#This Row],[Rsonde]]</f>
        <v>271</v>
      </c>
      <c r="F3" s="4">
        <f ca="1">data_NTC_10k2_3977[[#This Row],[Diff R]]/data_NTC_10k2_3977[[#This Row],[Rsonde]]</f>
        <v>3.7378279219883589E-3</v>
      </c>
      <c r="G3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6200</v>
      </c>
      <c r="H3" s="9" cm="1">
        <f t="array" aca="1" ref="H3" ca="1">MAX(IF(ResValuesR24&lt;=ROUND(data_NTC_10k2_3977[[#This Row],[Rsonde]],2)-IF(data_NTC_10k2_3977[[#This Row],[Rsonde]]=MIN(data_NTC_10k2_3977[Rsonde]),100,$D4),ResValuesR24))</f>
        <v>5600</v>
      </c>
      <c r="I3" s="9">
        <f ca="1">ROUND(data_NTC_10k2_3977[[#This Row],[RaddLow]]+(IF(data_NTC_10k2_3977[[#This Row],[Rsonde]]=MIN(data_NTC_10k2_3977[Rsonde]),0,$D4)-data_NTC_10k2_3977[[#This Row],[Rsonde]]),2)</f>
        <v>-329</v>
      </c>
      <c r="J3" s="9" cm="1">
        <f t="array" aca="1" ref="J3" ca="1">MIN(IF(ResValuesR24&gt;=ROUND(data_NTC_10k2_3977[[#This Row],[Rsonde]],2)-IF(data_NTC_10k2_3977[[#This Row],[Rsonde]]=MIN(data_NTC_10k2_3977[Rsonde]),100,$D4),ResValuesR24))</f>
        <v>6200</v>
      </c>
      <c r="K3" s="9">
        <f ca="1">ROUND(data_NTC_10k2_3977[[#This Row],[RaddHigh]]+(IF(data_NTC_10k2_3977[[#This Row],[Rsonde]]=MIN(data_NTC_10k2_3977[Rsonde]),0,$D4)-data_NTC_10k2_3977[[#This Row],[Rsonde]]),2)</f>
        <v>271</v>
      </c>
      <c r="L3" s="2" cm="1">
        <f t="array" aca="1" ref="L3" ca="1">IF(INDIRECT(RefCell_R77),(data_NTC_10k2_3977[[#This Row],[Rpcb]]*INDIRECT(RefCell_R77))/(data_NTC_10k2_3977[[#This Row],[Rpcb]]+INDIRECT(RefCell_R77)),data_NTC_10k2_3977[[#This Row],[Rpcb]])</f>
        <v>72773</v>
      </c>
      <c r="N3" t="s">
        <v>112</v>
      </c>
      <c r="P3" s="7" t="s">
        <v>113</v>
      </c>
    </row>
    <row r="4" spans="1:16" x14ac:dyDescent="0.25">
      <c r="A4" t="s">
        <v>47</v>
      </c>
      <c r="B4" s="8">
        <v>-13.5</v>
      </c>
      <c r="C4" s="9">
        <v>66690</v>
      </c>
      <c r="D4" s="9" cm="1">
        <f t="array" aca="1" ref="D4" ca="1">INDIRECT(RefCell_Rpot)+SUM(G4:G$34)</f>
        <v>66573</v>
      </c>
      <c r="E4" s="9">
        <f ca="1">data_NTC_10k2_3977[[#This Row],[Rpcb]]-data_NTC_10k2_3977[[#This Row],[Rsonde]]</f>
        <v>-117</v>
      </c>
      <c r="F4" s="4">
        <f ca="1">data_NTC_10k2_3977[[#This Row],[Diff R]]/data_NTC_10k2_3977[[#This Row],[Rsonde]]</f>
        <v>-1.7543859649122807E-3</v>
      </c>
      <c r="G4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5100</v>
      </c>
      <c r="H4" s="9" cm="1">
        <f t="array" aca="1" ref="H4" ca="1">MAX(IF(ResValuesR24&lt;=ROUND(data_NTC_10k2_3977[[#This Row],[Rsonde]],2)-IF(data_NTC_10k2_3977[[#This Row],[Rsonde]]=MIN(data_NTC_10k2_3977[Rsonde]),100,$D5),ResValuesR24))</f>
        <v>5100</v>
      </c>
      <c r="I4" s="9">
        <f ca="1">ROUND(data_NTC_10k2_3977[[#This Row],[RaddLow]]+(IF(data_NTC_10k2_3977[[#This Row],[Rsonde]]=MIN(data_NTC_10k2_3977[Rsonde]),0,$D5)-data_NTC_10k2_3977[[#This Row],[Rsonde]]),2)</f>
        <v>-117</v>
      </c>
      <c r="J4" s="9" cm="1">
        <f t="array" aca="1" ref="J4" ca="1">MIN(IF(ResValuesR24&gt;=ROUND(data_NTC_10k2_3977[[#This Row],[Rsonde]],2)-IF(data_NTC_10k2_3977[[#This Row],[Rsonde]]=MIN(data_NTC_10k2_3977[Rsonde]),100,$D5),ResValuesR24))</f>
        <v>5600</v>
      </c>
      <c r="K4" s="9">
        <f ca="1">ROUND(data_NTC_10k2_3977[[#This Row],[RaddHigh]]+(IF(data_NTC_10k2_3977[[#This Row],[Rsonde]]=MIN(data_NTC_10k2_3977[Rsonde]),0,$D5)-data_NTC_10k2_3977[[#This Row],[Rsonde]]),2)</f>
        <v>383</v>
      </c>
      <c r="L4" s="2" cm="1">
        <f t="array" aca="1" ref="L4" ca="1">IF(INDIRECT(RefCell_R77),(data_NTC_10k2_3977[[#This Row],[Rpcb]]*INDIRECT(RefCell_R77))/(data_NTC_10k2_3977[[#This Row],[Rpcb]]+INDIRECT(RefCell_R77)),data_NTC_10k2_3977[[#This Row],[Rpcb]])</f>
        <v>66573</v>
      </c>
    </row>
    <row r="5" spans="1:16" x14ac:dyDescent="0.25">
      <c r="A5" t="s">
        <v>46</v>
      </c>
      <c r="B5" s="8">
        <v>-12</v>
      </c>
      <c r="C5" s="9">
        <v>61394</v>
      </c>
      <c r="D5" s="9" cm="1">
        <f t="array" aca="1" ref="D5" ca="1">INDIRECT(RefCell_Rpot)+SUM(G5:G$34)</f>
        <v>61473</v>
      </c>
      <c r="E5" s="9">
        <f ca="1">data_NTC_10k2_3977[[#This Row],[Rpcb]]-data_NTC_10k2_3977[[#This Row],[Rsonde]]</f>
        <v>79</v>
      </c>
      <c r="F5" s="4">
        <f ca="1">data_NTC_10k2_3977[[#This Row],[Diff R]]/data_NTC_10k2_3977[[#This Row],[Rsonde]]</f>
        <v>1.2867706942046454E-3</v>
      </c>
      <c r="G5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5100</v>
      </c>
      <c r="H5" s="9" cm="1">
        <f t="array" aca="1" ref="H5" ca="1">MAX(IF(ResValuesR24&lt;=ROUND(data_NTC_10k2_3977[[#This Row],[Rsonde]],2)-IF(data_NTC_10k2_3977[[#This Row],[Rsonde]]=MIN(data_NTC_10k2_3977[Rsonde]),100,$D6),ResValuesR24))</f>
        <v>4700</v>
      </c>
      <c r="I5" s="9">
        <f ca="1">ROUND(data_NTC_10k2_3977[[#This Row],[RaddLow]]+(IF(data_NTC_10k2_3977[[#This Row],[Rsonde]]=MIN(data_NTC_10k2_3977[Rsonde]),0,$D6)-data_NTC_10k2_3977[[#This Row],[Rsonde]]),2)</f>
        <v>-321</v>
      </c>
      <c r="J5" s="9" cm="1">
        <f t="array" aca="1" ref="J5" ca="1">MIN(IF(ResValuesR24&gt;=ROUND(data_NTC_10k2_3977[[#This Row],[Rsonde]],2)-IF(data_NTC_10k2_3977[[#This Row],[Rsonde]]=MIN(data_NTC_10k2_3977[Rsonde]),100,$D6),ResValuesR24))</f>
        <v>5100</v>
      </c>
      <c r="K5" s="9">
        <f ca="1">ROUND(data_NTC_10k2_3977[[#This Row],[RaddHigh]]+(IF(data_NTC_10k2_3977[[#This Row],[Rsonde]]=MIN(data_NTC_10k2_3977[Rsonde]),0,$D6)-data_NTC_10k2_3977[[#This Row],[Rsonde]]),2)</f>
        <v>79</v>
      </c>
      <c r="L5" s="2" cm="1">
        <f t="array" aca="1" ref="L5" ca="1">IF(INDIRECT(RefCell_R77),(data_NTC_10k2_3977[[#This Row],[Rpcb]]*INDIRECT(RefCell_R77))/(data_NTC_10k2_3977[[#This Row],[Rpcb]]+INDIRECT(RefCell_R77)),data_NTC_10k2_3977[[#This Row],[Rpcb]])</f>
        <v>61473</v>
      </c>
      <c r="N5" s="1" t="s">
        <v>215</v>
      </c>
    </row>
    <row r="6" spans="1:16" x14ac:dyDescent="0.25">
      <c r="A6" t="s">
        <v>45</v>
      </c>
      <c r="B6" s="8">
        <v>-10.5</v>
      </c>
      <c r="C6" s="9">
        <v>56563</v>
      </c>
      <c r="D6" s="9" cm="1">
        <f t="array" aca="1" ref="D6" ca="1">INDIRECT(RefCell_Rpot)+SUM(G6:G$34)</f>
        <v>56373</v>
      </c>
      <c r="E6" s="9">
        <f ca="1">data_NTC_10k2_3977[[#This Row],[Rpcb]]-data_NTC_10k2_3977[[#This Row],[Rsonde]]</f>
        <v>-190</v>
      </c>
      <c r="F6" s="4">
        <f ca="1">data_NTC_10k2_3977[[#This Row],[Diff R]]/data_NTC_10k2_3977[[#This Row],[Rsonde]]</f>
        <v>-3.3590863285186431E-3</v>
      </c>
      <c r="G6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4300</v>
      </c>
      <c r="H6" s="9" cm="1">
        <f t="array" aca="1" ref="H6" ca="1">MAX(IF(ResValuesR24&lt;=ROUND(data_NTC_10k2_3977[[#This Row],[Rsonde]],2)-IF(data_NTC_10k2_3977[[#This Row],[Rsonde]]=MIN(data_NTC_10k2_3977[Rsonde]),100,$D7),ResValuesR24))</f>
        <v>4300</v>
      </c>
      <c r="I6" s="9">
        <f ca="1">ROUND(data_NTC_10k2_3977[[#This Row],[RaddLow]]+(IF(data_NTC_10k2_3977[[#This Row],[Rsonde]]=MIN(data_NTC_10k2_3977[Rsonde]),0,$D7)-data_NTC_10k2_3977[[#This Row],[Rsonde]]),2)</f>
        <v>-190</v>
      </c>
      <c r="J6" s="9" cm="1">
        <f t="array" aca="1" ref="J6" ca="1">MIN(IF(ResValuesR24&gt;=ROUND(data_NTC_10k2_3977[[#This Row],[Rsonde]],2)-IF(data_NTC_10k2_3977[[#This Row],[Rsonde]]=MIN(data_NTC_10k2_3977[Rsonde]),100,$D7),ResValuesR24))</f>
        <v>4700</v>
      </c>
      <c r="K6" s="9">
        <f ca="1">ROUND(data_NTC_10k2_3977[[#This Row],[RaddHigh]]+(IF(data_NTC_10k2_3977[[#This Row],[Rsonde]]=MIN(data_NTC_10k2_3977[Rsonde]),0,$D7)-data_NTC_10k2_3977[[#This Row],[Rsonde]]),2)</f>
        <v>210</v>
      </c>
      <c r="L6" s="2" cm="1">
        <f t="array" aca="1" ref="L6" ca="1">IF(INDIRECT(RefCell_R77),(data_NTC_10k2_3977[[#This Row],[Rpcb]]*INDIRECT(RefCell_R77))/(data_NTC_10k2_3977[[#This Row],[Rpcb]]+INDIRECT(RefCell_R77)),data_NTC_10k2_3977[[#This Row],[Rpcb]])</f>
        <v>56373</v>
      </c>
      <c r="N6" s="35" t="s">
        <v>131</v>
      </c>
      <c r="O6">
        <f t="shared" ref="O6" si="0">O14 - O11*O7 - O11^3*O8</f>
        <v>1.1311666630540308E-3</v>
      </c>
    </row>
    <row r="7" spans="1:16" x14ac:dyDescent="0.25">
      <c r="A7" t="s">
        <v>44</v>
      </c>
      <c r="B7" s="8">
        <v>-9</v>
      </c>
      <c r="C7" s="9">
        <v>52153</v>
      </c>
      <c r="D7" s="9" cm="1">
        <f t="array" aca="1" ref="D7" ca="1">INDIRECT(RefCell_Rpot)+SUM(G7:G$34)</f>
        <v>52073</v>
      </c>
      <c r="E7" s="9">
        <f ca="1">data_NTC_10k2_3977[[#This Row],[Rpcb]]-data_NTC_10k2_3977[[#This Row],[Rsonde]]</f>
        <v>-80</v>
      </c>
      <c r="F7" s="4">
        <f ca="1">data_NTC_10k2_3977[[#This Row],[Diff R]]/data_NTC_10k2_3977[[#This Row],[Rsonde]]</f>
        <v>-1.5339481908998524E-3</v>
      </c>
      <c r="G7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3900</v>
      </c>
      <c r="H7" s="9" cm="1">
        <f t="array" aca="1" ref="H7" ca="1">MAX(IF(ResValuesR24&lt;=ROUND(data_NTC_10k2_3977[[#This Row],[Rsonde]],2)-IF(data_NTC_10k2_3977[[#This Row],[Rsonde]]=MIN(data_NTC_10k2_3977[Rsonde]),100,$D8),ResValuesR24))</f>
        <v>3900</v>
      </c>
      <c r="I7" s="9">
        <f ca="1">ROUND(data_NTC_10k2_3977[[#This Row],[RaddLow]]+(IF(data_NTC_10k2_3977[[#This Row],[Rsonde]]=MIN(data_NTC_10k2_3977[Rsonde]),0,$D8)-data_NTC_10k2_3977[[#This Row],[Rsonde]]),2)</f>
        <v>-80</v>
      </c>
      <c r="J7" s="9" cm="1">
        <f t="array" aca="1" ref="J7" ca="1">MIN(IF(ResValuesR24&gt;=ROUND(data_NTC_10k2_3977[[#This Row],[Rsonde]],2)-IF(data_NTC_10k2_3977[[#This Row],[Rsonde]]=MIN(data_NTC_10k2_3977[Rsonde]),100,$D8),ResValuesR24))</f>
        <v>4300</v>
      </c>
      <c r="K7" s="9">
        <f ca="1">ROUND(data_NTC_10k2_3977[[#This Row],[RaddHigh]]+(IF(data_NTC_10k2_3977[[#This Row],[Rsonde]]=MIN(data_NTC_10k2_3977[Rsonde]),0,$D8)-data_NTC_10k2_3977[[#This Row],[Rsonde]]),2)</f>
        <v>320</v>
      </c>
      <c r="L7" s="2" cm="1">
        <f t="array" aca="1" ref="L7" ca="1">IF(INDIRECT(RefCell_R77),(data_NTC_10k2_3977[[#This Row],[Rpcb]]*INDIRECT(RefCell_R77))/(data_NTC_10k2_3977[[#This Row],[Rpcb]]+INDIRECT(RefCell_R77)),data_NTC_10k2_3977[[#This Row],[Rpcb]])</f>
        <v>52073</v>
      </c>
      <c r="N7" s="35" t="s">
        <v>130</v>
      </c>
      <c r="O7">
        <f t="shared" ref="O7" si="1">(1/(O11-O12)) * (O14-O15-(O11^3-O12^3)*O8)</f>
        <v>2.3354464470411155E-4</v>
      </c>
    </row>
    <row r="8" spans="1:16" x14ac:dyDescent="0.25">
      <c r="A8" t="s">
        <v>43</v>
      </c>
      <c r="B8" s="8">
        <v>-7.5</v>
      </c>
      <c r="C8" s="9">
        <v>48123</v>
      </c>
      <c r="D8" s="9" cm="1">
        <f t="array" aca="1" ref="D8" ca="1">INDIRECT(RefCell_Rpot)+SUM(G8:G$34)</f>
        <v>48173</v>
      </c>
      <c r="E8" s="9">
        <f ca="1">data_NTC_10k2_3977[[#This Row],[Rpcb]]-data_NTC_10k2_3977[[#This Row],[Rsonde]]</f>
        <v>50</v>
      </c>
      <c r="F8" s="4">
        <f ca="1">data_NTC_10k2_3977[[#This Row],[Diff R]]/data_NTC_10k2_3977[[#This Row],[Rsonde]]</f>
        <v>1.0390042183571265E-3</v>
      </c>
      <c r="G8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3600</v>
      </c>
      <c r="H8" s="9" cm="1">
        <f t="array" aca="1" ref="H8" ca="1">MAX(IF(ResValuesR24&lt;=ROUND(data_NTC_10k2_3977[[#This Row],[Rsonde]],2)-IF(data_NTC_10k2_3977[[#This Row],[Rsonde]]=MIN(data_NTC_10k2_3977[Rsonde]),100,$D9),ResValuesR24))</f>
        <v>3300</v>
      </c>
      <c r="I8" s="9">
        <f ca="1">ROUND(data_NTC_10k2_3977[[#This Row],[RaddLow]]+(IF(data_NTC_10k2_3977[[#This Row],[Rsonde]]=MIN(data_NTC_10k2_3977[Rsonde]),0,$D9)-data_NTC_10k2_3977[[#This Row],[Rsonde]]),2)</f>
        <v>-250</v>
      </c>
      <c r="J8" s="9" cm="1">
        <f t="array" aca="1" ref="J8" ca="1">MIN(IF(ResValuesR24&gt;=ROUND(data_NTC_10k2_3977[[#This Row],[Rsonde]],2)-IF(data_NTC_10k2_3977[[#This Row],[Rsonde]]=MIN(data_NTC_10k2_3977[Rsonde]),100,$D9),ResValuesR24))</f>
        <v>3600</v>
      </c>
      <c r="K8" s="9">
        <f ca="1">ROUND(data_NTC_10k2_3977[[#This Row],[RaddHigh]]+(IF(data_NTC_10k2_3977[[#This Row],[Rsonde]]=MIN(data_NTC_10k2_3977[Rsonde]),0,$D9)-data_NTC_10k2_3977[[#This Row],[Rsonde]]),2)</f>
        <v>50</v>
      </c>
      <c r="L8" s="2" cm="1">
        <f t="array" aca="1" ref="L8" ca="1">IF(INDIRECT(RefCell_R77),(data_NTC_10k2_3977[[#This Row],[Rpcb]]*INDIRECT(RefCell_R77))/(data_NTC_10k2_3977[[#This Row],[Rpcb]]+INDIRECT(RefCell_R77)),data_NTC_10k2_3977[[#This Row],[Rpcb]])</f>
        <v>48173</v>
      </c>
      <c r="N8" s="35" t="s">
        <v>129</v>
      </c>
      <c r="O8">
        <f t="shared" ref="O8" si="2">O10/O9</f>
        <v>9.1936482358299078E-8</v>
      </c>
    </row>
    <row r="9" spans="1:16" x14ac:dyDescent="0.25">
      <c r="A9" t="s">
        <v>42</v>
      </c>
      <c r="B9" s="8">
        <v>-6</v>
      </c>
      <c r="C9" s="9">
        <v>44439</v>
      </c>
      <c r="D9" s="9" cm="1">
        <f t="array" aca="1" ref="D9" ca="1">INDIRECT(RefCell_Rpot)+SUM(G9:G$34)</f>
        <v>44573</v>
      </c>
      <c r="E9" s="9">
        <f ca="1">data_NTC_10k2_3977[[#This Row],[Rpcb]]-data_NTC_10k2_3977[[#This Row],[Rsonde]]</f>
        <v>134</v>
      </c>
      <c r="F9" s="4">
        <f ca="1">data_NTC_10k2_3977[[#This Row],[Diff R]]/data_NTC_10k2_3977[[#This Row],[Rsonde]]</f>
        <v>3.0153693827493868E-3</v>
      </c>
      <c r="G9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3600</v>
      </c>
      <c r="H9" s="9" cm="1">
        <f t="array" aca="1" ref="H9" ca="1">MAX(IF(ResValuesR24&lt;=ROUND(data_NTC_10k2_3977[[#This Row],[Rsonde]],2)-IF(data_NTC_10k2_3977[[#This Row],[Rsonde]]=MIN(data_NTC_10k2_3977[Rsonde]),100,$D10),ResValuesR24))</f>
        <v>3300</v>
      </c>
      <c r="I9" s="9">
        <f ca="1">ROUND(data_NTC_10k2_3977[[#This Row],[RaddLow]]+(IF(data_NTC_10k2_3977[[#This Row],[Rsonde]]=MIN(data_NTC_10k2_3977[Rsonde]),0,$D10)-data_NTC_10k2_3977[[#This Row],[Rsonde]]),2)</f>
        <v>-166</v>
      </c>
      <c r="J9" s="9" cm="1">
        <f t="array" aca="1" ref="J9" ca="1">MIN(IF(ResValuesR24&gt;=ROUND(data_NTC_10k2_3977[[#This Row],[Rsonde]],2)-IF(data_NTC_10k2_3977[[#This Row],[Rsonde]]=MIN(data_NTC_10k2_3977[Rsonde]),100,$D10),ResValuesR24))</f>
        <v>3600</v>
      </c>
      <c r="K9" s="9">
        <f ca="1">ROUND(data_NTC_10k2_3977[[#This Row],[RaddHigh]]+(IF(data_NTC_10k2_3977[[#This Row],[Rsonde]]=MIN(data_NTC_10k2_3977[Rsonde]),0,$D10)-data_NTC_10k2_3977[[#This Row],[Rsonde]]),2)</f>
        <v>134</v>
      </c>
      <c r="L9" s="2" cm="1">
        <f t="array" aca="1" ref="L9" ca="1">IF(INDIRECT(RefCell_R77),(data_NTC_10k2_3977[[#This Row],[Rpcb]]*INDIRECT(RefCell_R77))/(data_NTC_10k2_3977[[#This Row],[Rpcb]]+INDIRECT(RefCell_R77)),data_NTC_10k2_3977[[#This Row],[Rpcb]])</f>
        <v>44573</v>
      </c>
      <c r="N9" s="3" t="s">
        <v>181</v>
      </c>
      <c r="O9">
        <f t="shared" ref="O9" si="3">(O12-O13)/(O11-O12) * (O12^3-O11^3) + (O12^3-O13^3)</f>
        <v>-60.846113197936063</v>
      </c>
    </row>
    <row r="10" spans="1:16" x14ac:dyDescent="0.25">
      <c r="A10" t="s">
        <v>41</v>
      </c>
      <c r="B10" s="8">
        <v>-4.5</v>
      </c>
      <c r="C10" s="9">
        <v>41068</v>
      </c>
      <c r="D10" s="9" cm="1">
        <f t="array" aca="1" ref="D10" ca="1">INDIRECT(RefCell_Rpot)+SUM(G10:G$34)</f>
        <v>40973</v>
      </c>
      <c r="E10" s="9">
        <f ca="1">data_NTC_10k2_3977[[#This Row],[Rpcb]]-data_NTC_10k2_3977[[#This Row],[Rsonde]]</f>
        <v>-95</v>
      </c>
      <c r="F10" s="4">
        <f ca="1">data_NTC_10k2_3977[[#This Row],[Diff R]]/data_NTC_10k2_3977[[#This Row],[Rsonde]]</f>
        <v>-2.3132365832278174E-3</v>
      </c>
      <c r="G10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3000</v>
      </c>
      <c r="H10" s="9" cm="1">
        <f t="array" aca="1" ref="H10" ca="1">MAX(IF(ResValuesR24&lt;=ROUND(data_NTC_10k2_3977[[#This Row],[Rsonde]],2)-IF(data_NTC_10k2_3977[[#This Row],[Rsonde]]=MIN(data_NTC_10k2_3977[Rsonde]),100,$D11),ResValuesR24))</f>
        <v>3000</v>
      </c>
      <c r="I10" s="9">
        <f ca="1">ROUND(data_NTC_10k2_3977[[#This Row],[RaddLow]]+(IF(data_NTC_10k2_3977[[#This Row],[Rsonde]]=MIN(data_NTC_10k2_3977[Rsonde]),0,$D11)-data_NTC_10k2_3977[[#This Row],[Rsonde]]),2)</f>
        <v>-95</v>
      </c>
      <c r="J10" s="9" cm="1">
        <f t="array" aca="1" ref="J10" ca="1">MIN(IF(ResValuesR24&gt;=ROUND(data_NTC_10k2_3977[[#This Row],[Rsonde]],2)-IF(data_NTC_10k2_3977[[#This Row],[Rsonde]]=MIN(data_NTC_10k2_3977[Rsonde]),100,$D11),ResValuesR24))</f>
        <v>3300</v>
      </c>
      <c r="K10" s="9">
        <f ca="1">ROUND(data_NTC_10k2_3977[[#This Row],[RaddHigh]]+(IF(data_NTC_10k2_3977[[#This Row],[Rsonde]]=MIN(data_NTC_10k2_3977[Rsonde]),0,$D11)-data_NTC_10k2_3977[[#This Row],[Rsonde]]),2)</f>
        <v>205</v>
      </c>
      <c r="L10" s="2" cm="1">
        <f t="array" aca="1" ref="L10" ca="1">IF(INDIRECT(RefCell_R77),(data_NTC_10k2_3977[[#This Row],[Rpcb]]*INDIRECT(RefCell_R77))/(data_NTC_10k2_3977[[#This Row],[Rpcb]]+INDIRECT(RefCell_R77)),data_NTC_10k2_3977[[#This Row],[Rpcb]])</f>
        <v>40973</v>
      </c>
      <c r="N10" s="3" t="s">
        <v>182</v>
      </c>
      <c r="O10">
        <f t="shared" ref="O10" si="4">O15 - O16 - ( (O12-O13)/(O11-O12) ) * (O14-O15)</f>
        <v>-5.5939776125931177E-6</v>
      </c>
    </row>
    <row r="11" spans="1:16" x14ac:dyDescent="0.25">
      <c r="A11" t="s">
        <v>40</v>
      </c>
      <c r="B11" s="8">
        <v>-3</v>
      </c>
      <c r="C11" s="9">
        <v>37980</v>
      </c>
      <c r="D11" s="9" cm="1">
        <f t="array" aca="1" ref="D11" ca="1">INDIRECT(RefCell_Rpot)+SUM(G11:G$34)</f>
        <v>37973</v>
      </c>
      <c r="E11" s="9">
        <f ca="1">data_NTC_10k2_3977[[#This Row],[Rpcb]]-data_NTC_10k2_3977[[#This Row],[Rsonde]]</f>
        <v>-7</v>
      </c>
      <c r="F11" s="4">
        <f ca="1">data_NTC_10k2_3977[[#This Row],[Diff R]]/data_NTC_10k2_3977[[#This Row],[Rsonde]]</f>
        <v>-1.8430753027909427E-4</v>
      </c>
      <c r="G11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2700</v>
      </c>
      <c r="H11" s="9" cm="1">
        <f t="array" aca="1" ref="H11" ca="1">MAX(IF(ResValuesR24&lt;=ROUND(data_NTC_10k2_3977[[#This Row],[Rsonde]],2)-IF(data_NTC_10k2_3977[[#This Row],[Rsonde]]=MIN(data_NTC_10k2_3977[Rsonde]),100,$D12),ResValuesR24))</f>
        <v>2700</v>
      </c>
      <c r="I11" s="9">
        <f ca="1">ROUND(data_NTC_10k2_3977[[#This Row],[RaddLow]]+(IF(data_NTC_10k2_3977[[#This Row],[Rsonde]]=MIN(data_NTC_10k2_3977[Rsonde]),0,$D12)-data_NTC_10k2_3977[[#This Row],[Rsonde]]),2)</f>
        <v>-7</v>
      </c>
      <c r="J11" s="9" cm="1">
        <f t="array" aca="1" ref="J11" ca="1">MIN(IF(ResValuesR24&gt;=ROUND(data_NTC_10k2_3977[[#This Row],[Rsonde]],2)-IF(data_NTC_10k2_3977[[#This Row],[Rsonde]]=MIN(data_NTC_10k2_3977[Rsonde]),100,$D12),ResValuesR24))</f>
        <v>3000</v>
      </c>
      <c r="K11" s="9">
        <f ca="1">ROUND(data_NTC_10k2_3977[[#This Row],[RaddHigh]]+(IF(data_NTC_10k2_3977[[#This Row],[Rsonde]]=MIN(data_NTC_10k2_3977[Rsonde]),0,$D12)-data_NTC_10k2_3977[[#This Row],[Rsonde]]),2)</f>
        <v>293</v>
      </c>
      <c r="L11" s="2" cm="1">
        <f t="array" aca="1" ref="L11" ca="1">IF(INDIRECT(RefCell_R77),(data_NTC_10k2_3977[[#This Row],[Rpcb]]*INDIRECT(RefCell_R77))/(data_NTC_10k2_3977[[#This Row],[Rpcb]]+INDIRECT(RefCell_R77)),data_NTC_10k2_3977[[#This Row],[Rpcb]])</f>
        <v>37973</v>
      </c>
      <c r="N11" s="3" t="s">
        <v>178</v>
      </c>
      <c r="O11">
        <f>LN(C3)</f>
        <v>11.191369426669171</v>
      </c>
    </row>
    <row r="12" spans="1:16" x14ac:dyDescent="0.25">
      <c r="A12" t="s">
        <v>39</v>
      </c>
      <c r="B12" s="8">
        <v>-1.5</v>
      </c>
      <c r="C12" s="9">
        <v>35151</v>
      </c>
      <c r="D12" s="9" cm="1">
        <f t="array" aca="1" ref="D12" ca="1">INDIRECT(RefCell_Rpot)+SUM(G12:G$34)</f>
        <v>35273</v>
      </c>
      <c r="E12" s="9">
        <f ca="1">data_NTC_10k2_3977[[#This Row],[Rpcb]]-data_NTC_10k2_3977[[#This Row],[Rsonde]]</f>
        <v>122</v>
      </c>
      <c r="F12" s="4">
        <f ca="1">data_NTC_10k2_3977[[#This Row],[Diff R]]/data_NTC_10k2_3977[[#This Row],[Rsonde]]</f>
        <v>3.4707405194731302E-3</v>
      </c>
      <c r="G12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2700</v>
      </c>
      <c r="H12" s="9" cm="1">
        <f t="array" aca="1" ref="H12" ca="1">MAX(IF(ResValuesR24&lt;=ROUND(data_NTC_10k2_3977[[#This Row],[Rsonde]],2)-IF(data_NTC_10k2_3977[[#This Row],[Rsonde]]=MIN(data_NTC_10k2_3977[Rsonde]),100,$D13),ResValuesR24))</f>
        <v>2400</v>
      </c>
      <c r="I12" s="9">
        <f ca="1">ROUND(data_NTC_10k2_3977[[#This Row],[RaddLow]]+(IF(data_NTC_10k2_3977[[#This Row],[Rsonde]]=MIN(data_NTC_10k2_3977[Rsonde]),0,$D13)-data_NTC_10k2_3977[[#This Row],[Rsonde]]),2)</f>
        <v>-178</v>
      </c>
      <c r="J12" s="9" cm="1">
        <f t="array" aca="1" ref="J12" ca="1">MIN(IF(ResValuesR24&gt;=ROUND(data_NTC_10k2_3977[[#This Row],[Rsonde]],2)-IF(data_NTC_10k2_3977[[#This Row],[Rsonde]]=MIN(data_NTC_10k2_3977[Rsonde]),100,$D13),ResValuesR24))</f>
        <v>2700</v>
      </c>
      <c r="K12" s="9">
        <f ca="1">ROUND(data_NTC_10k2_3977[[#This Row],[RaddHigh]]+(IF(data_NTC_10k2_3977[[#This Row],[Rsonde]]=MIN(data_NTC_10k2_3977[Rsonde]),0,$D13)-data_NTC_10k2_3977[[#This Row],[Rsonde]]),2)</f>
        <v>122</v>
      </c>
      <c r="L12" s="2" cm="1">
        <f t="array" aca="1" ref="L12" ca="1">IF(INDIRECT(RefCell_R77),(data_NTC_10k2_3977[[#This Row],[Rpcb]]*INDIRECT(RefCell_R77))/(data_NTC_10k2_3977[[#This Row],[Rpcb]]+INDIRECT(RefCell_R77)),data_NTC_10k2_3977[[#This Row],[Rpcb]])</f>
        <v>35273</v>
      </c>
      <c r="N12" s="3" t="s">
        <v>179</v>
      </c>
      <c r="O12">
        <f>LN(C17)</f>
        <v>10.090879566143188</v>
      </c>
    </row>
    <row r="13" spans="1:16" x14ac:dyDescent="0.25">
      <c r="A13" t="s">
        <v>38</v>
      </c>
      <c r="B13" s="8">
        <v>0</v>
      </c>
      <c r="C13" s="9">
        <v>32555</v>
      </c>
      <c r="D13" s="9" cm="1">
        <f t="array" aca="1" ref="D13" ca="1">INDIRECT(RefCell_Rpot)+SUM(G13:G$34)</f>
        <v>32573</v>
      </c>
      <c r="E13" s="9">
        <f ca="1">data_NTC_10k2_3977[[#This Row],[Rpcb]]-data_NTC_10k2_3977[[#This Row],[Rsonde]]</f>
        <v>18</v>
      </c>
      <c r="F13" s="4">
        <f ca="1">data_NTC_10k2_3977[[#This Row],[Diff R]]/data_NTC_10k2_3977[[#This Row],[Rsonde]]</f>
        <v>5.5291045922285364E-4</v>
      </c>
      <c r="G13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2400</v>
      </c>
      <c r="H13" s="9" cm="1">
        <f t="array" aca="1" ref="H13" ca="1">MAX(IF(ResValuesR24&lt;=ROUND(data_NTC_10k2_3977[[#This Row],[Rsonde]],2)-IF(data_NTC_10k2_3977[[#This Row],[Rsonde]]=MIN(data_NTC_10k2_3977[Rsonde]),100,$D14),ResValuesR24))</f>
        <v>2200</v>
      </c>
      <c r="I13" s="9">
        <f ca="1">ROUND(data_NTC_10k2_3977[[#This Row],[RaddLow]]+(IF(data_NTC_10k2_3977[[#This Row],[Rsonde]]=MIN(data_NTC_10k2_3977[Rsonde]),0,$D14)-data_NTC_10k2_3977[[#This Row],[Rsonde]]),2)</f>
        <v>-182</v>
      </c>
      <c r="J13" s="9" cm="1">
        <f t="array" aca="1" ref="J13" ca="1">MIN(IF(ResValuesR24&gt;=ROUND(data_NTC_10k2_3977[[#This Row],[Rsonde]],2)-IF(data_NTC_10k2_3977[[#This Row],[Rsonde]]=MIN(data_NTC_10k2_3977[Rsonde]),100,$D14),ResValuesR24))</f>
        <v>2400</v>
      </c>
      <c r="K13" s="9">
        <f ca="1">ROUND(data_NTC_10k2_3977[[#This Row],[RaddHigh]]+(IF(data_NTC_10k2_3977[[#This Row],[Rsonde]]=MIN(data_NTC_10k2_3977[Rsonde]),0,$D14)-data_NTC_10k2_3977[[#This Row],[Rsonde]]),2)</f>
        <v>18</v>
      </c>
      <c r="L13" s="2" cm="1">
        <f t="array" aca="1" ref="L13" ca="1">IF(INDIRECT(RefCell_R77),(data_NTC_10k2_3977[[#This Row],[Rpcb]]*INDIRECT(RefCell_R77))/(data_NTC_10k2_3977[[#This Row],[Rpcb]]+INDIRECT(RefCell_R77)),data_NTC_10k2_3977[[#This Row],[Rpcb]])</f>
        <v>32573</v>
      </c>
      <c r="N13" s="3" t="s">
        <v>180</v>
      </c>
      <c r="O13">
        <f>LN(C31)</f>
        <v>9.1232562650690685</v>
      </c>
    </row>
    <row r="14" spans="1:16" x14ac:dyDescent="0.25">
      <c r="A14" t="s">
        <v>37</v>
      </c>
      <c r="B14" s="8">
        <v>1.5</v>
      </c>
      <c r="C14" s="9">
        <v>30173</v>
      </c>
      <c r="D14" s="9" cm="1">
        <f t="array" aca="1" ref="D14" ca="1">INDIRECT(RefCell_Rpot)+SUM(G14:G$34)</f>
        <v>30173</v>
      </c>
      <c r="E14" s="9">
        <f ca="1">data_NTC_10k2_3977[[#This Row],[Rpcb]]-data_NTC_10k2_3977[[#This Row],[Rsonde]]</f>
        <v>0</v>
      </c>
      <c r="F14" s="4">
        <f ca="1">data_NTC_10k2_3977[[#This Row],[Diff R]]/data_NTC_10k2_3977[[#This Row],[Rsonde]]</f>
        <v>0</v>
      </c>
      <c r="G14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2200</v>
      </c>
      <c r="H14" s="9" cm="1">
        <f t="array" aca="1" ref="H14" ca="1">MAX(IF(ResValuesR24&lt;=ROUND(data_NTC_10k2_3977[[#This Row],[Rsonde]],2)-IF(data_NTC_10k2_3977[[#This Row],[Rsonde]]=MIN(data_NTC_10k2_3977[Rsonde]),100,$D15),ResValuesR24))</f>
        <v>2200</v>
      </c>
      <c r="I14" s="9">
        <f ca="1">ROUND(data_NTC_10k2_3977[[#This Row],[RaddLow]]+(IF(data_NTC_10k2_3977[[#This Row],[Rsonde]]=MIN(data_NTC_10k2_3977[Rsonde]),0,$D15)-data_NTC_10k2_3977[[#This Row],[Rsonde]]),2)</f>
        <v>0</v>
      </c>
      <c r="J14" s="9" cm="1">
        <f t="array" aca="1" ref="J14" ca="1">MIN(IF(ResValuesR24&gt;=ROUND(data_NTC_10k2_3977[[#This Row],[Rsonde]],2)-IF(data_NTC_10k2_3977[[#This Row],[Rsonde]]=MIN(data_NTC_10k2_3977[Rsonde]),100,$D15),ResValuesR24))</f>
        <v>2200</v>
      </c>
      <c r="K14" s="9">
        <f ca="1">ROUND(data_NTC_10k2_3977[[#This Row],[RaddHigh]]+(IF(data_NTC_10k2_3977[[#This Row],[Rsonde]]=MIN(data_NTC_10k2_3977[Rsonde]),0,$D15)-data_NTC_10k2_3977[[#This Row],[Rsonde]]),2)</f>
        <v>0</v>
      </c>
      <c r="L14" s="2" cm="1">
        <f t="array" aca="1" ref="L14" ca="1">IF(INDIRECT(RefCell_R77),(data_NTC_10k2_3977[[#This Row],[Rpcb]]*INDIRECT(RefCell_R77))/(data_NTC_10k2_3977[[#This Row],[Rpcb]]+INDIRECT(RefCell_R77)),data_NTC_10k2_3977[[#This Row],[Rpcb]])</f>
        <v>30173</v>
      </c>
      <c r="N14" s="3" t="s">
        <v>175</v>
      </c>
      <c r="O14">
        <f>1/(B3+273.15)</f>
        <v>3.8737168312996321E-3</v>
      </c>
    </row>
    <row r="15" spans="1:16" x14ac:dyDescent="0.25">
      <c r="A15" t="s">
        <v>36</v>
      </c>
      <c r="B15" s="8">
        <v>3</v>
      </c>
      <c r="C15" s="9">
        <v>27985</v>
      </c>
      <c r="D15" s="9" cm="1">
        <f t="array" aca="1" ref="D15" ca="1">INDIRECT(RefCell_Rpot)+SUM(G15:G$34)</f>
        <v>27973</v>
      </c>
      <c r="E15" s="9">
        <f ca="1">data_NTC_10k2_3977[[#This Row],[Rpcb]]-data_NTC_10k2_3977[[#This Row],[Rsonde]]</f>
        <v>-12</v>
      </c>
      <c r="F15" s="4">
        <f ca="1">data_NTC_10k2_3977[[#This Row],[Diff R]]/data_NTC_10k2_3977[[#This Row],[Rsonde]]</f>
        <v>-4.288011434697159E-4</v>
      </c>
      <c r="G15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2000</v>
      </c>
      <c r="H15" s="9" cm="1">
        <f t="array" aca="1" ref="H15" ca="1">MAX(IF(ResValuesR24&lt;=ROUND(data_NTC_10k2_3977[[#This Row],[Rsonde]],2)-IF(data_NTC_10k2_3977[[#This Row],[Rsonde]]=MIN(data_NTC_10k2_3977[Rsonde]),100,$D16),ResValuesR24))</f>
        <v>2000</v>
      </c>
      <c r="I15" s="9">
        <f ca="1">ROUND(data_NTC_10k2_3977[[#This Row],[RaddLow]]+(IF(data_NTC_10k2_3977[[#This Row],[Rsonde]]=MIN(data_NTC_10k2_3977[Rsonde]),0,$D16)-data_NTC_10k2_3977[[#This Row],[Rsonde]]),2)</f>
        <v>-12</v>
      </c>
      <c r="J15" s="9" cm="1">
        <f t="array" aca="1" ref="J15" ca="1">MIN(IF(ResValuesR24&gt;=ROUND(data_NTC_10k2_3977[[#This Row],[Rsonde]],2)-IF(data_NTC_10k2_3977[[#This Row],[Rsonde]]=MIN(data_NTC_10k2_3977[Rsonde]),100,$D16),ResValuesR24))</f>
        <v>2200</v>
      </c>
      <c r="K15" s="9">
        <f ca="1">ROUND(data_NTC_10k2_3977[[#This Row],[RaddHigh]]+(IF(data_NTC_10k2_3977[[#This Row],[Rsonde]]=MIN(data_NTC_10k2_3977[Rsonde]),0,$D16)-data_NTC_10k2_3977[[#This Row],[Rsonde]]),2)</f>
        <v>188</v>
      </c>
      <c r="L15" s="2" cm="1">
        <f t="array" aca="1" ref="L15" ca="1">IF(INDIRECT(RefCell_R77),(data_NTC_10k2_3977[[#This Row],[Rpcb]]*INDIRECT(RefCell_R77))/(data_NTC_10k2_3977[[#This Row],[Rpcb]]+INDIRECT(RefCell_R77)),data_NTC_10k2_3977[[#This Row],[Rpcb]])</f>
        <v>27973</v>
      </c>
      <c r="N15" s="3" t="s">
        <v>176</v>
      </c>
      <c r="O15">
        <f>1/(B17+273.15)</f>
        <v>3.5823034210997673E-3</v>
      </c>
    </row>
    <row r="16" spans="1:16" x14ac:dyDescent="0.25">
      <c r="A16" t="s">
        <v>35</v>
      </c>
      <c r="B16" s="8">
        <v>4.5</v>
      </c>
      <c r="C16" s="9">
        <v>25973</v>
      </c>
      <c r="D16" s="9" cm="1">
        <f t="array" aca="1" ref="D16" ca="1">INDIRECT(RefCell_Rpot)+SUM(G16:G$34)</f>
        <v>25973</v>
      </c>
      <c r="E16" s="9">
        <f ca="1">data_NTC_10k2_3977[[#This Row],[Rpcb]]-data_NTC_10k2_3977[[#This Row],[Rsonde]]</f>
        <v>0</v>
      </c>
      <c r="F16" s="4">
        <f ca="1">data_NTC_10k2_3977[[#This Row],[Diff R]]/data_NTC_10k2_3977[[#This Row],[Rsonde]]</f>
        <v>0</v>
      </c>
      <c r="G16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1800</v>
      </c>
      <c r="H16" s="9" cm="1">
        <f t="array" aca="1" ref="H16" ca="1">MAX(IF(ResValuesR24&lt;=ROUND(data_NTC_10k2_3977[[#This Row],[Rsonde]],2)-IF(data_NTC_10k2_3977[[#This Row],[Rsonde]]=MIN(data_NTC_10k2_3977[Rsonde]),100,$D17),ResValuesR24))</f>
        <v>1800</v>
      </c>
      <c r="I16" s="9">
        <f ca="1">ROUND(data_NTC_10k2_3977[[#This Row],[RaddLow]]+(IF(data_NTC_10k2_3977[[#This Row],[Rsonde]]=MIN(data_NTC_10k2_3977[Rsonde]),0,$D17)-data_NTC_10k2_3977[[#This Row],[Rsonde]]),2)</f>
        <v>0</v>
      </c>
      <c r="J16" s="9" cm="1">
        <f t="array" aca="1" ref="J16" ca="1">MIN(IF(ResValuesR24&gt;=ROUND(data_NTC_10k2_3977[[#This Row],[Rsonde]],2)-IF(data_NTC_10k2_3977[[#This Row],[Rsonde]]=MIN(data_NTC_10k2_3977[Rsonde]),100,$D17),ResValuesR24))</f>
        <v>1800</v>
      </c>
      <c r="K16" s="9">
        <f ca="1">ROUND(data_NTC_10k2_3977[[#This Row],[RaddHigh]]+(IF(data_NTC_10k2_3977[[#This Row],[Rsonde]]=MIN(data_NTC_10k2_3977[Rsonde]),0,$D17)-data_NTC_10k2_3977[[#This Row],[Rsonde]]),2)</f>
        <v>0</v>
      </c>
      <c r="L16" s="2" cm="1">
        <f t="array" aca="1" ref="L16" ca="1">IF(INDIRECT(RefCell_R77),(data_NTC_10k2_3977[[#This Row],[Rpcb]]*INDIRECT(RefCell_R77))/(data_NTC_10k2_3977[[#This Row],[Rpcb]]+INDIRECT(RefCell_R77)),data_NTC_10k2_3977[[#This Row],[Rpcb]])</f>
        <v>25973</v>
      </c>
      <c r="N16" s="3" t="s">
        <v>177</v>
      </c>
      <c r="O16">
        <f>1/(B31+273.15)</f>
        <v>3.331667499583542E-3</v>
      </c>
    </row>
    <row r="17" spans="1:12" x14ac:dyDescent="0.25">
      <c r="A17" t="s">
        <v>34</v>
      </c>
      <c r="B17" s="8">
        <v>6</v>
      </c>
      <c r="C17" s="9">
        <v>24122</v>
      </c>
      <c r="D17" s="9" cm="1">
        <f t="array" aca="1" ref="D17" ca="1">INDIRECT(RefCell_Rpot)+SUM(G17:G$34)</f>
        <v>24173</v>
      </c>
      <c r="E17" s="9">
        <f ca="1">data_NTC_10k2_3977[[#This Row],[Rpcb]]-data_NTC_10k2_3977[[#This Row],[Rsonde]]</f>
        <v>51</v>
      </c>
      <c r="F17" s="4">
        <f ca="1">data_NTC_10k2_3977[[#This Row],[Diff R]]/data_NTC_10k2_3977[[#This Row],[Rsonde]]</f>
        <v>2.114252549539839E-3</v>
      </c>
      <c r="G17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1800</v>
      </c>
      <c r="H17" s="9" cm="1">
        <f t="array" aca="1" ref="H17" ca="1">MAX(IF(ResValuesR24&lt;=ROUND(data_NTC_10k2_3977[[#This Row],[Rsonde]],2)-IF(data_NTC_10k2_3977[[#This Row],[Rsonde]]=MIN(data_NTC_10k2_3977[Rsonde]),100,$D18),ResValuesR24))</f>
        <v>1600</v>
      </c>
      <c r="I17" s="9">
        <f ca="1">ROUND(data_NTC_10k2_3977[[#This Row],[RaddLow]]+(IF(data_NTC_10k2_3977[[#This Row],[Rsonde]]=MIN(data_NTC_10k2_3977[Rsonde]),0,$D18)-data_NTC_10k2_3977[[#This Row],[Rsonde]]),2)</f>
        <v>-149</v>
      </c>
      <c r="J17" s="9" cm="1">
        <f t="array" aca="1" ref="J17" ca="1">MIN(IF(ResValuesR24&gt;=ROUND(data_NTC_10k2_3977[[#This Row],[Rsonde]],2)-IF(data_NTC_10k2_3977[[#This Row],[Rsonde]]=MIN(data_NTC_10k2_3977[Rsonde]),100,$D18),ResValuesR24))</f>
        <v>1800</v>
      </c>
      <c r="K17" s="9">
        <f ca="1">ROUND(data_NTC_10k2_3977[[#This Row],[RaddHigh]]+(IF(data_NTC_10k2_3977[[#This Row],[Rsonde]]=MIN(data_NTC_10k2_3977[Rsonde]),0,$D18)-data_NTC_10k2_3977[[#This Row],[Rsonde]]),2)</f>
        <v>51</v>
      </c>
      <c r="L17" s="2" cm="1">
        <f t="array" aca="1" ref="L17" ca="1">IF(INDIRECT(RefCell_R77),(data_NTC_10k2_3977[[#This Row],[Rpcb]]*INDIRECT(RefCell_R77))/(data_NTC_10k2_3977[[#This Row],[Rpcb]]+INDIRECT(RefCell_R77)),data_NTC_10k2_3977[[#This Row],[Rpcb]])</f>
        <v>24173</v>
      </c>
    </row>
    <row r="18" spans="1:12" x14ac:dyDescent="0.25">
      <c r="A18" t="s">
        <v>33</v>
      </c>
      <c r="B18" s="8">
        <v>7.5</v>
      </c>
      <c r="C18" s="9">
        <v>22419</v>
      </c>
      <c r="D18" s="9" cm="1">
        <f t="array" aca="1" ref="D18" ca="1">INDIRECT(RefCell_Rpot)+SUM(G18:G$34)</f>
        <v>22373</v>
      </c>
      <c r="E18" s="9">
        <f ca="1">data_NTC_10k2_3977[[#This Row],[Rpcb]]-data_NTC_10k2_3977[[#This Row],[Rsonde]]</f>
        <v>-46</v>
      </c>
      <c r="F18" s="4">
        <f ca="1">data_NTC_10k2_3977[[#This Row],[Diff R]]/data_NTC_10k2_3977[[#This Row],[Rsonde]]</f>
        <v>-2.0518310361746731E-3</v>
      </c>
      <c r="G18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1500</v>
      </c>
      <c r="H18" s="9" cm="1">
        <f t="array" aca="1" ref="H18" ca="1">MAX(IF(ResValuesR24&lt;=ROUND(data_NTC_10k2_3977[[#This Row],[Rsonde]],2)-IF(data_NTC_10k2_3977[[#This Row],[Rsonde]]=MIN(data_NTC_10k2_3977[Rsonde]),100,$D19),ResValuesR24))</f>
        <v>1500</v>
      </c>
      <c r="I18" s="9">
        <f ca="1">ROUND(data_NTC_10k2_3977[[#This Row],[RaddLow]]+(IF(data_NTC_10k2_3977[[#This Row],[Rsonde]]=MIN(data_NTC_10k2_3977[Rsonde]),0,$D19)-data_NTC_10k2_3977[[#This Row],[Rsonde]]),2)</f>
        <v>-46</v>
      </c>
      <c r="J18" s="9" cm="1">
        <f t="array" aca="1" ref="J18" ca="1">MIN(IF(ResValuesR24&gt;=ROUND(data_NTC_10k2_3977[[#This Row],[Rsonde]],2)-IF(data_NTC_10k2_3977[[#This Row],[Rsonde]]=MIN(data_NTC_10k2_3977[Rsonde]),100,$D19),ResValuesR24))</f>
        <v>1600</v>
      </c>
      <c r="K18" s="9">
        <f ca="1">ROUND(data_NTC_10k2_3977[[#This Row],[RaddHigh]]+(IF(data_NTC_10k2_3977[[#This Row],[Rsonde]]=MIN(data_NTC_10k2_3977[Rsonde]),0,$D19)-data_NTC_10k2_3977[[#This Row],[Rsonde]]),2)</f>
        <v>54</v>
      </c>
      <c r="L18" s="2" cm="1">
        <f t="array" aca="1" ref="L18" ca="1">IF(INDIRECT(RefCell_R77),(data_NTC_10k2_3977[[#This Row],[Rpcb]]*INDIRECT(RefCell_R77))/(data_NTC_10k2_3977[[#This Row],[Rpcb]]+INDIRECT(RefCell_R77)),data_NTC_10k2_3977[[#This Row],[Rpcb]])</f>
        <v>22373</v>
      </c>
    </row>
    <row r="19" spans="1:12" x14ac:dyDescent="0.25">
      <c r="A19" t="s">
        <v>32</v>
      </c>
      <c r="B19" s="8">
        <v>9</v>
      </c>
      <c r="C19" s="9">
        <v>20850</v>
      </c>
      <c r="D19" s="9" cm="1">
        <f t="array" aca="1" ref="D19" ca="1">INDIRECT(RefCell_Rpot)+SUM(G19:G$34)</f>
        <v>20873</v>
      </c>
      <c r="E19" s="9">
        <f ca="1">data_NTC_10k2_3977[[#This Row],[Rpcb]]-data_NTC_10k2_3977[[#This Row],[Rsonde]]</f>
        <v>23</v>
      </c>
      <c r="F19" s="4">
        <f ca="1">data_NTC_10k2_3977[[#This Row],[Diff R]]/data_NTC_10k2_3977[[#This Row],[Rsonde]]</f>
        <v>1.1031175059952039E-3</v>
      </c>
      <c r="G19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1500</v>
      </c>
      <c r="H19" s="9" cm="1">
        <f t="array" aca="1" ref="H19" ca="1">MAX(IF(ResValuesR24&lt;=ROUND(data_NTC_10k2_3977[[#This Row],[Rsonde]],2)-IF(data_NTC_10k2_3977[[#This Row],[Rsonde]]=MIN(data_NTC_10k2_3977[Rsonde]),100,$D20),ResValuesR24))</f>
        <v>1300</v>
      </c>
      <c r="I19" s="9">
        <f ca="1">ROUND(data_NTC_10k2_3977[[#This Row],[RaddLow]]+(IF(data_NTC_10k2_3977[[#This Row],[Rsonde]]=MIN(data_NTC_10k2_3977[Rsonde]),0,$D20)-data_NTC_10k2_3977[[#This Row],[Rsonde]]),2)</f>
        <v>-177</v>
      </c>
      <c r="J19" s="9" cm="1">
        <f t="array" aca="1" ref="J19" ca="1">MIN(IF(ResValuesR24&gt;=ROUND(data_NTC_10k2_3977[[#This Row],[Rsonde]],2)-IF(data_NTC_10k2_3977[[#This Row],[Rsonde]]=MIN(data_NTC_10k2_3977[Rsonde]),100,$D20),ResValuesR24))</f>
        <v>1500</v>
      </c>
      <c r="K19" s="9">
        <f ca="1">ROUND(data_NTC_10k2_3977[[#This Row],[RaddHigh]]+(IF(data_NTC_10k2_3977[[#This Row],[Rsonde]]=MIN(data_NTC_10k2_3977[Rsonde]),0,$D20)-data_NTC_10k2_3977[[#This Row],[Rsonde]]),2)</f>
        <v>23</v>
      </c>
      <c r="L19" s="2" cm="1">
        <f t="array" aca="1" ref="L19" ca="1">IF(INDIRECT(RefCell_R77),(data_NTC_10k2_3977[[#This Row],[Rpcb]]*INDIRECT(RefCell_R77))/(data_NTC_10k2_3977[[#This Row],[Rpcb]]+INDIRECT(RefCell_R77)),data_NTC_10k2_3977[[#This Row],[Rpcb]])</f>
        <v>20873</v>
      </c>
    </row>
    <row r="20" spans="1:12" x14ac:dyDescent="0.25">
      <c r="A20" t="s">
        <v>31</v>
      </c>
      <c r="B20" s="8">
        <v>10.5</v>
      </c>
      <c r="C20" s="9">
        <v>19403</v>
      </c>
      <c r="D20" s="9" cm="1">
        <f t="array" aca="1" ref="D20" ca="1">INDIRECT(RefCell_Rpot)+SUM(G20:G$34)</f>
        <v>19373</v>
      </c>
      <c r="E20" s="9">
        <f ca="1">data_NTC_10k2_3977[[#This Row],[Rpcb]]-data_NTC_10k2_3977[[#This Row],[Rsonde]]</f>
        <v>-30</v>
      </c>
      <c r="F20" s="4">
        <f ca="1">data_NTC_10k2_3977[[#This Row],[Diff R]]/data_NTC_10k2_3977[[#This Row],[Rsonde]]</f>
        <v>-1.5461526568056486E-3</v>
      </c>
      <c r="G20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1300</v>
      </c>
      <c r="H20" s="9" cm="1">
        <f t="array" aca="1" ref="H20" ca="1">MAX(IF(ResValuesR24&lt;=ROUND(data_NTC_10k2_3977[[#This Row],[Rsonde]],2)-IF(data_NTC_10k2_3977[[#This Row],[Rsonde]]=MIN(data_NTC_10k2_3977[Rsonde]),100,$D21),ResValuesR24))</f>
        <v>1300</v>
      </c>
      <c r="I20" s="9">
        <f ca="1">ROUND(data_NTC_10k2_3977[[#This Row],[RaddLow]]+(IF(data_NTC_10k2_3977[[#This Row],[Rsonde]]=MIN(data_NTC_10k2_3977[Rsonde]),0,$D21)-data_NTC_10k2_3977[[#This Row],[Rsonde]]),2)</f>
        <v>-30</v>
      </c>
      <c r="J20" s="9" cm="1">
        <f t="array" aca="1" ref="J20" ca="1">MIN(IF(ResValuesR24&gt;=ROUND(data_NTC_10k2_3977[[#This Row],[Rsonde]],2)-IF(data_NTC_10k2_3977[[#This Row],[Rsonde]]=MIN(data_NTC_10k2_3977[Rsonde]),100,$D21),ResValuesR24))</f>
        <v>1500</v>
      </c>
      <c r="K20" s="9">
        <f ca="1">ROUND(data_NTC_10k2_3977[[#This Row],[RaddHigh]]+(IF(data_NTC_10k2_3977[[#This Row],[Rsonde]]=MIN(data_NTC_10k2_3977[Rsonde]),0,$D21)-data_NTC_10k2_3977[[#This Row],[Rsonde]]),2)</f>
        <v>170</v>
      </c>
      <c r="L20" s="2" cm="1">
        <f t="array" aca="1" ref="L20" ca="1">IF(INDIRECT(RefCell_R77),(data_NTC_10k2_3977[[#This Row],[Rpcb]]*INDIRECT(RefCell_R77))/(data_NTC_10k2_3977[[#This Row],[Rpcb]]+INDIRECT(RefCell_R77)),data_NTC_10k2_3977[[#This Row],[Rpcb]])</f>
        <v>19373</v>
      </c>
    </row>
    <row r="21" spans="1:12" x14ac:dyDescent="0.25">
      <c r="A21" t="s">
        <v>30</v>
      </c>
      <c r="B21" s="8">
        <v>12</v>
      </c>
      <c r="C21" s="9">
        <v>18068</v>
      </c>
      <c r="D21" s="9" cm="1">
        <f t="array" aca="1" ref="D21" ca="1">INDIRECT(RefCell_Rpot)+SUM(G21:G$34)</f>
        <v>18073</v>
      </c>
      <c r="E21" s="9">
        <f ca="1">data_NTC_10k2_3977[[#This Row],[Rpcb]]-data_NTC_10k2_3977[[#This Row],[Rsonde]]</f>
        <v>5</v>
      </c>
      <c r="F21" s="4">
        <f ca="1">data_NTC_10k2_3977[[#This Row],[Diff R]]/data_NTC_10k2_3977[[#This Row],[Rsonde]]</f>
        <v>2.767323444764224E-4</v>
      </c>
      <c r="G21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1200</v>
      </c>
      <c r="H21" s="9" cm="1">
        <f t="array" aca="1" ref="H21" ca="1">MAX(IF(ResValuesR24&lt;=ROUND(data_NTC_10k2_3977[[#This Row],[Rsonde]],2)-IF(data_NTC_10k2_3977[[#This Row],[Rsonde]]=MIN(data_NTC_10k2_3977[Rsonde]),100,$D22),ResValuesR24))</f>
        <v>1100</v>
      </c>
      <c r="I21" s="9">
        <f ca="1">ROUND(data_NTC_10k2_3977[[#This Row],[RaddLow]]+(IF(data_NTC_10k2_3977[[#This Row],[Rsonde]]=MIN(data_NTC_10k2_3977[Rsonde]),0,$D22)-data_NTC_10k2_3977[[#This Row],[Rsonde]]),2)</f>
        <v>-95</v>
      </c>
      <c r="J21" s="9" cm="1">
        <f t="array" aca="1" ref="J21" ca="1">MIN(IF(ResValuesR24&gt;=ROUND(data_NTC_10k2_3977[[#This Row],[Rsonde]],2)-IF(data_NTC_10k2_3977[[#This Row],[Rsonde]]=MIN(data_NTC_10k2_3977[Rsonde]),100,$D22),ResValuesR24))</f>
        <v>1200</v>
      </c>
      <c r="K21" s="9">
        <f ca="1">ROUND(data_NTC_10k2_3977[[#This Row],[RaddHigh]]+(IF(data_NTC_10k2_3977[[#This Row],[Rsonde]]=MIN(data_NTC_10k2_3977[Rsonde]),0,$D22)-data_NTC_10k2_3977[[#This Row],[Rsonde]]),2)</f>
        <v>5</v>
      </c>
      <c r="L21" s="2" cm="1">
        <f t="array" aca="1" ref="L21" ca="1">IF(INDIRECT(RefCell_R77),(data_NTC_10k2_3977[[#This Row],[Rpcb]]*INDIRECT(RefCell_R77))/(data_NTC_10k2_3977[[#This Row],[Rpcb]]+INDIRECT(RefCell_R77)),data_NTC_10k2_3977[[#This Row],[Rpcb]])</f>
        <v>18073</v>
      </c>
    </row>
    <row r="22" spans="1:12" x14ac:dyDescent="0.25">
      <c r="A22" t="s">
        <v>29</v>
      </c>
      <c r="B22" s="8">
        <v>13.5</v>
      </c>
      <c r="C22" s="9">
        <v>16836</v>
      </c>
      <c r="D22" s="9" cm="1">
        <f t="array" aca="1" ref="D22" ca="1">INDIRECT(RefCell_Rpot)+SUM(G22:G$34)</f>
        <v>16873</v>
      </c>
      <c r="E22" s="9">
        <f ca="1">data_NTC_10k2_3977[[#This Row],[Rpcb]]-data_NTC_10k2_3977[[#This Row],[Rsonde]]</f>
        <v>37</v>
      </c>
      <c r="F22" s="4">
        <f ca="1">data_NTC_10k2_3977[[#This Row],[Diff R]]/data_NTC_10k2_3977[[#This Row],[Rsonde]]</f>
        <v>2.197671655975291E-3</v>
      </c>
      <c r="G22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1200</v>
      </c>
      <c r="H22" s="9" cm="1">
        <f t="array" aca="1" ref="H22" ca="1">MAX(IF(ResValuesR24&lt;=ROUND(data_NTC_10k2_3977[[#This Row],[Rsonde]],2)-IF(data_NTC_10k2_3977[[#This Row],[Rsonde]]=MIN(data_NTC_10k2_3977[Rsonde]),100,$D23),ResValuesR24))</f>
        <v>1100</v>
      </c>
      <c r="I22" s="9">
        <f ca="1">ROUND(data_NTC_10k2_3977[[#This Row],[RaddLow]]+(IF(data_NTC_10k2_3977[[#This Row],[Rsonde]]=MIN(data_NTC_10k2_3977[Rsonde]),0,$D23)-data_NTC_10k2_3977[[#This Row],[Rsonde]]),2)</f>
        <v>-63</v>
      </c>
      <c r="J22" s="9" cm="1">
        <f t="array" aca="1" ref="J22" ca="1">MIN(IF(ResValuesR24&gt;=ROUND(data_NTC_10k2_3977[[#This Row],[Rsonde]],2)-IF(data_NTC_10k2_3977[[#This Row],[Rsonde]]=MIN(data_NTC_10k2_3977[Rsonde]),100,$D23),ResValuesR24))</f>
        <v>1200</v>
      </c>
      <c r="K22" s="9">
        <f ca="1">ROUND(data_NTC_10k2_3977[[#This Row],[RaddHigh]]+(IF(data_NTC_10k2_3977[[#This Row],[Rsonde]]=MIN(data_NTC_10k2_3977[Rsonde]),0,$D23)-data_NTC_10k2_3977[[#This Row],[Rsonde]]),2)</f>
        <v>37</v>
      </c>
      <c r="L22" s="2" cm="1">
        <f t="array" aca="1" ref="L22" ca="1">IF(INDIRECT(RefCell_R77),(data_NTC_10k2_3977[[#This Row],[Rpcb]]*INDIRECT(RefCell_R77))/(data_NTC_10k2_3977[[#This Row],[Rpcb]]+INDIRECT(RefCell_R77)),data_NTC_10k2_3977[[#This Row],[Rpcb]])</f>
        <v>16873</v>
      </c>
    </row>
    <row r="23" spans="1:12" x14ac:dyDescent="0.25">
      <c r="A23" t="s">
        <v>28</v>
      </c>
      <c r="B23" s="8">
        <v>15</v>
      </c>
      <c r="C23" s="9">
        <v>15698</v>
      </c>
      <c r="D23" s="9" cm="1">
        <f t="array" aca="1" ref="D23" ca="1">INDIRECT(RefCell_Rpot)+SUM(G23:G$34)</f>
        <v>15673</v>
      </c>
      <c r="E23" s="9">
        <f ca="1">data_NTC_10k2_3977[[#This Row],[Rpcb]]-data_NTC_10k2_3977[[#This Row],[Rsonde]]</f>
        <v>-25</v>
      </c>
      <c r="F23" s="4">
        <f ca="1">data_NTC_10k2_3977[[#This Row],[Diff R]]/data_NTC_10k2_3977[[#This Row],[Rsonde]]</f>
        <v>-1.5925595617276086E-3</v>
      </c>
      <c r="G23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1000</v>
      </c>
      <c r="H23" s="9" cm="1">
        <f t="array" aca="1" ref="H23" ca="1">MAX(IF(ResValuesR24&lt;=ROUND(data_NTC_10k2_3977[[#This Row],[Rsonde]],2)-IF(data_NTC_10k2_3977[[#This Row],[Rsonde]]=MIN(data_NTC_10k2_3977[Rsonde]),100,$D24),ResValuesR24))</f>
        <v>1000</v>
      </c>
      <c r="I23" s="9">
        <f ca="1">ROUND(data_NTC_10k2_3977[[#This Row],[RaddLow]]+(IF(data_NTC_10k2_3977[[#This Row],[Rsonde]]=MIN(data_NTC_10k2_3977[Rsonde]),0,$D24)-data_NTC_10k2_3977[[#This Row],[Rsonde]]),2)</f>
        <v>-25</v>
      </c>
      <c r="J23" s="9" cm="1">
        <f t="array" aca="1" ref="J23" ca="1">MIN(IF(ResValuesR24&gt;=ROUND(data_NTC_10k2_3977[[#This Row],[Rsonde]],2)-IF(data_NTC_10k2_3977[[#This Row],[Rsonde]]=MIN(data_NTC_10k2_3977[Rsonde]),100,$D24),ResValuesR24))</f>
        <v>1100</v>
      </c>
      <c r="K23" s="9">
        <f ca="1">ROUND(data_NTC_10k2_3977[[#This Row],[RaddHigh]]+(IF(data_NTC_10k2_3977[[#This Row],[Rsonde]]=MIN(data_NTC_10k2_3977[Rsonde]),0,$D24)-data_NTC_10k2_3977[[#This Row],[Rsonde]]),2)</f>
        <v>75</v>
      </c>
      <c r="L23" s="2" cm="1">
        <f t="array" aca="1" ref="L23" ca="1">IF(INDIRECT(RefCell_R77),(data_NTC_10k2_3977[[#This Row],[Rpcb]]*INDIRECT(RefCell_R77))/(data_NTC_10k2_3977[[#This Row],[Rpcb]]+INDIRECT(RefCell_R77)),data_NTC_10k2_3977[[#This Row],[Rpcb]])</f>
        <v>15673</v>
      </c>
    </row>
    <row r="24" spans="1:12" x14ac:dyDescent="0.25">
      <c r="A24" t="s">
        <v>27</v>
      </c>
      <c r="B24" s="8">
        <v>16.5</v>
      </c>
      <c r="C24" s="9">
        <v>14646</v>
      </c>
      <c r="D24" s="9" cm="1">
        <f t="array" aca="1" ref="D24" ca="1">INDIRECT(RefCell_Rpot)+SUM(G24:G$34)</f>
        <v>14673</v>
      </c>
      <c r="E24" s="9">
        <f ca="1">data_NTC_10k2_3977[[#This Row],[Rpcb]]-data_NTC_10k2_3977[[#This Row],[Rsonde]]</f>
        <v>27</v>
      </c>
      <c r="F24" s="4">
        <f ca="1">data_NTC_10k2_3977[[#This Row],[Diff R]]/data_NTC_10k2_3977[[#This Row],[Rsonde]]</f>
        <v>1.8435067595247848E-3</v>
      </c>
      <c r="G24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1000</v>
      </c>
      <c r="H24" s="9" cm="1">
        <f t="array" aca="1" ref="H24" ca="1">MAX(IF(ResValuesR24&lt;=ROUND(data_NTC_10k2_3977[[#This Row],[Rsonde]],2)-IF(data_NTC_10k2_3977[[#This Row],[Rsonde]]=MIN(data_NTC_10k2_3977[Rsonde]),100,$D25),ResValuesR24))</f>
        <v>910</v>
      </c>
      <c r="I24" s="9">
        <f ca="1">ROUND(data_NTC_10k2_3977[[#This Row],[RaddLow]]+(IF(data_NTC_10k2_3977[[#This Row],[Rsonde]]=MIN(data_NTC_10k2_3977[Rsonde]),0,$D25)-data_NTC_10k2_3977[[#This Row],[Rsonde]]),2)</f>
        <v>-63</v>
      </c>
      <c r="J24" s="9" cm="1">
        <f t="array" aca="1" ref="J24" ca="1">MIN(IF(ResValuesR24&gt;=ROUND(data_NTC_10k2_3977[[#This Row],[Rsonde]],2)-IF(data_NTC_10k2_3977[[#This Row],[Rsonde]]=MIN(data_NTC_10k2_3977[Rsonde]),100,$D25),ResValuesR24))</f>
        <v>1000</v>
      </c>
      <c r="K24" s="9">
        <f ca="1">ROUND(data_NTC_10k2_3977[[#This Row],[RaddHigh]]+(IF(data_NTC_10k2_3977[[#This Row],[Rsonde]]=MIN(data_NTC_10k2_3977[Rsonde]),0,$D25)-data_NTC_10k2_3977[[#This Row],[Rsonde]]),2)</f>
        <v>27</v>
      </c>
      <c r="L24" s="2" cm="1">
        <f t="array" aca="1" ref="L24" ca="1">IF(INDIRECT(RefCell_R77),(data_NTC_10k2_3977[[#This Row],[Rpcb]]*INDIRECT(RefCell_R77))/(data_NTC_10k2_3977[[#This Row],[Rpcb]]+INDIRECT(RefCell_R77)),data_NTC_10k2_3977[[#This Row],[Rpcb]])</f>
        <v>14673</v>
      </c>
    </row>
    <row r="25" spans="1:12" x14ac:dyDescent="0.25">
      <c r="A25" t="s">
        <v>26</v>
      </c>
      <c r="B25" s="8">
        <v>18</v>
      </c>
      <c r="C25" s="9">
        <v>13673</v>
      </c>
      <c r="D25" s="9" cm="1">
        <f t="array" aca="1" ref="D25" ca="1">INDIRECT(RefCell_Rpot)+SUM(G25:G$34)</f>
        <v>13673</v>
      </c>
      <c r="E25" s="9">
        <f ca="1">data_NTC_10k2_3977[[#This Row],[Rpcb]]-data_NTC_10k2_3977[[#This Row],[Rsonde]]</f>
        <v>0</v>
      </c>
      <c r="F25" s="4">
        <f ca="1">data_NTC_10k2_3977[[#This Row],[Diff R]]/data_NTC_10k2_3977[[#This Row],[Rsonde]]</f>
        <v>0</v>
      </c>
      <c r="G25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910</v>
      </c>
      <c r="H25" s="9" cm="1">
        <f t="array" aca="1" ref="H25" ca="1">MAX(IF(ResValuesR24&lt;=ROUND(data_NTC_10k2_3977[[#This Row],[Rsonde]],2)-IF(data_NTC_10k2_3977[[#This Row],[Rsonde]]=MIN(data_NTC_10k2_3977[Rsonde]),100,$D26),ResValuesR24))</f>
        <v>910</v>
      </c>
      <c r="I25" s="9">
        <f ca="1">ROUND(data_NTC_10k2_3977[[#This Row],[RaddLow]]+(IF(data_NTC_10k2_3977[[#This Row],[Rsonde]]=MIN(data_NTC_10k2_3977[Rsonde]),0,$D26)-data_NTC_10k2_3977[[#This Row],[Rsonde]]),2)</f>
        <v>0</v>
      </c>
      <c r="J25" s="9" cm="1">
        <f t="array" aca="1" ref="J25" ca="1">MIN(IF(ResValuesR24&gt;=ROUND(data_NTC_10k2_3977[[#This Row],[Rsonde]],2)-IF(data_NTC_10k2_3977[[#This Row],[Rsonde]]=MIN(data_NTC_10k2_3977[Rsonde]),100,$D26),ResValuesR24))</f>
        <v>910</v>
      </c>
      <c r="K25" s="9">
        <f ca="1">ROUND(data_NTC_10k2_3977[[#This Row],[RaddHigh]]+(IF(data_NTC_10k2_3977[[#This Row],[Rsonde]]=MIN(data_NTC_10k2_3977[Rsonde]),0,$D26)-data_NTC_10k2_3977[[#This Row],[Rsonde]]),2)</f>
        <v>0</v>
      </c>
      <c r="L25" s="2" cm="1">
        <f t="array" aca="1" ref="L25" ca="1">IF(INDIRECT(RefCell_R77),(data_NTC_10k2_3977[[#This Row],[Rpcb]]*INDIRECT(RefCell_R77))/(data_NTC_10k2_3977[[#This Row],[Rpcb]]+INDIRECT(RefCell_R77)),data_NTC_10k2_3977[[#This Row],[Rpcb]])</f>
        <v>13673</v>
      </c>
    </row>
    <row r="26" spans="1:12" x14ac:dyDescent="0.25">
      <c r="A26" t="s">
        <v>25</v>
      </c>
      <c r="B26" s="8">
        <v>19.5</v>
      </c>
      <c r="C26" s="9">
        <v>12773</v>
      </c>
      <c r="D26" s="9" cm="1">
        <f t="array" aca="1" ref="D26" ca="1">INDIRECT(RefCell_Rpot)+SUM(G26:G$34)</f>
        <v>12763</v>
      </c>
      <c r="E26" s="9">
        <f ca="1">data_NTC_10k2_3977[[#This Row],[Rpcb]]-data_NTC_10k2_3977[[#This Row],[Rsonde]]</f>
        <v>-10</v>
      </c>
      <c r="F26" s="4">
        <f ca="1">data_NTC_10k2_3977[[#This Row],[Diff R]]/data_NTC_10k2_3977[[#This Row],[Rsonde]]</f>
        <v>-7.8290143270962184E-4</v>
      </c>
      <c r="G26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819.99999999999989</v>
      </c>
      <c r="H26" s="9" cm="1">
        <f t="array" aca="1" ref="H26" ca="1">MAX(IF(ResValuesR24&lt;=ROUND(data_NTC_10k2_3977[[#This Row],[Rsonde]],2)-IF(data_NTC_10k2_3977[[#This Row],[Rsonde]]=MIN(data_NTC_10k2_3977[Rsonde]),100,$D27),ResValuesR24))</f>
        <v>819.99999999999989</v>
      </c>
      <c r="I26" s="9">
        <f ca="1">ROUND(data_NTC_10k2_3977[[#This Row],[RaddLow]]+(IF(data_NTC_10k2_3977[[#This Row],[Rsonde]]=MIN(data_NTC_10k2_3977[Rsonde]),0,$D27)-data_NTC_10k2_3977[[#This Row],[Rsonde]]),2)</f>
        <v>-10</v>
      </c>
      <c r="J26" s="9" cm="1">
        <f t="array" aca="1" ref="J26" ca="1">MIN(IF(ResValuesR24&gt;=ROUND(data_NTC_10k2_3977[[#This Row],[Rsonde]],2)-IF(data_NTC_10k2_3977[[#This Row],[Rsonde]]=MIN(data_NTC_10k2_3977[Rsonde]),100,$D27),ResValuesR24))</f>
        <v>910</v>
      </c>
      <c r="K26" s="9">
        <f ca="1">ROUND(data_NTC_10k2_3977[[#This Row],[RaddHigh]]+(IF(data_NTC_10k2_3977[[#This Row],[Rsonde]]=MIN(data_NTC_10k2_3977[Rsonde]),0,$D27)-data_NTC_10k2_3977[[#This Row],[Rsonde]]),2)</f>
        <v>80</v>
      </c>
      <c r="L26" s="2" cm="1">
        <f t="array" aca="1" ref="L26" ca="1">IF(INDIRECT(RefCell_R77),(data_NTC_10k2_3977[[#This Row],[Rpcb]]*INDIRECT(RefCell_R77))/(data_NTC_10k2_3977[[#This Row],[Rpcb]]+INDIRECT(RefCell_R77)),data_NTC_10k2_3977[[#This Row],[Rpcb]])</f>
        <v>12763</v>
      </c>
    </row>
    <row r="27" spans="1:12" x14ac:dyDescent="0.25">
      <c r="A27" t="s">
        <v>24</v>
      </c>
      <c r="B27" s="8">
        <v>21</v>
      </c>
      <c r="C27" s="9">
        <v>11939</v>
      </c>
      <c r="D27" s="9" cm="1">
        <f t="array" aca="1" ref="D27" ca="1">INDIRECT(RefCell_Rpot)+SUM(G27:G$34)</f>
        <v>11943</v>
      </c>
      <c r="E27" s="9">
        <f ca="1">data_NTC_10k2_3977[[#This Row],[Rpcb]]-data_NTC_10k2_3977[[#This Row],[Rsonde]]</f>
        <v>4</v>
      </c>
      <c r="F27" s="4">
        <f ca="1">data_NTC_10k2_3977[[#This Row],[Diff R]]/data_NTC_10k2_3977[[#This Row],[Rsonde]]</f>
        <v>3.3503643521232932E-4</v>
      </c>
      <c r="G27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750</v>
      </c>
      <c r="H27" s="9" cm="1">
        <f t="array" aca="1" ref="H27" ca="1">MAX(IF(ResValuesR24&lt;=ROUND(data_NTC_10k2_3977[[#This Row],[Rsonde]],2)-IF(data_NTC_10k2_3977[[#This Row],[Rsonde]]=MIN(data_NTC_10k2_3977[Rsonde]),100,$D28),ResValuesR24))</f>
        <v>680</v>
      </c>
      <c r="I27" s="9">
        <f ca="1">ROUND(data_NTC_10k2_3977[[#This Row],[RaddLow]]+(IF(data_NTC_10k2_3977[[#This Row],[Rsonde]]=MIN(data_NTC_10k2_3977[Rsonde]),0,$D28)-data_NTC_10k2_3977[[#This Row],[Rsonde]]),2)</f>
        <v>-66</v>
      </c>
      <c r="J27" s="9" cm="1">
        <f t="array" aca="1" ref="J27" ca="1">MIN(IF(ResValuesR24&gt;=ROUND(data_NTC_10k2_3977[[#This Row],[Rsonde]],2)-IF(data_NTC_10k2_3977[[#This Row],[Rsonde]]=MIN(data_NTC_10k2_3977[Rsonde]),100,$D28),ResValuesR24))</f>
        <v>750</v>
      </c>
      <c r="K27" s="9">
        <f ca="1">ROUND(data_NTC_10k2_3977[[#This Row],[RaddHigh]]+(IF(data_NTC_10k2_3977[[#This Row],[Rsonde]]=MIN(data_NTC_10k2_3977[Rsonde]),0,$D28)-data_NTC_10k2_3977[[#This Row],[Rsonde]]),2)</f>
        <v>4</v>
      </c>
      <c r="L27" s="2" cm="1">
        <f t="array" aca="1" ref="L27" ca="1">IF(INDIRECT(RefCell_R77),(data_NTC_10k2_3977[[#This Row],[Rpcb]]*INDIRECT(RefCell_R77))/(data_NTC_10k2_3977[[#This Row],[Rpcb]]+INDIRECT(RefCell_R77)),data_NTC_10k2_3977[[#This Row],[Rpcb]])</f>
        <v>11943</v>
      </c>
    </row>
    <row r="28" spans="1:12" x14ac:dyDescent="0.25">
      <c r="A28" t="s">
        <v>23</v>
      </c>
      <c r="B28" s="8">
        <v>22.5</v>
      </c>
      <c r="C28" s="9">
        <v>11166</v>
      </c>
      <c r="D28" s="9" cm="1">
        <f t="array" aca="1" ref="D28" ca="1">INDIRECT(RefCell_Rpot)+SUM(G28:G$34)</f>
        <v>11193</v>
      </c>
      <c r="E28" s="9">
        <f ca="1">data_NTC_10k2_3977[[#This Row],[Rpcb]]-data_NTC_10k2_3977[[#This Row],[Rsonde]]</f>
        <v>27</v>
      </c>
      <c r="F28" s="4">
        <f ca="1">data_NTC_10k2_3977[[#This Row],[Diff R]]/data_NTC_10k2_3977[[#This Row],[Rsonde]]</f>
        <v>2.4180548092423426E-3</v>
      </c>
      <c r="G28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750</v>
      </c>
      <c r="H28" s="9" cm="1">
        <f t="array" aca="1" ref="H28" ca="1">MAX(IF(ResValuesR24&lt;=ROUND(data_NTC_10k2_3977[[#This Row],[Rsonde]],2)-IF(data_NTC_10k2_3977[[#This Row],[Rsonde]]=MIN(data_NTC_10k2_3977[Rsonde]),100,$D29),ResValuesR24))</f>
        <v>680</v>
      </c>
      <c r="I28" s="9">
        <f ca="1">ROUND(data_NTC_10k2_3977[[#This Row],[RaddLow]]+(IF(data_NTC_10k2_3977[[#This Row],[Rsonde]]=MIN(data_NTC_10k2_3977[Rsonde]),0,$D29)-data_NTC_10k2_3977[[#This Row],[Rsonde]]),2)</f>
        <v>-43</v>
      </c>
      <c r="J28" s="9" cm="1">
        <f t="array" aca="1" ref="J28" ca="1">MIN(IF(ResValuesR24&gt;=ROUND(data_NTC_10k2_3977[[#This Row],[Rsonde]],2)-IF(data_NTC_10k2_3977[[#This Row],[Rsonde]]=MIN(data_NTC_10k2_3977[Rsonde]),100,$D29),ResValuesR24))</f>
        <v>750</v>
      </c>
      <c r="K28" s="9">
        <f ca="1">ROUND(data_NTC_10k2_3977[[#This Row],[RaddHigh]]+(IF(data_NTC_10k2_3977[[#This Row],[Rsonde]]=MIN(data_NTC_10k2_3977[Rsonde]),0,$D29)-data_NTC_10k2_3977[[#This Row],[Rsonde]]),2)</f>
        <v>27</v>
      </c>
      <c r="L28" s="2" cm="1">
        <f t="array" aca="1" ref="L28" ca="1">IF(INDIRECT(RefCell_R77),(data_NTC_10k2_3977[[#This Row],[Rpcb]]*INDIRECT(RefCell_R77))/(data_NTC_10k2_3977[[#This Row],[Rpcb]]+INDIRECT(RefCell_R77)),data_NTC_10k2_3977[[#This Row],[Rpcb]])</f>
        <v>11193</v>
      </c>
    </row>
    <row r="29" spans="1:12" x14ac:dyDescent="0.25">
      <c r="A29" t="s">
        <v>22</v>
      </c>
      <c r="B29" s="8">
        <v>24</v>
      </c>
      <c r="C29" s="9">
        <v>10449</v>
      </c>
      <c r="D29" s="9" cm="1">
        <f t="array" aca="1" ref="D29" ca="1">INDIRECT(RefCell_Rpot)+SUM(G29:G$34)</f>
        <v>10443</v>
      </c>
      <c r="E29" s="9">
        <f ca="1">data_NTC_10k2_3977[[#This Row],[Rpcb]]-data_NTC_10k2_3977[[#This Row],[Rsonde]]</f>
        <v>-6</v>
      </c>
      <c r="F29" s="4">
        <f ca="1">data_NTC_10k2_3977[[#This Row],[Diff R]]/data_NTC_10k2_3977[[#This Row],[Rsonde]]</f>
        <v>-5.7421762848119441E-4</v>
      </c>
      <c r="G29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680</v>
      </c>
      <c r="H29" s="9" cm="1">
        <f t="array" aca="1" ref="H29" ca="1">MAX(IF(ResValuesR24&lt;=ROUND(data_NTC_10k2_3977[[#This Row],[Rsonde]],2)-IF(data_NTC_10k2_3977[[#This Row],[Rsonde]]=MIN(data_NTC_10k2_3977[Rsonde]),100,$D30),ResValuesR24))</f>
        <v>680</v>
      </c>
      <c r="I29" s="9">
        <f ca="1">ROUND(data_NTC_10k2_3977[[#This Row],[RaddLow]]+(IF(data_NTC_10k2_3977[[#This Row],[Rsonde]]=MIN(data_NTC_10k2_3977[Rsonde]),0,$D30)-data_NTC_10k2_3977[[#This Row],[Rsonde]]),2)</f>
        <v>-6</v>
      </c>
      <c r="J29" s="9" cm="1">
        <f t="array" aca="1" ref="J29" ca="1">MIN(IF(ResValuesR24&gt;=ROUND(data_NTC_10k2_3977[[#This Row],[Rsonde]],2)-IF(data_NTC_10k2_3977[[#This Row],[Rsonde]]=MIN(data_NTC_10k2_3977[Rsonde]),100,$D30),ResValuesR24))</f>
        <v>750</v>
      </c>
      <c r="K29" s="9">
        <f ca="1">ROUND(data_NTC_10k2_3977[[#This Row],[RaddHigh]]+(IF(data_NTC_10k2_3977[[#This Row],[Rsonde]]=MIN(data_NTC_10k2_3977[Rsonde]),0,$D30)-data_NTC_10k2_3977[[#This Row],[Rsonde]]),2)</f>
        <v>64</v>
      </c>
      <c r="L29" s="2" cm="1">
        <f t="array" aca="1" ref="L29" ca="1">IF(INDIRECT(RefCell_R77),(data_NTC_10k2_3977[[#This Row],[Rpcb]]*INDIRECT(RefCell_R77))/(data_NTC_10k2_3977[[#This Row],[Rpcb]]+INDIRECT(RefCell_R77)),data_NTC_10k2_3977[[#This Row],[Rpcb]])</f>
        <v>10443</v>
      </c>
    </row>
    <row r="30" spans="1:12" x14ac:dyDescent="0.25">
      <c r="A30" t="s">
        <v>21</v>
      </c>
      <c r="B30" s="8">
        <v>25.5</v>
      </c>
      <c r="C30" s="9">
        <v>9784</v>
      </c>
      <c r="D30" s="9" cm="1">
        <f t="array" aca="1" ref="D30" ca="1">INDIRECT(RefCell_Rpot)+SUM(G30:G$34)</f>
        <v>9763</v>
      </c>
      <c r="E30" s="9">
        <f ca="1">data_NTC_10k2_3977[[#This Row],[Rpcb]]-data_NTC_10k2_3977[[#This Row],[Rsonde]]</f>
        <v>-21</v>
      </c>
      <c r="F30" s="4">
        <f ca="1">data_NTC_10k2_3977[[#This Row],[Diff R]]/data_NTC_10k2_3977[[#This Row],[Rsonde]]</f>
        <v>-2.1463614063777594E-3</v>
      </c>
      <c r="G30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620</v>
      </c>
      <c r="H30" s="9" cm="1">
        <f t="array" aca="1" ref="H30" ca="1">MAX(IF(ResValuesR24&lt;=ROUND(data_NTC_10k2_3977[[#This Row],[Rsonde]],2)-IF(data_NTC_10k2_3977[[#This Row],[Rsonde]]=MIN(data_NTC_10k2_3977[Rsonde]),100,$D31),ResValuesR24))</f>
        <v>620</v>
      </c>
      <c r="I30" s="9">
        <f ca="1">ROUND(data_NTC_10k2_3977[[#This Row],[RaddLow]]+(IF(data_NTC_10k2_3977[[#This Row],[Rsonde]]=MIN(data_NTC_10k2_3977[Rsonde]),0,$D31)-data_NTC_10k2_3977[[#This Row],[Rsonde]]),2)</f>
        <v>-21</v>
      </c>
      <c r="J30" s="9" cm="1">
        <f t="array" aca="1" ref="J30" ca="1">MIN(IF(ResValuesR24&gt;=ROUND(data_NTC_10k2_3977[[#This Row],[Rsonde]],2)-IF(data_NTC_10k2_3977[[#This Row],[Rsonde]]=MIN(data_NTC_10k2_3977[Rsonde]),100,$D31),ResValuesR24))</f>
        <v>680</v>
      </c>
      <c r="K30" s="9">
        <f ca="1">ROUND(data_NTC_10k2_3977[[#This Row],[RaddHigh]]+(IF(data_NTC_10k2_3977[[#This Row],[Rsonde]]=MIN(data_NTC_10k2_3977[Rsonde]),0,$D31)-data_NTC_10k2_3977[[#This Row],[Rsonde]]),2)</f>
        <v>39</v>
      </c>
      <c r="L30" s="2" cm="1">
        <f t="array" aca="1" ref="L30" ca="1">IF(INDIRECT(RefCell_R77),(data_NTC_10k2_3977[[#This Row],[Rpcb]]*INDIRECT(RefCell_R77))/(data_NTC_10k2_3977[[#This Row],[Rpcb]]+INDIRECT(RefCell_R77)),data_NTC_10k2_3977[[#This Row],[Rpcb]])</f>
        <v>9763</v>
      </c>
    </row>
    <row r="31" spans="1:12" x14ac:dyDescent="0.25">
      <c r="A31" t="s">
        <v>20</v>
      </c>
      <c r="B31" s="8">
        <v>27</v>
      </c>
      <c r="C31" s="9">
        <v>9166</v>
      </c>
      <c r="D31" s="9" cm="1">
        <f t="array" aca="1" ref="D31" ca="1">INDIRECT(RefCell_Rpot)+SUM(G31:G$34)</f>
        <v>9143</v>
      </c>
      <c r="E31" s="9">
        <f ca="1">data_NTC_10k2_3977[[#This Row],[Rpcb]]-data_NTC_10k2_3977[[#This Row],[Rsonde]]</f>
        <v>-23</v>
      </c>
      <c r="F31" s="4">
        <f ca="1">data_NTC_10k2_3977[[#This Row],[Diff R]]/data_NTC_10k2_3977[[#This Row],[Rsonde]]</f>
        <v>-2.5092734017019419E-3</v>
      </c>
      <c r="G31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560</v>
      </c>
      <c r="H31" s="9" cm="1">
        <f t="array" aca="1" ref="H31" ca="1">MAX(IF(ResValuesR24&lt;=ROUND(data_NTC_10k2_3977[[#This Row],[Rsonde]],2)-IF(data_NTC_10k2_3977[[#This Row],[Rsonde]]=MIN(data_NTC_10k2_3977[Rsonde]),100,$D32),ResValuesR24))</f>
        <v>560</v>
      </c>
      <c r="I31" s="9">
        <f ca="1">ROUND(data_NTC_10k2_3977[[#This Row],[RaddLow]]+(IF(data_NTC_10k2_3977[[#This Row],[Rsonde]]=MIN(data_NTC_10k2_3977[Rsonde]),0,$D32)-data_NTC_10k2_3977[[#This Row],[Rsonde]]),2)</f>
        <v>-23</v>
      </c>
      <c r="J31" s="9" cm="1">
        <f t="array" aca="1" ref="J31" ca="1">MIN(IF(ResValuesR24&gt;=ROUND(data_NTC_10k2_3977[[#This Row],[Rsonde]],2)-IF(data_NTC_10k2_3977[[#This Row],[Rsonde]]=MIN(data_NTC_10k2_3977[Rsonde]),100,$D32),ResValuesR24))</f>
        <v>620</v>
      </c>
      <c r="K31" s="9">
        <f ca="1">ROUND(data_NTC_10k2_3977[[#This Row],[RaddHigh]]+(IF(data_NTC_10k2_3977[[#This Row],[Rsonde]]=MIN(data_NTC_10k2_3977[Rsonde]),0,$D32)-data_NTC_10k2_3977[[#This Row],[Rsonde]]),2)</f>
        <v>37</v>
      </c>
      <c r="L31" s="2" cm="1">
        <f t="array" aca="1" ref="L31" ca="1">IF(INDIRECT(RefCell_R77),(data_NTC_10k2_3977[[#This Row],[Rpcb]]*INDIRECT(RefCell_R77))/(data_NTC_10k2_3977[[#This Row],[Rpcb]]+INDIRECT(RefCell_R77)),data_NTC_10k2_3977[[#This Row],[Rpcb]])</f>
        <v>9143</v>
      </c>
    </row>
    <row r="32" spans="1:12" x14ac:dyDescent="0.25">
      <c r="A32" t="s">
        <v>19</v>
      </c>
      <c r="B32" s="8">
        <v>28.5</v>
      </c>
      <c r="C32" s="9">
        <v>8593</v>
      </c>
      <c r="D32" s="9" cm="1">
        <f t="array" aca="1" ref="D32" ca="1">INDIRECT(RefCell_Rpot)+SUM(G32:G$34)</f>
        <v>8583</v>
      </c>
      <c r="E32" s="9">
        <f ca="1">data_NTC_10k2_3977[[#This Row],[Rpcb]]-data_NTC_10k2_3977[[#This Row],[Rsonde]]</f>
        <v>-10</v>
      </c>
      <c r="F32" s="4">
        <f ca="1">data_NTC_10k2_3977[[#This Row],[Diff R]]/data_NTC_10k2_3977[[#This Row],[Rsonde]]</f>
        <v>-1.1637379262190155E-3</v>
      </c>
      <c r="G32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509.99999999999994</v>
      </c>
      <c r="H32" s="9" cm="1">
        <f t="array" aca="1" ref="H32" ca="1">MAX(IF(ResValuesR24&lt;=ROUND(data_NTC_10k2_3977[[#This Row],[Rsonde]],2)-IF(data_NTC_10k2_3977[[#This Row],[Rsonde]]=MIN(data_NTC_10k2_3977[Rsonde]),100,$D33),ResValuesR24))</f>
        <v>509.99999999999994</v>
      </c>
      <c r="I32" s="9">
        <f ca="1">ROUND(data_NTC_10k2_3977[[#This Row],[RaddLow]]+(IF(data_NTC_10k2_3977[[#This Row],[Rsonde]]=MIN(data_NTC_10k2_3977[Rsonde]),0,$D33)-data_NTC_10k2_3977[[#This Row],[Rsonde]]),2)</f>
        <v>-10</v>
      </c>
      <c r="J32" s="9" cm="1">
        <f t="array" aca="1" ref="J32" ca="1">MIN(IF(ResValuesR24&gt;=ROUND(data_NTC_10k2_3977[[#This Row],[Rsonde]],2)-IF(data_NTC_10k2_3977[[#This Row],[Rsonde]]=MIN(data_NTC_10k2_3977[Rsonde]),100,$D33),ResValuesR24))</f>
        <v>560</v>
      </c>
      <c r="K32" s="9">
        <f ca="1">ROUND(data_NTC_10k2_3977[[#This Row],[RaddHigh]]+(IF(data_NTC_10k2_3977[[#This Row],[Rsonde]]=MIN(data_NTC_10k2_3977[Rsonde]),0,$D33)-data_NTC_10k2_3977[[#This Row],[Rsonde]]),2)</f>
        <v>40</v>
      </c>
      <c r="L32" s="2" cm="1">
        <f t="array" aca="1" ref="L32" ca="1">IF(INDIRECT(RefCell_R77),(data_NTC_10k2_3977[[#This Row],[Rpcb]]*INDIRECT(RefCell_R77))/(data_NTC_10k2_3977[[#This Row],[Rpcb]]+INDIRECT(RefCell_R77)),data_NTC_10k2_3977[[#This Row],[Rpcb]])</f>
        <v>8583</v>
      </c>
    </row>
    <row r="33" spans="1:12" x14ac:dyDescent="0.25">
      <c r="A33" t="s">
        <v>18</v>
      </c>
      <c r="B33" s="8">
        <v>30</v>
      </c>
      <c r="C33" s="9">
        <v>8059</v>
      </c>
      <c r="D33" s="9" cm="1">
        <f t="array" aca="1" ref="D33" ca="1">INDIRECT(RefCell_Rpot)+SUM(G33:G$34)</f>
        <v>8073</v>
      </c>
      <c r="E33" s="9">
        <f ca="1">data_NTC_10k2_3977[[#This Row],[Rpcb]]-data_NTC_10k2_3977[[#This Row],[Rsonde]]</f>
        <v>14</v>
      </c>
      <c r="F33" s="4">
        <f ca="1">data_NTC_10k2_3977[[#This Row],[Diff R]]/data_NTC_10k2_3977[[#This Row],[Rsonde]]</f>
        <v>1.7371882367539398E-3</v>
      </c>
      <c r="G33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509.99999999999994</v>
      </c>
      <c r="H33" s="9" cm="1">
        <f t="array" aca="1" ref="H33" ca="1">MAX(IF(ResValuesR24&lt;=ROUND(data_NTC_10k2_3977[[#This Row],[Rsonde]],2)-IF(data_NTC_10k2_3977[[#This Row],[Rsonde]]=MIN(data_NTC_10k2_3977[Rsonde]),100,$D34),ResValuesR24))</f>
        <v>470</v>
      </c>
      <c r="I33" s="9">
        <f ca="1">ROUND(data_NTC_10k2_3977[[#This Row],[RaddLow]]+(IF(data_NTC_10k2_3977[[#This Row],[Rsonde]]=MIN(data_NTC_10k2_3977[Rsonde]),0,$D34)-data_NTC_10k2_3977[[#This Row],[Rsonde]]),2)</f>
        <v>-26</v>
      </c>
      <c r="J33" s="9" cm="1">
        <f t="array" aca="1" ref="J33" ca="1">MIN(IF(ResValuesR24&gt;=ROUND(data_NTC_10k2_3977[[#This Row],[Rsonde]],2)-IF(data_NTC_10k2_3977[[#This Row],[Rsonde]]=MIN(data_NTC_10k2_3977[Rsonde]),100,$D34),ResValuesR24))</f>
        <v>509.99999999999994</v>
      </c>
      <c r="K33" s="9">
        <f ca="1">ROUND(data_NTC_10k2_3977[[#This Row],[RaddHigh]]+(IF(data_NTC_10k2_3977[[#This Row],[Rsonde]]=MIN(data_NTC_10k2_3977[Rsonde]),0,$D34)-data_NTC_10k2_3977[[#This Row],[Rsonde]]),2)</f>
        <v>14</v>
      </c>
      <c r="L33" s="2" cm="1">
        <f t="array" aca="1" ref="L33" ca="1">IF(INDIRECT(RefCell_R77),(data_NTC_10k2_3977[[#This Row],[Rpcb]]*INDIRECT(RefCell_R77))/(data_NTC_10k2_3977[[#This Row],[Rpcb]]+INDIRECT(RefCell_R77)),data_NTC_10k2_3977[[#This Row],[Rpcb]])</f>
        <v>8073</v>
      </c>
    </row>
    <row r="34" spans="1:12" x14ac:dyDescent="0.25">
      <c r="A34" t="s">
        <v>17</v>
      </c>
      <c r="B34" s="8">
        <v>31.5</v>
      </c>
      <c r="C34" s="9">
        <v>7563</v>
      </c>
      <c r="D34" s="9" cm="1">
        <f t="array" aca="1" ref="D34" ca="1">INDIRECT(RefCell_Rpot)+SUM(G34:G$34)</f>
        <v>7563</v>
      </c>
      <c r="E34" s="9">
        <f ca="1">data_NTC_10k2_3977[[#This Row],[Rpcb]]-data_NTC_10k2_3977[[#This Row],[Rsonde]]</f>
        <v>0</v>
      </c>
      <c r="F34" s="4">
        <f ca="1">data_NTC_10k2_3977[[#This Row],[Diff R]]/data_NTC_10k2_3977[[#This Row],[Rsonde]]</f>
        <v>0</v>
      </c>
      <c r="G34" s="9">
        <f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7500</v>
      </c>
      <c r="H34" s="9" cm="1">
        <f t="array" ref="H34">MAX(IF(ResValuesR24&lt;=ROUND(data_NTC_10k2_3977[[#This Row],[Rsonde]],2)-IF(data_NTC_10k2_3977[[#This Row],[Rsonde]]=MIN(data_NTC_10k2_3977[Rsonde]),100,$D35),ResValuesR24))</f>
        <v>6800</v>
      </c>
      <c r="I34" s="9">
        <f>ROUND(data_NTC_10k2_3977[[#This Row],[RaddLow]]+(IF(data_NTC_10k2_3977[[#This Row],[Rsonde]]=MIN(data_NTC_10k2_3977[Rsonde]),0,$D35)-data_NTC_10k2_3977[[#This Row],[Rsonde]]),2)</f>
        <v>-763</v>
      </c>
      <c r="J34" s="9" cm="1">
        <f t="array" ref="J34">MIN(IF(ResValuesR24&gt;=ROUND(data_NTC_10k2_3977[[#This Row],[Rsonde]],2)-IF(data_NTC_10k2_3977[[#This Row],[Rsonde]]=MIN(data_NTC_10k2_3977[Rsonde]),100,$D35),ResValuesR24))</f>
        <v>7500</v>
      </c>
      <c r="K34" s="9">
        <f>ROUND(data_NTC_10k2_3977[[#This Row],[RaddHigh]]+(IF(data_NTC_10k2_3977[[#This Row],[Rsonde]]=MIN(data_NTC_10k2_3977[Rsonde]),0,$D35)-data_NTC_10k2_3977[[#This Row],[Rsonde]]),2)</f>
        <v>-63</v>
      </c>
      <c r="L34" s="2" cm="1">
        <f t="array" aca="1" ref="L34" ca="1">IF(INDIRECT(RefCell_R77),(data_NTC_10k2_3977[[#This Row],[Rpcb]]*INDIRECT(RefCell_R77))/(data_NTC_10k2_3977[[#This Row],[Rpcb]]+INDIRECT(RefCell_R77)),data_NTC_10k2_3977[[#This Row],[Rpcb]])</f>
        <v>7563</v>
      </c>
    </row>
  </sheetData>
  <mergeCells count="1">
    <mergeCell ref="A1:L1"/>
  </mergeCells>
  <conditionalFormatting sqref="F3:F34">
    <cfRule type="cellIs" dxfId="159" priority="1" operator="between">
      <formula>-0.005</formula>
      <formula>0.005</formula>
    </cfRule>
  </conditionalFormatting>
  <dataValidations count="1">
    <dataValidation type="list" allowBlank="1" showInputMessage="1" showErrorMessage="1" sqref="O3" xr:uid="{4D04A926-B12B-45D4-B400-C5491BF0D41C}">
      <formula1>INDIRECT("TableR77[R]")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7697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98" r:id="rId5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99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0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1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2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3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4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5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6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1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72E68B-1C12-487C-801A-8C05177EE5A3}">
  <sheetPr codeName="Feuil17"/>
  <dimension ref="A1:P34"/>
  <sheetViews>
    <sheetView workbookViewId="0">
      <selection activeCell="O3" sqref="O3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102</v>
      </c>
      <c r="P2" s="7" t="s">
        <v>113</v>
      </c>
    </row>
    <row r="3" spans="1:16" x14ac:dyDescent="0.25">
      <c r="A3" t="s">
        <v>48</v>
      </c>
      <c r="B3" s="8">
        <v>-15</v>
      </c>
      <c r="C3" s="9">
        <v>5855</v>
      </c>
      <c r="D3" s="9" cm="1">
        <f t="array" aca="1" ref="D3" ca="1">INDIRECT(RefCell_Rpot)+SUM(G3:G$34)</f>
        <v>5853</v>
      </c>
      <c r="E3" s="9">
        <f ca="1">data_NTC_1k_3528[[#This Row],[Rpcb]]-data_NTC_1k_3528[[#This Row],[Rsonde]]</f>
        <v>-2</v>
      </c>
      <c r="F3" s="4">
        <f ca="1">data_NTC_1k_3528[[#This Row],[Diff R]]/data_NTC_1k_3528[[#This Row],[Rsonde]]</f>
        <v>-3.4158838599487618E-4</v>
      </c>
      <c r="G3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430</v>
      </c>
      <c r="H3" s="9" cm="1">
        <f t="array" aca="1" ref="H3" ca="1">MAX(IF(ResValuesR24&lt;=ROUND(data_NTC_1k_3528[[#This Row],[Rsonde]],2)-IF(data_NTC_1k_3528[[#This Row],[Rsonde]]=MIN(data_NTC_1k_3528[Rsonde]),100,$D4),ResValuesR24))</f>
        <v>430</v>
      </c>
      <c r="I3" s="9">
        <f ca="1">ROUND(data_NTC_1k_3528[[#This Row],[RaddLow]]+(IF(data_NTC_1k_3528[[#This Row],[Rsonde]]=MIN(data_NTC_1k_3528[Rsonde]),0,$D4)-data_NTC_1k_3528[[#This Row],[Rsonde]]),2)</f>
        <v>-2</v>
      </c>
      <c r="J3" s="9" cm="1">
        <f t="array" aca="1" ref="J3" ca="1">MIN(IF(ResValuesR24&gt;=ROUND(data_NTC_1k_3528[[#This Row],[Rsonde]],2)-IF(data_NTC_1k_3528[[#This Row],[Rsonde]]=MIN(data_NTC_1k_3528[Rsonde]),100,$D4),ResValuesR24))</f>
        <v>470</v>
      </c>
      <c r="K3" s="9">
        <f ca="1">ROUND(data_NTC_1k_3528[[#This Row],[RaddHigh]]+(IF(data_NTC_1k_3528[[#This Row],[Rsonde]]=MIN(data_NTC_1k_3528[Rsonde]),0,$D4)-data_NTC_1k_3528[[#This Row],[Rsonde]]),2)</f>
        <v>38</v>
      </c>
      <c r="L3" s="2" cm="1">
        <f t="array" aca="1" ref="L3" ca="1">IF(INDIRECT(RefCell_R77),(data_NTC_1k_3528[[#This Row],[Rpcb]]*INDIRECT(RefCell_R77))/(data_NTC_1k_3528[[#This Row],[Rpcb]]+INDIRECT(RefCell_R77)),data_NTC_1k_3528[[#This Row],[Rpcb]])</f>
        <v>3692.0456695893522</v>
      </c>
      <c r="N3" t="s">
        <v>112</v>
      </c>
      <c r="O3">
        <v>10000</v>
      </c>
      <c r="P3" s="7" t="s">
        <v>113</v>
      </c>
    </row>
    <row r="4" spans="1:16" x14ac:dyDescent="0.25">
      <c r="A4" t="s">
        <v>47</v>
      </c>
      <c r="B4" s="8">
        <v>-13.5</v>
      </c>
      <c r="C4" s="9">
        <v>5431</v>
      </c>
      <c r="D4" s="9" cm="1">
        <f t="array" aca="1" ref="D4" ca="1">INDIRECT(RefCell_Rpot)+SUM(G4:G$34)</f>
        <v>5423</v>
      </c>
      <c r="E4" s="9">
        <f ca="1">data_NTC_1k_3528[[#This Row],[Rpcb]]-data_NTC_1k_3528[[#This Row],[Rsonde]]</f>
        <v>-8</v>
      </c>
      <c r="F4" s="4">
        <f ca="1">data_NTC_1k_3528[[#This Row],[Diff R]]/data_NTC_1k_3528[[#This Row],[Rsonde]]</f>
        <v>-1.4730252255569876E-3</v>
      </c>
      <c r="G4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390</v>
      </c>
      <c r="H4" s="9" cm="1">
        <f t="array" aca="1" ref="H4" ca="1">MAX(IF(ResValuesR24&lt;=ROUND(data_NTC_1k_3528[[#This Row],[Rsonde]],2)-IF(data_NTC_1k_3528[[#This Row],[Rsonde]]=MIN(data_NTC_1k_3528[Rsonde]),100,$D5),ResValuesR24))</f>
        <v>390</v>
      </c>
      <c r="I4" s="9">
        <f ca="1">ROUND(data_NTC_1k_3528[[#This Row],[RaddLow]]+(IF(data_NTC_1k_3528[[#This Row],[Rsonde]]=MIN(data_NTC_1k_3528[Rsonde]),0,$D5)-data_NTC_1k_3528[[#This Row],[Rsonde]]),2)</f>
        <v>-8</v>
      </c>
      <c r="J4" s="9" cm="1">
        <f t="array" aca="1" ref="J4" ca="1">MIN(IF(ResValuesR24&gt;=ROUND(data_NTC_1k_3528[[#This Row],[Rsonde]],2)-IF(data_NTC_1k_3528[[#This Row],[Rsonde]]=MIN(data_NTC_1k_3528[Rsonde]),100,$D5),ResValuesR24))</f>
        <v>430</v>
      </c>
      <c r="K4" s="9">
        <f ca="1">ROUND(data_NTC_1k_3528[[#This Row],[RaddHigh]]+(IF(data_NTC_1k_3528[[#This Row],[Rsonde]]=MIN(data_NTC_1k_3528[Rsonde]),0,$D5)-data_NTC_1k_3528[[#This Row],[Rsonde]]),2)</f>
        <v>32</v>
      </c>
      <c r="L4" s="2" cm="1">
        <f t="array" aca="1" ref="L4" ca="1">IF(INDIRECT(RefCell_R77),(data_NTC_1k_3528[[#This Row],[Rpcb]]*INDIRECT(RefCell_R77))/(data_NTC_1k_3528[[#This Row],[Rpcb]]+INDIRECT(RefCell_R77)),data_NTC_1k_3528[[#This Row],[Rpcb]])</f>
        <v>3516.1771380405889</v>
      </c>
    </row>
    <row r="5" spans="1:16" x14ac:dyDescent="0.25">
      <c r="A5" t="s">
        <v>46</v>
      </c>
      <c r="B5" s="8">
        <v>-12</v>
      </c>
      <c r="C5" s="9">
        <v>5041</v>
      </c>
      <c r="D5" s="9" cm="1">
        <f t="array" aca="1" ref="D5" ca="1">INDIRECT(RefCell_Rpot)+SUM(G5:G$34)</f>
        <v>5033</v>
      </c>
      <c r="E5" s="9">
        <f ca="1">data_NTC_1k_3528[[#This Row],[Rpcb]]-data_NTC_1k_3528[[#This Row],[Rsonde]]</f>
        <v>-8</v>
      </c>
      <c r="F5" s="4">
        <f ca="1">data_NTC_1k_3528[[#This Row],[Diff R]]/data_NTC_1k_3528[[#This Row],[Rsonde]]</f>
        <v>-1.5869867089863122E-3</v>
      </c>
      <c r="G5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360</v>
      </c>
      <c r="H5" s="9" cm="1">
        <f t="array" aca="1" ref="H5" ca="1">MAX(IF(ResValuesR24&lt;=ROUND(data_NTC_1k_3528[[#This Row],[Rsonde]],2)-IF(data_NTC_1k_3528[[#This Row],[Rsonde]]=MIN(data_NTC_1k_3528[Rsonde]),100,$D6),ResValuesR24))</f>
        <v>360</v>
      </c>
      <c r="I5" s="9">
        <f ca="1">ROUND(data_NTC_1k_3528[[#This Row],[RaddLow]]+(IF(data_NTC_1k_3528[[#This Row],[Rsonde]]=MIN(data_NTC_1k_3528[Rsonde]),0,$D6)-data_NTC_1k_3528[[#This Row],[Rsonde]]),2)</f>
        <v>-8</v>
      </c>
      <c r="J5" s="9" cm="1">
        <f t="array" aca="1" ref="J5" ca="1">MIN(IF(ResValuesR24&gt;=ROUND(data_NTC_1k_3528[[#This Row],[Rsonde]],2)-IF(data_NTC_1k_3528[[#This Row],[Rsonde]]=MIN(data_NTC_1k_3528[Rsonde]),100,$D6),ResValuesR24))</f>
        <v>390</v>
      </c>
      <c r="K5" s="9">
        <f ca="1">ROUND(data_NTC_1k_3528[[#This Row],[RaddHigh]]+(IF(data_NTC_1k_3528[[#This Row],[Rsonde]]=MIN(data_NTC_1k_3528[Rsonde]),0,$D6)-data_NTC_1k_3528[[#This Row],[Rsonde]]),2)</f>
        <v>22</v>
      </c>
      <c r="L5" s="2" cm="1">
        <f t="array" aca="1" ref="L5" ca="1">IF(INDIRECT(RefCell_R77),(data_NTC_1k_3528[[#This Row],[Rpcb]]*INDIRECT(RefCell_R77))/(data_NTC_1k_3528[[#This Row],[Rpcb]]+INDIRECT(RefCell_R77)),data_NTC_1k_3528[[#This Row],[Rpcb]])</f>
        <v>3347.9678041641723</v>
      </c>
      <c r="N5" s="1" t="s">
        <v>215</v>
      </c>
    </row>
    <row r="6" spans="1:16" x14ac:dyDescent="0.25">
      <c r="A6" t="s">
        <v>45</v>
      </c>
      <c r="B6" s="8">
        <v>-10.5</v>
      </c>
      <c r="C6" s="9">
        <v>4683</v>
      </c>
      <c r="D6" s="9" cm="1">
        <f t="array" aca="1" ref="D6" ca="1">INDIRECT(RefCell_Rpot)+SUM(G6:G$34)</f>
        <v>4673</v>
      </c>
      <c r="E6" s="9">
        <f ca="1">data_NTC_1k_3528[[#This Row],[Rpcb]]-data_NTC_1k_3528[[#This Row],[Rsonde]]</f>
        <v>-10</v>
      </c>
      <c r="F6" s="4">
        <f ca="1">data_NTC_1k_3528[[#This Row],[Diff R]]/data_NTC_1k_3528[[#This Row],[Rsonde]]</f>
        <v>-2.1353833013025838E-3</v>
      </c>
      <c r="G6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330</v>
      </c>
      <c r="H6" s="9" cm="1">
        <f t="array" aca="1" ref="H6" ca="1">MAX(IF(ResValuesR24&lt;=ROUND(data_NTC_1k_3528[[#This Row],[Rsonde]],2)-IF(data_NTC_1k_3528[[#This Row],[Rsonde]]=MIN(data_NTC_1k_3528[Rsonde]),100,$D7),ResValuesR24))</f>
        <v>330</v>
      </c>
      <c r="I6" s="9">
        <f ca="1">ROUND(data_NTC_1k_3528[[#This Row],[RaddLow]]+(IF(data_NTC_1k_3528[[#This Row],[Rsonde]]=MIN(data_NTC_1k_3528[Rsonde]),0,$D7)-data_NTC_1k_3528[[#This Row],[Rsonde]]),2)</f>
        <v>-10</v>
      </c>
      <c r="J6" s="9" cm="1">
        <f t="array" aca="1" ref="J6" ca="1">MIN(IF(ResValuesR24&gt;=ROUND(data_NTC_1k_3528[[#This Row],[Rsonde]],2)-IF(data_NTC_1k_3528[[#This Row],[Rsonde]]=MIN(data_NTC_1k_3528[Rsonde]),100,$D7),ResValuesR24))</f>
        <v>360</v>
      </c>
      <c r="K6" s="9">
        <f ca="1">ROUND(data_NTC_1k_3528[[#This Row],[RaddHigh]]+(IF(data_NTC_1k_3528[[#This Row],[Rsonde]]=MIN(data_NTC_1k_3528[Rsonde]),0,$D7)-data_NTC_1k_3528[[#This Row],[Rsonde]]),2)</f>
        <v>20</v>
      </c>
      <c r="L6" s="2" cm="1">
        <f t="array" aca="1" ref="L6" ca="1">IF(INDIRECT(RefCell_R77),(data_NTC_1k_3528[[#This Row],[Rpcb]]*INDIRECT(RefCell_R77))/(data_NTC_1k_3528[[#This Row],[Rpcb]]+INDIRECT(RefCell_R77)),data_NTC_1k_3528[[#This Row],[Rpcb]])</f>
        <v>3184.7611258774618</v>
      </c>
      <c r="N6" s="35" t="s">
        <v>131</v>
      </c>
      <c r="O6">
        <f t="shared" ref="O6" si="0">O14 - O11*O7 - O11^3*O8</f>
        <v>1.3970818802460049E-3</v>
      </c>
    </row>
    <row r="7" spans="1:16" x14ac:dyDescent="0.25">
      <c r="A7" t="s">
        <v>44</v>
      </c>
      <c r="B7" s="8">
        <v>-9</v>
      </c>
      <c r="C7" s="9">
        <v>4353</v>
      </c>
      <c r="D7" s="9" cm="1">
        <f t="array" aca="1" ref="D7" ca="1">INDIRECT(RefCell_Rpot)+SUM(G7:G$34)</f>
        <v>4343</v>
      </c>
      <c r="E7" s="9">
        <f ca="1">data_NTC_1k_3528[[#This Row],[Rpcb]]-data_NTC_1k_3528[[#This Row],[Rsonde]]</f>
        <v>-10</v>
      </c>
      <c r="F7" s="4">
        <f ca="1">data_NTC_1k_3528[[#This Row],[Diff R]]/data_NTC_1k_3528[[#This Row],[Rsonde]]</f>
        <v>-2.297266253158741E-3</v>
      </c>
      <c r="G7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300</v>
      </c>
      <c r="H7" s="9" cm="1">
        <f t="array" aca="1" ref="H7" ca="1">MAX(IF(ResValuesR24&lt;=ROUND(data_NTC_1k_3528[[#This Row],[Rsonde]],2)-IF(data_NTC_1k_3528[[#This Row],[Rsonde]]=MIN(data_NTC_1k_3528[Rsonde]),100,$D8),ResValuesR24))</f>
        <v>300</v>
      </c>
      <c r="I7" s="9">
        <f ca="1">ROUND(data_NTC_1k_3528[[#This Row],[RaddLow]]+(IF(data_NTC_1k_3528[[#This Row],[Rsonde]]=MIN(data_NTC_1k_3528[Rsonde]),0,$D8)-data_NTC_1k_3528[[#This Row],[Rsonde]]),2)</f>
        <v>-10</v>
      </c>
      <c r="J7" s="9" cm="1">
        <f t="array" aca="1" ref="J7" ca="1">MIN(IF(ResValuesR24&gt;=ROUND(data_NTC_1k_3528[[#This Row],[Rsonde]],2)-IF(data_NTC_1k_3528[[#This Row],[Rsonde]]=MIN(data_NTC_1k_3528[Rsonde]),100,$D8),ResValuesR24))</f>
        <v>330</v>
      </c>
      <c r="K7" s="9">
        <f ca="1">ROUND(data_NTC_1k_3528[[#This Row],[RaddHigh]]+(IF(data_NTC_1k_3528[[#This Row],[Rsonde]]=MIN(data_NTC_1k_3528[Rsonde]),0,$D8)-data_NTC_1k_3528[[#This Row],[Rsonde]]),2)</f>
        <v>20</v>
      </c>
      <c r="L7" s="2" cm="1">
        <f t="array" aca="1" ref="L7" ca="1">IF(INDIRECT(RefCell_R77),(data_NTC_1k_3528[[#This Row],[Rpcb]]*INDIRECT(RefCell_R77))/(data_NTC_1k_3528[[#This Row],[Rpcb]]+INDIRECT(RefCell_R77)),data_NTC_1k_3528[[#This Row],[Rpcb]])</f>
        <v>3027.9578888656488</v>
      </c>
      <c r="N7" s="35" t="s">
        <v>130</v>
      </c>
      <c r="O7">
        <f t="shared" ref="O7" si="1">(1/(O11-O12)) * (O14-O15-(O11^3-O12^3)*O8)</f>
        <v>2.7949593311809266E-4</v>
      </c>
    </row>
    <row r="8" spans="1:16" x14ac:dyDescent="0.25">
      <c r="A8" t="s">
        <v>43</v>
      </c>
      <c r="B8" s="8">
        <v>-7.5</v>
      </c>
      <c r="C8" s="9">
        <v>4050</v>
      </c>
      <c r="D8" s="9" cm="1">
        <f t="array" aca="1" ref="D8" ca="1">INDIRECT(RefCell_Rpot)+SUM(G8:G$34)</f>
        <v>4043</v>
      </c>
      <c r="E8" s="9">
        <f ca="1">data_NTC_1k_3528[[#This Row],[Rpcb]]-data_NTC_1k_3528[[#This Row],[Rsonde]]</f>
        <v>-7</v>
      </c>
      <c r="F8" s="4">
        <f ca="1">data_NTC_1k_3528[[#This Row],[Diff R]]/data_NTC_1k_3528[[#This Row],[Rsonde]]</f>
        <v>-1.7283950617283952E-3</v>
      </c>
      <c r="G8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270</v>
      </c>
      <c r="H8" s="9" cm="1">
        <f t="array" aca="1" ref="H8" ca="1">MAX(IF(ResValuesR24&lt;=ROUND(data_NTC_1k_3528[[#This Row],[Rsonde]],2)-IF(data_NTC_1k_3528[[#This Row],[Rsonde]]=MIN(data_NTC_1k_3528[Rsonde]),100,$D9),ResValuesR24))</f>
        <v>270</v>
      </c>
      <c r="I8" s="9">
        <f ca="1">ROUND(data_NTC_1k_3528[[#This Row],[RaddLow]]+(IF(data_NTC_1k_3528[[#This Row],[Rsonde]]=MIN(data_NTC_1k_3528[Rsonde]),0,$D9)-data_NTC_1k_3528[[#This Row],[Rsonde]]),2)</f>
        <v>-7</v>
      </c>
      <c r="J8" s="9" cm="1">
        <f t="array" aca="1" ref="J8" ca="1">MIN(IF(ResValuesR24&gt;=ROUND(data_NTC_1k_3528[[#This Row],[Rsonde]],2)-IF(data_NTC_1k_3528[[#This Row],[Rsonde]]=MIN(data_NTC_1k_3528[Rsonde]),100,$D9),ResValuesR24))</f>
        <v>300</v>
      </c>
      <c r="K8" s="9">
        <f ca="1">ROUND(data_NTC_1k_3528[[#This Row],[RaddHigh]]+(IF(data_NTC_1k_3528[[#This Row],[Rsonde]]=MIN(data_NTC_1k_3528[Rsonde]),0,$D9)-data_NTC_1k_3528[[#This Row],[Rsonde]]),2)</f>
        <v>23</v>
      </c>
      <c r="L8" s="2" cm="1">
        <f t="array" aca="1" ref="L8" ca="1">IF(INDIRECT(RefCell_R77),(data_NTC_1k_3528[[#This Row],[Rpcb]]*INDIRECT(RefCell_R77))/(data_NTC_1k_3528[[#This Row],[Rpcb]]+INDIRECT(RefCell_R77)),data_NTC_1k_3528[[#This Row],[Rpcb]])</f>
        <v>2879.0144556006553</v>
      </c>
      <c r="N8" s="35" t="s">
        <v>129</v>
      </c>
      <c r="O8">
        <f t="shared" ref="O8" si="2">O10/O9</f>
        <v>7.9640149231494755E-8</v>
      </c>
    </row>
    <row r="9" spans="1:16" x14ac:dyDescent="0.25">
      <c r="A9" t="s">
        <v>42</v>
      </c>
      <c r="B9" s="8">
        <v>-6</v>
      </c>
      <c r="C9" s="9">
        <v>3771</v>
      </c>
      <c r="D9" s="9" cm="1">
        <f t="array" aca="1" ref="D9" ca="1">INDIRECT(RefCell_Rpot)+SUM(G9:G$34)</f>
        <v>3773</v>
      </c>
      <c r="E9" s="9">
        <f ca="1">data_NTC_1k_3528[[#This Row],[Rpcb]]-data_NTC_1k_3528[[#This Row],[Rsonde]]</f>
        <v>2</v>
      </c>
      <c r="F9" s="4">
        <f ca="1">data_NTC_1k_3528[[#This Row],[Diff R]]/data_NTC_1k_3528[[#This Row],[Rsonde]]</f>
        <v>5.3036329885971893E-4</v>
      </c>
      <c r="G9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270</v>
      </c>
      <c r="H9" s="9" cm="1">
        <f t="array" aca="1" ref="H9" ca="1">MAX(IF(ResValuesR24&lt;=ROUND(data_NTC_1k_3528[[#This Row],[Rsonde]],2)-IF(data_NTC_1k_3528[[#This Row],[Rsonde]]=MIN(data_NTC_1k_3528[Rsonde]),100,$D10),ResValuesR24))</f>
        <v>240</v>
      </c>
      <c r="I9" s="9">
        <f ca="1">ROUND(data_NTC_1k_3528[[#This Row],[RaddLow]]+(IF(data_NTC_1k_3528[[#This Row],[Rsonde]]=MIN(data_NTC_1k_3528[Rsonde]),0,$D10)-data_NTC_1k_3528[[#This Row],[Rsonde]]),2)</f>
        <v>-28</v>
      </c>
      <c r="J9" s="9" cm="1">
        <f t="array" aca="1" ref="J9" ca="1">MIN(IF(ResValuesR24&gt;=ROUND(data_NTC_1k_3528[[#This Row],[Rsonde]],2)-IF(data_NTC_1k_3528[[#This Row],[Rsonde]]=MIN(data_NTC_1k_3528[Rsonde]),100,$D10),ResValuesR24))</f>
        <v>270</v>
      </c>
      <c r="K9" s="9">
        <f ca="1">ROUND(data_NTC_1k_3528[[#This Row],[RaddHigh]]+(IF(data_NTC_1k_3528[[#This Row],[Rsonde]]=MIN(data_NTC_1k_3528[Rsonde]),0,$D10)-data_NTC_1k_3528[[#This Row],[Rsonde]]),2)</f>
        <v>2</v>
      </c>
      <c r="L9" s="2" cm="1">
        <f t="array" aca="1" ref="L9" ca="1">IF(INDIRECT(RefCell_R77),(data_NTC_1k_3528[[#This Row],[Rpcb]]*INDIRECT(RefCell_R77))/(data_NTC_1k_3528[[#This Row],[Rpcb]]+INDIRECT(RefCell_R77)),data_NTC_1k_3528[[#This Row],[Rpcb]])</f>
        <v>2739.4177012996442</v>
      </c>
      <c r="N9" s="3" t="s">
        <v>181</v>
      </c>
      <c r="O9">
        <f t="shared" ref="O9" si="3">(O12-O13)/(O11-O12) * (O12^3-O11^3) + (O12^3-O13^3)</f>
        <v>-36.702956615959721</v>
      </c>
    </row>
    <row r="10" spans="1:16" x14ac:dyDescent="0.25">
      <c r="A10" t="s">
        <v>41</v>
      </c>
      <c r="B10" s="8">
        <v>-4.5</v>
      </c>
      <c r="C10" s="9">
        <v>3513</v>
      </c>
      <c r="D10" s="9" cm="1">
        <f t="array" aca="1" ref="D10" ca="1">INDIRECT(RefCell_Rpot)+SUM(G10:G$34)</f>
        <v>3503</v>
      </c>
      <c r="E10" s="9">
        <f ca="1">data_NTC_1k_3528[[#This Row],[Rpcb]]-data_NTC_1k_3528[[#This Row],[Rsonde]]</f>
        <v>-10</v>
      </c>
      <c r="F10" s="4">
        <f ca="1">data_NTC_1k_3528[[#This Row],[Diff R]]/data_NTC_1k_3528[[#This Row],[Rsonde]]</f>
        <v>-2.8465698832906348E-3</v>
      </c>
      <c r="G10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220.00000000000003</v>
      </c>
      <c r="H10" s="9" cm="1">
        <f t="array" aca="1" ref="H10" ca="1">MAX(IF(ResValuesR24&lt;=ROUND(data_NTC_1k_3528[[#This Row],[Rsonde]],2)-IF(data_NTC_1k_3528[[#This Row],[Rsonde]]=MIN(data_NTC_1k_3528[Rsonde]),100,$D11),ResValuesR24))</f>
        <v>220.00000000000003</v>
      </c>
      <c r="I10" s="9">
        <f ca="1">ROUND(data_NTC_1k_3528[[#This Row],[RaddLow]]+(IF(data_NTC_1k_3528[[#This Row],[Rsonde]]=MIN(data_NTC_1k_3528[Rsonde]),0,$D11)-data_NTC_1k_3528[[#This Row],[Rsonde]]),2)</f>
        <v>-10</v>
      </c>
      <c r="J10" s="9" cm="1">
        <f t="array" aca="1" ref="J10" ca="1">MIN(IF(ResValuesR24&gt;=ROUND(data_NTC_1k_3528[[#This Row],[Rsonde]],2)-IF(data_NTC_1k_3528[[#This Row],[Rsonde]]=MIN(data_NTC_1k_3528[Rsonde]),100,$D11),ResValuesR24))</f>
        <v>240</v>
      </c>
      <c r="K10" s="9">
        <f ca="1">ROUND(data_NTC_1k_3528[[#This Row],[RaddHigh]]+(IF(data_NTC_1k_3528[[#This Row],[Rsonde]]=MIN(data_NTC_1k_3528[Rsonde]),0,$D11)-data_NTC_1k_3528[[#This Row],[Rsonde]]),2)</f>
        <v>10</v>
      </c>
      <c r="L10" s="2" cm="1">
        <f t="array" aca="1" ref="L10" ca="1">IF(INDIRECT(RefCell_R77),(data_NTC_1k_3528[[#This Row],[Rpcb]]*INDIRECT(RefCell_R77))/(data_NTC_1k_3528[[#This Row],[Rpcb]]+INDIRECT(RefCell_R77)),data_NTC_1k_3528[[#This Row],[Rpcb]])</f>
        <v>2594.2383174109459</v>
      </c>
      <c r="N10" s="3" t="s">
        <v>182</v>
      </c>
      <c r="O10">
        <f t="shared" ref="O10" si="4">O15 - O16 - ( (O12-O13)/(O11-O12) ) * (O14-O15)</f>
        <v>-2.92302894213211E-6</v>
      </c>
    </row>
    <row r="11" spans="1:16" x14ac:dyDescent="0.25">
      <c r="A11" t="s">
        <v>40</v>
      </c>
      <c r="B11" s="8">
        <v>-3</v>
      </c>
      <c r="C11" s="9">
        <v>3276</v>
      </c>
      <c r="D11" s="9" cm="1">
        <f t="array" aca="1" ref="D11" ca="1">INDIRECT(RefCell_Rpot)+SUM(G11:G$34)</f>
        <v>3283</v>
      </c>
      <c r="E11" s="9">
        <f ca="1">data_NTC_1k_3528[[#This Row],[Rpcb]]-data_NTC_1k_3528[[#This Row],[Rsonde]]</f>
        <v>7</v>
      </c>
      <c r="F11" s="4">
        <f ca="1">data_NTC_1k_3528[[#This Row],[Diff R]]/data_NTC_1k_3528[[#This Row],[Rsonde]]</f>
        <v>2.136752136752137E-3</v>
      </c>
      <c r="G11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220.00000000000003</v>
      </c>
      <c r="H11" s="9" cm="1">
        <f t="array" aca="1" ref="H11" ca="1">MAX(IF(ResValuesR24&lt;=ROUND(data_NTC_1k_3528[[#This Row],[Rsonde]],2)-IF(data_NTC_1k_3528[[#This Row],[Rsonde]]=MIN(data_NTC_1k_3528[Rsonde]),100,$D12),ResValuesR24))</f>
        <v>200</v>
      </c>
      <c r="I11" s="9">
        <f ca="1">ROUND(data_NTC_1k_3528[[#This Row],[RaddLow]]+(IF(data_NTC_1k_3528[[#This Row],[Rsonde]]=MIN(data_NTC_1k_3528[Rsonde]),0,$D12)-data_NTC_1k_3528[[#This Row],[Rsonde]]),2)</f>
        <v>-13</v>
      </c>
      <c r="J11" s="9" cm="1">
        <f t="array" aca="1" ref="J11" ca="1">MIN(IF(ResValuesR24&gt;=ROUND(data_NTC_1k_3528[[#This Row],[Rsonde]],2)-IF(data_NTC_1k_3528[[#This Row],[Rsonde]]=MIN(data_NTC_1k_3528[Rsonde]),100,$D12),ResValuesR24))</f>
        <v>220.00000000000003</v>
      </c>
      <c r="K11" s="9">
        <f ca="1">ROUND(data_NTC_1k_3528[[#This Row],[RaddHigh]]+(IF(data_NTC_1k_3528[[#This Row],[Rsonde]]=MIN(data_NTC_1k_3528[Rsonde]),0,$D12)-data_NTC_1k_3528[[#This Row],[Rsonde]]),2)</f>
        <v>7</v>
      </c>
      <c r="L11" s="2" cm="1">
        <f t="array" aca="1" ref="L11" ca="1">IF(INDIRECT(RefCell_R77),(data_NTC_1k_3528[[#This Row],[Rpcb]]*INDIRECT(RefCell_R77))/(data_NTC_1k_3528[[#This Row],[Rpcb]]+INDIRECT(RefCell_R77)),data_NTC_1k_3528[[#This Row],[Rpcb]])</f>
        <v>2471.5802153128056</v>
      </c>
      <c r="N11" s="3" t="s">
        <v>178</v>
      </c>
      <c r="O11">
        <f>LN(C3)</f>
        <v>8.6750512760318177</v>
      </c>
    </row>
    <row r="12" spans="1:16" x14ac:dyDescent="0.25">
      <c r="A12" t="s">
        <v>39</v>
      </c>
      <c r="B12" s="8">
        <v>-1.5</v>
      </c>
      <c r="C12" s="9">
        <v>3057</v>
      </c>
      <c r="D12" s="9" cm="1">
        <f t="array" aca="1" ref="D12" ca="1">INDIRECT(RefCell_Rpot)+SUM(G12:G$34)</f>
        <v>3063</v>
      </c>
      <c r="E12" s="9">
        <f ca="1">data_NTC_1k_3528[[#This Row],[Rpcb]]-data_NTC_1k_3528[[#This Row],[Rsonde]]</f>
        <v>6</v>
      </c>
      <c r="F12" s="4">
        <f ca="1">data_NTC_1k_3528[[#This Row],[Diff R]]/data_NTC_1k_3528[[#This Row],[Rsonde]]</f>
        <v>1.9627085377821392E-3</v>
      </c>
      <c r="G12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200</v>
      </c>
      <c r="H12" s="9" cm="1">
        <f t="array" aca="1" ref="H12" ca="1">MAX(IF(ResValuesR24&lt;=ROUND(data_NTC_1k_3528[[#This Row],[Rsonde]],2)-IF(data_NTC_1k_3528[[#This Row],[Rsonde]]=MIN(data_NTC_1k_3528[Rsonde]),100,$D13),ResValuesR24))</f>
        <v>180</v>
      </c>
      <c r="I12" s="9">
        <f ca="1">ROUND(data_NTC_1k_3528[[#This Row],[RaddLow]]+(IF(data_NTC_1k_3528[[#This Row],[Rsonde]]=MIN(data_NTC_1k_3528[Rsonde]),0,$D13)-data_NTC_1k_3528[[#This Row],[Rsonde]]),2)</f>
        <v>-14</v>
      </c>
      <c r="J12" s="9" cm="1">
        <f t="array" aca="1" ref="J12" ca="1">MIN(IF(ResValuesR24&gt;=ROUND(data_NTC_1k_3528[[#This Row],[Rsonde]],2)-IF(data_NTC_1k_3528[[#This Row],[Rsonde]]=MIN(data_NTC_1k_3528[Rsonde]),100,$D13),ResValuesR24))</f>
        <v>200</v>
      </c>
      <c r="K12" s="9">
        <f ca="1">ROUND(data_NTC_1k_3528[[#This Row],[RaddHigh]]+(IF(data_NTC_1k_3528[[#This Row],[Rsonde]]=MIN(data_NTC_1k_3528[Rsonde]),0,$D13)-data_NTC_1k_3528[[#This Row],[Rsonde]]),2)</f>
        <v>6</v>
      </c>
      <c r="L12" s="2" cm="1">
        <f t="array" aca="1" ref="L12" ca="1">IF(INDIRECT(RefCell_R77),(data_NTC_1k_3528[[#This Row],[Rpcb]]*INDIRECT(RefCell_R77))/(data_NTC_1k_3528[[#This Row],[Rpcb]]+INDIRECT(RefCell_R77)),data_NTC_1k_3528[[#This Row],[Rpcb]])</f>
        <v>2344.790630023731</v>
      </c>
      <c r="N12" s="3" t="s">
        <v>179</v>
      </c>
      <c r="O12">
        <f>LN(C17)</f>
        <v>7.6889133368647959</v>
      </c>
    </row>
    <row r="13" spans="1:16" x14ac:dyDescent="0.25">
      <c r="A13" t="s">
        <v>38</v>
      </c>
      <c r="B13" s="8">
        <v>0</v>
      </c>
      <c r="C13" s="9">
        <v>2854</v>
      </c>
      <c r="D13" s="9" cm="1">
        <f t="array" aca="1" ref="D13" ca="1">INDIRECT(RefCell_Rpot)+SUM(G13:G$34)</f>
        <v>2863</v>
      </c>
      <c r="E13" s="9">
        <f ca="1">data_NTC_1k_3528[[#This Row],[Rpcb]]-data_NTC_1k_3528[[#This Row],[Rsonde]]</f>
        <v>9</v>
      </c>
      <c r="F13" s="4">
        <f ca="1">data_NTC_1k_3528[[#This Row],[Diff R]]/data_NTC_1k_3528[[#This Row],[Rsonde]]</f>
        <v>3.1534688156972671E-3</v>
      </c>
      <c r="G13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200</v>
      </c>
      <c r="H13" s="9" cm="1">
        <f t="array" aca="1" ref="H13" ca="1">MAX(IF(ResValuesR24&lt;=ROUND(data_NTC_1k_3528[[#This Row],[Rsonde]],2)-IF(data_NTC_1k_3528[[#This Row],[Rsonde]]=MIN(data_NTC_1k_3528[Rsonde]),100,$D14),ResValuesR24))</f>
        <v>180</v>
      </c>
      <c r="I13" s="9">
        <f ca="1">ROUND(data_NTC_1k_3528[[#This Row],[RaddLow]]+(IF(data_NTC_1k_3528[[#This Row],[Rsonde]]=MIN(data_NTC_1k_3528[Rsonde]),0,$D14)-data_NTC_1k_3528[[#This Row],[Rsonde]]),2)</f>
        <v>-11</v>
      </c>
      <c r="J13" s="9" cm="1">
        <f t="array" aca="1" ref="J13" ca="1">MIN(IF(ResValuesR24&gt;=ROUND(data_NTC_1k_3528[[#This Row],[Rsonde]],2)-IF(data_NTC_1k_3528[[#This Row],[Rsonde]]=MIN(data_NTC_1k_3528[Rsonde]),100,$D14),ResValuesR24))</f>
        <v>200</v>
      </c>
      <c r="K13" s="9">
        <f ca="1">ROUND(data_NTC_1k_3528[[#This Row],[RaddHigh]]+(IF(data_NTC_1k_3528[[#This Row],[Rsonde]]=MIN(data_NTC_1k_3528[Rsonde]),0,$D14)-data_NTC_1k_3528[[#This Row],[Rsonde]]),2)</f>
        <v>9</v>
      </c>
      <c r="L13" s="2" cm="1">
        <f t="array" aca="1" ref="L13" ca="1">IF(INDIRECT(RefCell_R77),(data_NTC_1k_3528[[#This Row],[Rpcb]]*INDIRECT(RefCell_R77))/(data_NTC_1k_3528[[#This Row],[Rpcb]]+INDIRECT(RefCell_R77)),data_NTC_1k_3528[[#This Row],[Rpcb]])</f>
        <v>2225.7638187048124</v>
      </c>
      <c r="N13" s="3" t="s">
        <v>180</v>
      </c>
      <c r="O13">
        <f>LN(C31)</f>
        <v>6.8308742346461795</v>
      </c>
    </row>
    <row r="14" spans="1:16" x14ac:dyDescent="0.25">
      <c r="A14" t="s">
        <v>37</v>
      </c>
      <c r="B14" s="8">
        <v>1.5</v>
      </c>
      <c r="C14" s="9">
        <v>2667</v>
      </c>
      <c r="D14" s="9" cm="1">
        <f t="array" aca="1" ref="D14" ca="1">INDIRECT(RefCell_Rpot)+SUM(G14:G$34)</f>
        <v>2663</v>
      </c>
      <c r="E14" s="9">
        <f ca="1">data_NTC_1k_3528[[#This Row],[Rpcb]]-data_NTC_1k_3528[[#This Row],[Rsonde]]</f>
        <v>-4</v>
      </c>
      <c r="F14" s="4">
        <f ca="1">data_NTC_1k_3528[[#This Row],[Diff R]]/data_NTC_1k_3528[[#This Row],[Rsonde]]</f>
        <v>-1.4998125234345708E-3</v>
      </c>
      <c r="G14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180</v>
      </c>
      <c r="H14" s="9" cm="1">
        <f t="array" aca="1" ref="H14" ca="1">MAX(IF(ResValuesR24&lt;=ROUND(data_NTC_1k_3528[[#This Row],[Rsonde]],2)-IF(data_NTC_1k_3528[[#This Row],[Rsonde]]=MIN(data_NTC_1k_3528[Rsonde]),100,$D15),ResValuesR24))</f>
        <v>180</v>
      </c>
      <c r="I14" s="9">
        <f ca="1">ROUND(data_NTC_1k_3528[[#This Row],[RaddLow]]+(IF(data_NTC_1k_3528[[#This Row],[Rsonde]]=MIN(data_NTC_1k_3528[Rsonde]),0,$D15)-data_NTC_1k_3528[[#This Row],[Rsonde]]),2)</f>
        <v>-4</v>
      </c>
      <c r="J14" s="9" cm="1">
        <f t="array" aca="1" ref="J14" ca="1">MIN(IF(ResValuesR24&gt;=ROUND(data_NTC_1k_3528[[#This Row],[Rsonde]],2)-IF(data_NTC_1k_3528[[#This Row],[Rsonde]]=MIN(data_NTC_1k_3528[Rsonde]),100,$D15),ResValuesR24))</f>
        <v>200</v>
      </c>
      <c r="K14" s="9">
        <f ca="1">ROUND(data_NTC_1k_3528[[#This Row],[RaddHigh]]+(IF(data_NTC_1k_3528[[#This Row],[Rsonde]]=MIN(data_NTC_1k_3528[Rsonde]),0,$D15)-data_NTC_1k_3528[[#This Row],[Rsonde]]),2)</f>
        <v>16</v>
      </c>
      <c r="L14" s="2" cm="1">
        <f t="array" aca="1" ref="L14" ca="1">IF(INDIRECT(RefCell_R77),(data_NTC_1k_3528[[#This Row],[Rpcb]]*INDIRECT(RefCell_R77))/(data_NTC_1k_3528[[#This Row],[Rpcb]]+INDIRECT(RefCell_R77)),data_NTC_1k_3528[[#This Row],[Rpcb]])</f>
        <v>2102.9771776040434</v>
      </c>
      <c r="N14" s="3" t="s">
        <v>175</v>
      </c>
      <c r="O14">
        <f>1/(B3+273.15)</f>
        <v>3.8737168312996321E-3</v>
      </c>
    </row>
    <row r="15" spans="1:16" x14ac:dyDescent="0.25">
      <c r="A15" t="s">
        <v>36</v>
      </c>
      <c r="B15" s="8">
        <v>3</v>
      </c>
      <c r="C15" s="9">
        <v>2493</v>
      </c>
      <c r="D15" s="9" cm="1">
        <f t="array" aca="1" ref="D15" ca="1">INDIRECT(RefCell_Rpot)+SUM(G15:G$34)</f>
        <v>2483</v>
      </c>
      <c r="E15" s="9">
        <f ca="1">data_NTC_1k_3528[[#This Row],[Rpcb]]-data_NTC_1k_3528[[#This Row],[Rsonde]]</f>
        <v>-10</v>
      </c>
      <c r="F15" s="4">
        <f ca="1">data_NTC_1k_3528[[#This Row],[Diff R]]/data_NTC_1k_3528[[#This Row],[Rsonde]]</f>
        <v>-4.0112314480545532E-3</v>
      </c>
      <c r="G15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160</v>
      </c>
      <c r="H15" s="9" cm="1">
        <f t="array" aca="1" ref="H15" ca="1">MAX(IF(ResValuesR24&lt;=ROUND(data_NTC_1k_3528[[#This Row],[Rsonde]],2)-IF(data_NTC_1k_3528[[#This Row],[Rsonde]]=MIN(data_NTC_1k_3528[Rsonde]),100,$D16),ResValuesR24))</f>
        <v>160</v>
      </c>
      <c r="I15" s="9">
        <f ca="1">ROUND(data_NTC_1k_3528[[#This Row],[RaddLow]]+(IF(data_NTC_1k_3528[[#This Row],[Rsonde]]=MIN(data_NTC_1k_3528[Rsonde]),0,$D16)-data_NTC_1k_3528[[#This Row],[Rsonde]]),2)</f>
        <v>-10</v>
      </c>
      <c r="J15" s="9" cm="1">
        <f t="array" aca="1" ref="J15" ca="1">MIN(IF(ResValuesR24&gt;=ROUND(data_NTC_1k_3528[[#This Row],[Rsonde]],2)-IF(data_NTC_1k_3528[[#This Row],[Rsonde]]=MIN(data_NTC_1k_3528[Rsonde]),100,$D16),ResValuesR24))</f>
        <v>180</v>
      </c>
      <c r="K15" s="9">
        <f ca="1">ROUND(data_NTC_1k_3528[[#This Row],[RaddHigh]]+(IF(data_NTC_1k_3528[[#This Row],[Rsonde]]=MIN(data_NTC_1k_3528[Rsonde]),0,$D16)-data_NTC_1k_3528[[#This Row],[Rsonde]]),2)</f>
        <v>10</v>
      </c>
      <c r="L15" s="2" cm="1">
        <f t="array" aca="1" ref="L15" ca="1">IF(INDIRECT(RefCell_R77),(data_NTC_1k_3528[[#This Row],[Rpcb]]*INDIRECT(RefCell_R77))/(data_NTC_1k_3528[[#This Row],[Rpcb]]+INDIRECT(RefCell_R77)),data_NTC_1k_3528[[#This Row],[Rpcb]])</f>
        <v>1989.1051830489466</v>
      </c>
      <c r="N15" s="3" t="s">
        <v>176</v>
      </c>
      <c r="O15">
        <f>1/(B17+273.15)</f>
        <v>3.5823034210997673E-3</v>
      </c>
    </row>
    <row r="16" spans="1:16" x14ac:dyDescent="0.25">
      <c r="A16" t="s">
        <v>35</v>
      </c>
      <c r="B16" s="8">
        <v>4.5</v>
      </c>
      <c r="C16" s="9">
        <v>2333</v>
      </c>
      <c r="D16" s="9" cm="1">
        <f t="array" aca="1" ref="D16" ca="1">INDIRECT(RefCell_Rpot)+SUM(G16:G$34)</f>
        <v>2323</v>
      </c>
      <c r="E16" s="9">
        <f ca="1">data_NTC_1k_3528[[#This Row],[Rpcb]]-data_NTC_1k_3528[[#This Row],[Rsonde]]</f>
        <v>-10</v>
      </c>
      <c r="F16" s="4">
        <f ca="1">data_NTC_1k_3528[[#This Row],[Diff R]]/data_NTC_1k_3528[[#This Row],[Rsonde]]</f>
        <v>-4.2863266180882984E-3</v>
      </c>
      <c r="G16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130</v>
      </c>
      <c r="H16" s="9" cm="1">
        <f t="array" aca="1" ref="H16" ca="1">MAX(IF(ResValuesR24&lt;=ROUND(data_NTC_1k_3528[[#This Row],[Rsonde]],2)-IF(data_NTC_1k_3528[[#This Row],[Rsonde]]=MIN(data_NTC_1k_3528[Rsonde]),100,$D17),ResValuesR24))</f>
        <v>130</v>
      </c>
      <c r="I16" s="9">
        <f ca="1">ROUND(data_NTC_1k_3528[[#This Row],[RaddLow]]+(IF(data_NTC_1k_3528[[#This Row],[Rsonde]]=MIN(data_NTC_1k_3528[Rsonde]),0,$D17)-data_NTC_1k_3528[[#This Row],[Rsonde]]),2)</f>
        <v>-10</v>
      </c>
      <c r="J16" s="9" cm="1">
        <f t="array" aca="1" ref="J16" ca="1">MIN(IF(ResValuesR24&gt;=ROUND(data_NTC_1k_3528[[#This Row],[Rsonde]],2)-IF(data_NTC_1k_3528[[#This Row],[Rsonde]]=MIN(data_NTC_1k_3528[Rsonde]),100,$D17),ResValuesR24))</f>
        <v>150</v>
      </c>
      <c r="K16" s="9">
        <f ca="1">ROUND(data_NTC_1k_3528[[#This Row],[RaddHigh]]+(IF(data_NTC_1k_3528[[#This Row],[Rsonde]]=MIN(data_NTC_1k_3528[Rsonde]),0,$D17)-data_NTC_1k_3528[[#This Row],[Rsonde]]),2)</f>
        <v>10</v>
      </c>
      <c r="L16" s="2" cm="1">
        <f t="array" aca="1" ref="L16" ca="1">IF(INDIRECT(RefCell_R77),(data_NTC_1k_3528[[#This Row],[Rpcb]]*INDIRECT(RefCell_R77))/(data_NTC_1k_3528[[#This Row],[Rpcb]]+INDIRECT(RefCell_R77)),data_NTC_1k_3528[[#This Row],[Rpcb]])</f>
        <v>1885.0929156861155</v>
      </c>
      <c r="N16" s="3" t="s">
        <v>177</v>
      </c>
      <c r="O16">
        <f>1/(B31+273.15)</f>
        <v>3.331667499583542E-3</v>
      </c>
    </row>
    <row r="17" spans="1:12" x14ac:dyDescent="0.25">
      <c r="A17" t="s">
        <v>34</v>
      </c>
      <c r="B17" s="8">
        <v>6</v>
      </c>
      <c r="C17" s="9">
        <v>2184</v>
      </c>
      <c r="D17" s="9" cm="1">
        <f t="array" aca="1" ref="D17" ca="1">INDIRECT(RefCell_Rpot)+SUM(G17:G$34)</f>
        <v>2193</v>
      </c>
      <c r="E17" s="9">
        <f ca="1">data_NTC_1k_3528[[#This Row],[Rpcb]]-data_NTC_1k_3528[[#This Row],[Rsonde]]</f>
        <v>9</v>
      </c>
      <c r="F17" s="4">
        <f ca="1">data_NTC_1k_3528[[#This Row],[Diff R]]/data_NTC_1k_3528[[#This Row],[Rsonde]]</f>
        <v>4.120879120879121E-3</v>
      </c>
      <c r="G17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150</v>
      </c>
      <c r="H17" s="9" cm="1">
        <f t="array" aca="1" ref="H17" ca="1">MAX(IF(ResValuesR24&lt;=ROUND(data_NTC_1k_3528[[#This Row],[Rsonde]],2)-IF(data_NTC_1k_3528[[#This Row],[Rsonde]]=MIN(data_NTC_1k_3528[Rsonde]),100,$D18),ResValuesR24))</f>
        <v>130</v>
      </c>
      <c r="I17" s="9">
        <f ca="1">ROUND(data_NTC_1k_3528[[#This Row],[RaddLow]]+(IF(data_NTC_1k_3528[[#This Row],[Rsonde]]=MIN(data_NTC_1k_3528[Rsonde]),0,$D18)-data_NTC_1k_3528[[#This Row],[Rsonde]]),2)</f>
        <v>-11</v>
      </c>
      <c r="J17" s="9" cm="1">
        <f t="array" aca="1" ref="J17" ca="1">MIN(IF(ResValuesR24&gt;=ROUND(data_NTC_1k_3528[[#This Row],[Rsonde]],2)-IF(data_NTC_1k_3528[[#This Row],[Rsonde]]=MIN(data_NTC_1k_3528[Rsonde]),100,$D18),ResValuesR24))</f>
        <v>150</v>
      </c>
      <c r="K17" s="9">
        <f ca="1">ROUND(data_NTC_1k_3528[[#This Row],[RaddHigh]]+(IF(data_NTC_1k_3528[[#This Row],[Rsonde]]=MIN(data_NTC_1k_3528[Rsonde]),0,$D18)-data_NTC_1k_3528[[#This Row],[Rsonde]]),2)</f>
        <v>9</v>
      </c>
      <c r="L17" s="2" cm="1">
        <f t="array" aca="1" ref="L17" ca="1">IF(INDIRECT(RefCell_R77),(data_NTC_1k_3528[[#This Row],[Rpcb]]*INDIRECT(RefCell_R77))/(data_NTC_1k_3528[[#This Row],[Rpcb]]+INDIRECT(RefCell_R77)),data_NTC_1k_3528[[#This Row],[Rpcb]])</f>
        <v>1798.5729516935946</v>
      </c>
    </row>
    <row r="18" spans="1:12" x14ac:dyDescent="0.25">
      <c r="A18" t="s">
        <v>33</v>
      </c>
      <c r="B18" s="8">
        <v>7.5</v>
      </c>
      <c r="C18" s="9">
        <v>2046</v>
      </c>
      <c r="D18" s="9" cm="1">
        <f t="array" aca="1" ref="D18" ca="1">INDIRECT(RefCell_Rpot)+SUM(G18:G$34)</f>
        <v>2043</v>
      </c>
      <c r="E18" s="9">
        <f ca="1">data_NTC_1k_3528[[#This Row],[Rpcb]]-data_NTC_1k_3528[[#This Row],[Rsonde]]</f>
        <v>-3</v>
      </c>
      <c r="F18" s="4">
        <f ca="1">data_NTC_1k_3528[[#This Row],[Diff R]]/data_NTC_1k_3528[[#This Row],[Rsonde]]</f>
        <v>-1.4662756598240469E-3</v>
      </c>
      <c r="G18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130</v>
      </c>
      <c r="H18" s="9" cm="1">
        <f t="array" aca="1" ref="H18" ca="1">MAX(IF(ResValuesR24&lt;=ROUND(data_NTC_1k_3528[[#This Row],[Rsonde]],2)-IF(data_NTC_1k_3528[[#This Row],[Rsonde]]=MIN(data_NTC_1k_3528[Rsonde]),100,$D19),ResValuesR24))</f>
        <v>130</v>
      </c>
      <c r="I18" s="9">
        <f ca="1">ROUND(data_NTC_1k_3528[[#This Row],[RaddLow]]+(IF(data_NTC_1k_3528[[#This Row],[Rsonde]]=MIN(data_NTC_1k_3528[Rsonde]),0,$D19)-data_NTC_1k_3528[[#This Row],[Rsonde]]),2)</f>
        <v>-3</v>
      </c>
      <c r="J18" s="9" cm="1">
        <f t="array" aca="1" ref="J18" ca="1">MIN(IF(ResValuesR24&gt;=ROUND(data_NTC_1k_3528[[#This Row],[Rsonde]],2)-IF(data_NTC_1k_3528[[#This Row],[Rsonde]]=MIN(data_NTC_1k_3528[Rsonde]),100,$D19),ResValuesR24))</f>
        <v>150</v>
      </c>
      <c r="K18" s="9">
        <f ca="1">ROUND(data_NTC_1k_3528[[#This Row],[RaddHigh]]+(IF(data_NTC_1k_3528[[#This Row],[Rsonde]]=MIN(data_NTC_1k_3528[Rsonde]),0,$D19)-data_NTC_1k_3528[[#This Row],[Rsonde]]),2)</f>
        <v>17</v>
      </c>
      <c r="L18" s="2" cm="1">
        <f t="array" aca="1" ref="L18" ca="1">IF(INDIRECT(RefCell_R77),(data_NTC_1k_3528[[#This Row],[Rpcb]]*INDIRECT(RefCell_R77))/(data_NTC_1k_3528[[#This Row],[Rpcb]]+INDIRECT(RefCell_R77)),data_NTC_1k_3528[[#This Row],[Rpcb]])</f>
        <v>1696.4211575188906</v>
      </c>
    </row>
    <row r="19" spans="1:12" x14ac:dyDescent="0.25">
      <c r="A19" t="s">
        <v>32</v>
      </c>
      <c r="B19" s="8">
        <v>9</v>
      </c>
      <c r="C19" s="9">
        <v>1918</v>
      </c>
      <c r="D19" s="9" cm="1">
        <f t="array" aca="1" ref="D19" ca="1">INDIRECT(RefCell_Rpot)+SUM(G19:G$34)</f>
        <v>1913</v>
      </c>
      <c r="E19" s="9">
        <f ca="1">data_NTC_1k_3528[[#This Row],[Rpcb]]-data_NTC_1k_3528[[#This Row],[Rsonde]]</f>
        <v>-5</v>
      </c>
      <c r="F19" s="4">
        <f ca="1">data_NTC_1k_3528[[#This Row],[Diff R]]/data_NTC_1k_3528[[#This Row],[Rsonde]]</f>
        <v>-2.6068821689259644E-3</v>
      </c>
      <c r="G19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110.00000000000001</v>
      </c>
      <c r="H19" s="9" cm="1">
        <f t="array" aca="1" ref="H19" ca="1">MAX(IF(ResValuesR24&lt;=ROUND(data_NTC_1k_3528[[#This Row],[Rsonde]],2)-IF(data_NTC_1k_3528[[#This Row],[Rsonde]]=MIN(data_NTC_1k_3528[Rsonde]),100,$D20),ResValuesR24))</f>
        <v>110.00000000000001</v>
      </c>
      <c r="I19" s="9">
        <f ca="1">ROUND(data_NTC_1k_3528[[#This Row],[RaddLow]]+(IF(data_NTC_1k_3528[[#This Row],[Rsonde]]=MIN(data_NTC_1k_3528[Rsonde]),0,$D20)-data_NTC_1k_3528[[#This Row],[Rsonde]]),2)</f>
        <v>-5</v>
      </c>
      <c r="J19" s="9" cm="1">
        <f t="array" aca="1" ref="J19" ca="1">MIN(IF(ResValuesR24&gt;=ROUND(data_NTC_1k_3528[[#This Row],[Rsonde]],2)-IF(data_NTC_1k_3528[[#This Row],[Rsonde]]=MIN(data_NTC_1k_3528[Rsonde]),100,$D20),ResValuesR24))</f>
        <v>120</v>
      </c>
      <c r="K19" s="9">
        <f ca="1">ROUND(data_NTC_1k_3528[[#This Row],[RaddHigh]]+(IF(data_NTC_1k_3528[[#This Row],[Rsonde]]=MIN(data_NTC_1k_3528[Rsonde]),0,$D20)-data_NTC_1k_3528[[#This Row],[Rsonde]]),2)</f>
        <v>5</v>
      </c>
      <c r="L19" s="2" cm="1">
        <f t="array" aca="1" ref="L19" ca="1">IF(INDIRECT(RefCell_R77),(data_NTC_1k_3528[[#This Row],[Rpcb]]*INDIRECT(RefCell_R77))/(data_NTC_1k_3528[[#This Row],[Rpcb]]+INDIRECT(RefCell_R77)),data_NTC_1k_3528[[#This Row],[Rpcb]])</f>
        <v>1605.8087803240157</v>
      </c>
    </row>
    <row r="20" spans="1:12" x14ac:dyDescent="0.25">
      <c r="A20" t="s">
        <v>31</v>
      </c>
      <c r="B20" s="8">
        <v>10.5</v>
      </c>
      <c r="C20" s="9">
        <v>1799</v>
      </c>
      <c r="D20" s="9" cm="1">
        <f t="array" aca="1" ref="D20" ca="1">INDIRECT(RefCell_Rpot)+SUM(G20:G$34)</f>
        <v>1803</v>
      </c>
      <c r="E20" s="9">
        <f ca="1">data_NTC_1k_3528[[#This Row],[Rpcb]]-data_NTC_1k_3528[[#This Row],[Rsonde]]</f>
        <v>4</v>
      </c>
      <c r="F20" s="4">
        <f ca="1">data_NTC_1k_3528[[#This Row],[Diff R]]/data_NTC_1k_3528[[#This Row],[Rsonde]]</f>
        <v>2.2234574763757642E-3</v>
      </c>
      <c r="G20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110.00000000000001</v>
      </c>
      <c r="H20" s="9" cm="1">
        <f t="array" aca="1" ref="H20" ca="1">MAX(IF(ResValuesR24&lt;=ROUND(data_NTC_1k_3528[[#This Row],[Rsonde]],2)-IF(data_NTC_1k_3528[[#This Row],[Rsonde]]=MIN(data_NTC_1k_3528[Rsonde]),100,$D21),ResValuesR24))</f>
        <v>100</v>
      </c>
      <c r="I20" s="9">
        <f ca="1">ROUND(data_NTC_1k_3528[[#This Row],[RaddLow]]+(IF(data_NTC_1k_3528[[#This Row],[Rsonde]]=MIN(data_NTC_1k_3528[Rsonde]),0,$D21)-data_NTC_1k_3528[[#This Row],[Rsonde]]),2)</f>
        <v>-6</v>
      </c>
      <c r="J20" s="9" cm="1">
        <f t="array" aca="1" ref="J20" ca="1">MIN(IF(ResValuesR24&gt;=ROUND(data_NTC_1k_3528[[#This Row],[Rsonde]],2)-IF(data_NTC_1k_3528[[#This Row],[Rsonde]]=MIN(data_NTC_1k_3528[Rsonde]),100,$D21),ResValuesR24))</f>
        <v>110.00000000000001</v>
      </c>
      <c r="K20" s="9">
        <f ca="1">ROUND(data_NTC_1k_3528[[#This Row],[RaddHigh]]+(IF(data_NTC_1k_3528[[#This Row],[Rsonde]]=MIN(data_NTC_1k_3528[Rsonde]),0,$D21)-data_NTC_1k_3528[[#This Row],[Rsonde]]),2)</f>
        <v>4</v>
      </c>
      <c r="L20" s="2" cm="1">
        <f t="array" aca="1" ref="L20" ca="1">IF(INDIRECT(RefCell_R77),(data_NTC_1k_3528[[#This Row],[Rpcb]]*INDIRECT(RefCell_R77))/(data_NTC_1k_3528[[#This Row],[Rpcb]]+INDIRECT(RefCell_R77)),data_NTC_1k_3528[[#This Row],[Rpcb]])</f>
        <v>1527.5777344742862</v>
      </c>
    </row>
    <row r="21" spans="1:12" x14ac:dyDescent="0.25">
      <c r="A21" t="s">
        <v>30</v>
      </c>
      <c r="B21" s="8">
        <v>12</v>
      </c>
      <c r="C21" s="9">
        <v>1689</v>
      </c>
      <c r="D21" s="9" cm="1">
        <f t="array" aca="1" ref="D21" ca="1">INDIRECT(RefCell_Rpot)+SUM(G21:G$34)</f>
        <v>1693</v>
      </c>
      <c r="E21" s="9">
        <f ca="1">data_NTC_1k_3528[[#This Row],[Rpcb]]-data_NTC_1k_3528[[#This Row],[Rsonde]]</f>
        <v>4</v>
      </c>
      <c r="F21" s="4">
        <f ca="1">data_NTC_1k_3528[[#This Row],[Diff R]]/data_NTC_1k_3528[[#This Row],[Rsonde]]</f>
        <v>2.368265245707519E-3</v>
      </c>
      <c r="G21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110.00000000000001</v>
      </c>
      <c r="H21" s="9" cm="1">
        <f t="array" aca="1" ref="H21" ca="1">MAX(IF(ResValuesR24&lt;=ROUND(data_NTC_1k_3528[[#This Row],[Rsonde]],2)-IF(data_NTC_1k_3528[[#This Row],[Rsonde]]=MIN(data_NTC_1k_3528[Rsonde]),100,$D22),ResValuesR24))</f>
        <v>100</v>
      </c>
      <c r="I21" s="9">
        <f ca="1">ROUND(data_NTC_1k_3528[[#This Row],[RaddLow]]+(IF(data_NTC_1k_3528[[#This Row],[Rsonde]]=MIN(data_NTC_1k_3528[Rsonde]),0,$D22)-data_NTC_1k_3528[[#This Row],[Rsonde]]),2)</f>
        <v>-6</v>
      </c>
      <c r="J21" s="9" cm="1">
        <f t="array" aca="1" ref="J21" ca="1">MIN(IF(ResValuesR24&gt;=ROUND(data_NTC_1k_3528[[#This Row],[Rsonde]],2)-IF(data_NTC_1k_3528[[#This Row],[Rsonde]]=MIN(data_NTC_1k_3528[Rsonde]),100,$D22),ResValuesR24))</f>
        <v>110.00000000000001</v>
      </c>
      <c r="K21" s="9">
        <f ca="1">ROUND(data_NTC_1k_3528[[#This Row],[RaddHigh]]+(IF(data_NTC_1k_3528[[#This Row],[Rsonde]]=MIN(data_NTC_1k_3528[Rsonde]),0,$D22)-data_NTC_1k_3528[[#This Row],[Rsonde]]),2)</f>
        <v>4</v>
      </c>
      <c r="L21" s="2" cm="1">
        <f t="array" aca="1" ref="L21" ca="1">IF(INDIRECT(RefCell_R77),(data_NTC_1k_3528[[#This Row],[Rpcb]]*INDIRECT(RefCell_R77))/(data_NTC_1k_3528[[#This Row],[Rpcb]]+INDIRECT(RefCell_R77)),data_NTC_1k_3528[[#This Row],[Rpcb]])</f>
        <v>1447.8747968870264</v>
      </c>
    </row>
    <row r="22" spans="1:12" x14ac:dyDescent="0.25">
      <c r="A22" t="s">
        <v>29</v>
      </c>
      <c r="B22" s="8">
        <v>13.5</v>
      </c>
      <c r="C22" s="9">
        <v>1586</v>
      </c>
      <c r="D22" s="9" cm="1">
        <f t="array" aca="1" ref="D22" ca="1">INDIRECT(RefCell_Rpot)+SUM(G22:G$34)</f>
        <v>1583</v>
      </c>
      <c r="E22" s="9">
        <f ca="1">data_NTC_1k_3528[[#This Row],[Rpcb]]-data_NTC_1k_3528[[#This Row],[Rsonde]]</f>
        <v>-3</v>
      </c>
      <c r="F22" s="4">
        <f ca="1">data_NTC_1k_3528[[#This Row],[Diff R]]/data_NTC_1k_3528[[#This Row],[Rsonde]]</f>
        <v>-1.8915510718789407E-3</v>
      </c>
      <c r="G22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91</v>
      </c>
      <c r="H22" s="9" cm="1">
        <f t="array" aca="1" ref="H22" ca="1">MAX(IF(ResValuesR24&lt;=ROUND(data_NTC_1k_3528[[#This Row],[Rsonde]],2)-IF(data_NTC_1k_3528[[#This Row],[Rsonde]]=MIN(data_NTC_1k_3528[Rsonde]),100,$D23),ResValuesR24))</f>
        <v>91</v>
      </c>
      <c r="I22" s="9">
        <f ca="1">ROUND(data_NTC_1k_3528[[#This Row],[RaddLow]]+(IF(data_NTC_1k_3528[[#This Row],[Rsonde]]=MIN(data_NTC_1k_3528[Rsonde]),0,$D23)-data_NTC_1k_3528[[#This Row],[Rsonde]]),2)</f>
        <v>-3</v>
      </c>
      <c r="J22" s="9" cm="1">
        <f t="array" aca="1" ref="J22" ca="1">MIN(IF(ResValuesR24&gt;=ROUND(data_NTC_1k_3528[[#This Row],[Rsonde]],2)-IF(data_NTC_1k_3528[[#This Row],[Rsonde]]=MIN(data_NTC_1k_3528[Rsonde]),100,$D23),ResValuesR24))</f>
        <v>100</v>
      </c>
      <c r="K22" s="9">
        <f ca="1">ROUND(data_NTC_1k_3528[[#This Row],[RaddHigh]]+(IF(data_NTC_1k_3528[[#This Row],[Rsonde]]=MIN(data_NTC_1k_3528[Rsonde]),0,$D23)-data_NTC_1k_3528[[#This Row],[Rsonde]]),2)</f>
        <v>6</v>
      </c>
      <c r="L22" s="2" cm="1">
        <f t="array" aca="1" ref="L22" ca="1">IF(INDIRECT(RefCell_R77),(data_NTC_1k_3528[[#This Row],[Rpcb]]*INDIRECT(RefCell_R77))/(data_NTC_1k_3528[[#This Row],[Rpcb]]+INDIRECT(RefCell_R77)),data_NTC_1k_3528[[#This Row],[Rpcb]])</f>
        <v>1366.6580333247</v>
      </c>
    </row>
    <row r="23" spans="1:12" x14ac:dyDescent="0.25">
      <c r="A23" t="s">
        <v>28</v>
      </c>
      <c r="B23" s="8">
        <v>15</v>
      </c>
      <c r="C23" s="9">
        <v>1491</v>
      </c>
      <c r="D23" s="9" cm="1">
        <f t="array" aca="1" ref="D23" ca="1">INDIRECT(RefCell_Rpot)+SUM(G23:G$34)</f>
        <v>1492</v>
      </c>
      <c r="E23" s="9">
        <f ca="1">data_NTC_1k_3528[[#This Row],[Rpcb]]-data_NTC_1k_3528[[#This Row],[Rsonde]]</f>
        <v>1</v>
      </c>
      <c r="F23" s="4">
        <f ca="1">data_NTC_1k_3528[[#This Row],[Diff R]]/data_NTC_1k_3528[[#This Row],[Rsonde]]</f>
        <v>6.7069081153588194E-4</v>
      </c>
      <c r="G23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91</v>
      </c>
      <c r="H23" s="9" cm="1">
        <f t="array" aca="1" ref="H23" ca="1">MAX(IF(ResValuesR24&lt;=ROUND(data_NTC_1k_3528[[#This Row],[Rsonde]],2)-IF(data_NTC_1k_3528[[#This Row],[Rsonde]]=MIN(data_NTC_1k_3528[Rsonde]),100,$D24),ResValuesR24))</f>
        <v>82</v>
      </c>
      <c r="I23" s="9">
        <f ca="1">ROUND(data_NTC_1k_3528[[#This Row],[RaddLow]]+(IF(data_NTC_1k_3528[[#This Row],[Rsonde]]=MIN(data_NTC_1k_3528[Rsonde]),0,$D24)-data_NTC_1k_3528[[#This Row],[Rsonde]]),2)</f>
        <v>-8</v>
      </c>
      <c r="J23" s="9" cm="1">
        <f t="array" aca="1" ref="J23" ca="1">MIN(IF(ResValuesR24&gt;=ROUND(data_NTC_1k_3528[[#This Row],[Rsonde]],2)-IF(data_NTC_1k_3528[[#This Row],[Rsonde]]=MIN(data_NTC_1k_3528[Rsonde]),100,$D24),ResValuesR24))</f>
        <v>91</v>
      </c>
      <c r="K23" s="9">
        <f ca="1">ROUND(data_NTC_1k_3528[[#This Row],[RaddHigh]]+(IF(data_NTC_1k_3528[[#This Row],[Rsonde]]=MIN(data_NTC_1k_3528[Rsonde]),0,$D24)-data_NTC_1k_3528[[#This Row],[Rsonde]]),2)</f>
        <v>1</v>
      </c>
      <c r="L23" s="2" cm="1">
        <f t="array" aca="1" ref="L23" ca="1">IF(INDIRECT(RefCell_R77),(data_NTC_1k_3528[[#This Row],[Rpcb]]*INDIRECT(RefCell_R77))/(data_NTC_1k_3528[[#This Row],[Rpcb]]+INDIRECT(RefCell_R77)),data_NTC_1k_3528[[#This Row],[Rpcb]])</f>
        <v>1298.2944657152802</v>
      </c>
    </row>
    <row r="24" spans="1:12" x14ac:dyDescent="0.25">
      <c r="A24" t="s">
        <v>27</v>
      </c>
      <c r="B24" s="8">
        <v>16.5</v>
      </c>
      <c r="C24" s="9">
        <v>1402</v>
      </c>
      <c r="D24" s="9" cm="1">
        <f t="array" aca="1" ref="D24" ca="1">INDIRECT(RefCell_Rpot)+SUM(G24:G$34)</f>
        <v>1401</v>
      </c>
      <c r="E24" s="9">
        <f ca="1">data_NTC_1k_3528[[#This Row],[Rpcb]]-data_NTC_1k_3528[[#This Row],[Rsonde]]</f>
        <v>-1</v>
      </c>
      <c r="F24" s="4">
        <f ca="1">data_NTC_1k_3528[[#This Row],[Diff R]]/data_NTC_1k_3528[[#This Row],[Rsonde]]</f>
        <v>-7.1326676176890159E-4</v>
      </c>
      <c r="G24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82</v>
      </c>
      <c r="H24" s="9" cm="1">
        <f t="array" aca="1" ref="H24" ca="1">MAX(IF(ResValuesR24&lt;=ROUND(data_NTC_1k_3528[[#This Row],[Rsonde]],2)-IF(data_NTC_1k_3528[[#This Row],[Rsonde]]=MIN(data_NTC_1k_3528[Rsonde]),100,$D25),ResValuesR24))</f>
        <v>82</v>
      </c>
      <c r="I24" s="9">
        <f ca="1">ROUND(data_NTC_1k_3528[[#This Row],[RaddLow]]+(IF(data_NTC_1k_3528[[#This Row],[Rsonde]]=MIN(data_NTC_1k_3528[Rsonde]),0,$D25)-data_NTC_1k_3528[[#This Row],[Rsonde]]),2)</f>
        <v>-1</v>
      </c>
      <c r="J24" s="9" cm="1">
        <f t="array" aca="1" ref="J24" ca="1">MIN(IF(ResValuesR24&gt;=ROUND(data_NTC_1k_3528[[#This Row],[Rsonde]],2)-IF(data_NTC_1k_3528[[#This Row],[Rsonde]]=MIN(data_NTC_1k_3528[Rsonde]),100,$D25),ResValuesR24))</f>
        <v>91</v>
      </c>
      <c r="K24" s="9">
        <f ca="1">ROUND(data_NTC_1k_3528[[#This Row],[RaddHigh]]+(IF(data_NTC_1k_3528[[#This Row],[Rsonde]]=MIN(data_NTC_1k_3528[Rsonde]),0,$D25)-data_NTC_1k_3528[[#This Row],[Rsonde]]),2)</f>
        <v>8</v>
      </c>
      <c r="L24" s="2" cm="1">
        <f t="array" aca="1" ref="L24" ca="1">IF(INDIRECT(RefCell_R77),(data_NTC_1k_3528[[#This Row],[Rpcb]]*INDIRECT(RefCell_R77))/(data_NTC_1k_3528[[#This Row],[Rpcb]]+INDIRECT(RefCell_R77)),data_NTC_1k_3528[[#This Row],[Rpcb]])</f>
        <v>1228.8395754758355</v>
      </c>
    </row>
    <row r="25" spans="1:12" x14ac:dyDescent="0.25">
      <c r="A25" t="s">
        <v>26</v>
      </c>
      <c r="B25" s="8">
        <v>18</v>
      </c>
      <c r="C25" s="9">
        <v>1319</v>
      </c>
      <c r="D25" s="9" cm="1">
        <f t="array" aca="1" ref="D25" ca="1">INDIRECT(RefCell_Rpot)+SUM(G25:G$34)</f>
        <v>1319</v>
      </c>
      <c r="E25" s="9">
        <f ca="1">data_NTC_1k_3528[[#This Row],[Rpcb]]-data_NTC_1k_3528[[#This Row],[Rsonde]]</f>
        <v>0</v>
      </c>
      <c r="F25" s="4">
        <f ca="1">data_NTC_1k_3528[[#This Row],[Diff R]]/data_NTC_1k_3528[[#This Row],[Rsonde]]</f>
        <v>0</v>
      </c>
      <c r="G25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75</v>
      </c>
      <c r="H25" s="9" cm="1">
        <f t="array" aca="1" ref="H25" ca="1">MAX(IF(ResValuesR24&lt;=ROUND(data_NTC_1k_3528[[#This Row],[Rsonde]],2)-IF(data_NTC_1k_3528[[#This Row],[Rsonde]]=MIN(data_NTC_1k_3528[Rsonde]),100,$D26),ResValuesR24))</f>
        <v>75</v>
      </c>
      <c r="I25" s="9">
        <f ca="1">ROUND(data_NTC_1k_3528[[#This Row],[RaddLow]]+(IF(data_NTC_1k_3528[[#This Row],[Rsonde]]=MIN(data_NTC_1k_3528[Rsonde]),0,$D26)-data_NTC_1k_3528[[#This Row],[Rsonde]]),2)</f>
        <v>0</v>
      </c>
      <c r="J25" s="9" cm="1">
        <f t="array" aca="1" ref="J25" ca="1">MIN(IF(ResValuesR24&gt;=ROUND(data_NTC_1k_3528[[#This Row],[Rsonde]],2)-IF(data_NTC_1k_3528[[#This Row],[Rsonde]]=MIN(data_NTC_1k_3528[Rsonde]),100,$D26),ResValuesR24))</f>
        <v>75</v>
      </c>
      <c r="K25" s="9">
        <f ca="1">ROUND(data_NTC_1k_3528[[#This Row],[RaddHigh]]+(IF(data_NTC_1k_3528[[#This Row],[Rsonde]]=MIN(data_NTC_1k_3528[Rsonde]),0,$D26)-data_NTC_1k_3528[[#This Row],[Rsonde]]),2)</f>
        <v>0</v>
      </c>
      <c r="L25" s="2" cm="1">
        <f t="array" aca="1" ref="L25" ca="1">IF(INDIRECT(RefCell_R77),(data_NTC_1k_3528[[#This Row],[Rpcb]]*INDIRECT(RefCell_R77))/(data_NTC_1k_3528[[#This Row],[Rpcb]]+INDIRECT(RefCell_R77)),data_NTC_1k_3528[[#This Row],[Rpcb]])</f>
        <v>1165.2972877462673</v>
      </c>
    </row>
    <row r="26" spans="1:12" x14ac:dyDescent="0.25">
      <c r="A26" t="s">
        <v>25</v>
      </c>
      <c r="B26" s="8">
        <v>19.5</v>
      </c>
      <c r="C26" s="9">
        <v>1242</v>
      </c>
      <c r="D26" s="9" cm="1">
        <f t="array" aca="1" ref="D26" ca="1">INDIRECT(RefCell_Rpot)+SUM(G26:G$34)</f>
        <v>1244</v>
      </c>
      <c r="E26" s="9">
        <f ca="1">data_NTC_1k_3528[[#This Row],[Rpcb]]-data_NTC_1k_3528[[#This Row],[Rsonde]]</f>
        <v>2</v>
      </c>
      <c r="F26" s="4">
        <f ca="1">data_NTC_1k_3528[[#This Row],[Diff R]]/data_NTC_1k_3528[[#This Row],[Rsonde]]</f>
        <v>1.6103059581320451E-3</v>
      </c>
      <c r="G26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75</v>
      </c>
      <c r="H26" s="9" cm="1">
        <f t="array" aca="1" ref="H26" ca="1">MAX(IF(ResValuesR24&lt;=ROUND(data_NTC_1k_3528[[#This Row],[Rsonde]],2)-IF(data_NTC_1k_3528[[#This Row],[Rsonde]]=MIN(data_NTC_1k_3528[Rsonde]),100,$D27),ResValuesR24))</f>
        <v>68</v>
      </c>
      <c r="I26" s="9">
        <f ca="1">ROUND(data_NTC_1k_3528[[#This Row],[RaddLow]]+(IF(data_NTC_1k_3528[[#This Row],[Rsonde]]=MIN(data_NTC_1k_3528[Rsonde]),0,$D27)-data_NTC_1k_3528[[#This Row],[Rsonde]]),2)</f>
        <v>-5</v>
      </c>
      <c r="J26" s="9" cm="1">
        <f t="array" aca="1" ref="J26" ca="1">MIN(IF(ResValuesR24&gt;=ROUND(data_NTC_1k_3528[[#This Row],[Rsonde]],2)-IF(data_NTC_1k_3528[[#This Row],[Rsonde]]=MIN(data_NTC_1k_3528[Rsonde]),100,$D27),ResValuesR24))</f>
        <v>75</v>
      </c>
      <c r="K26" s="9">
        <f ca="1">ROUND(data_NTC_1k_3528[[#This Row],[RaddHigh]]+(IF(data_NTC_1k_3528[[#This Row],[Rsonde]]=MIN(data_NTC_1k_3528[Rsonde]),0,$D27)-data_NTC_1k_3528[[#This Row],[Rsonde]]),2)</f>
        <v>2</v>
      </c>
      <c r="L26" s="2" cm="1">
        <f t="array" aca="1" ref="L26" ca="1">IF(INDIRECT(RefCell_R77),(data_NTC_1k_3528[[#This Row],[Rpcb]]*INDIRECT(RefCell_R77))/(data_NTC_1k_3528[[#This Row],[Rpcb]]+INDIRECT(RefCell_R77)),data_NTC_1k_3528[[#This Row],[Rpcb]])</f>
        <v>1106.3678406261117</v>
      </c>
    </row>
    <row r="27" spans="1:12" x14ac:dyDescent="0.25">
      <c r="A27" t="s">
        <v>24</v>
      </c>
      <c r="B27" s="8">
        <v>21</v>
      </c>
      <c r="C27" s="9">
        <v>1170</v>
      </c>
      <c r="D27" s="9" cm="1">
        <f t="array" aca="1" ref="D27" ca="1">INDIRECT(RefCell_Rpot)+SUM(G27:G$34)</f>
        <v>1169</v>
      </c>
      <c r="E27" s="9">
        <f ca="1">data_NTC_1k_3528[[#This Row],[Rpcb]]-data_NTC_1k_3528[[#This Row],[Rsonde]]</f>
        <v>-1</v>
      </c>
      <c r="F27" s="4">
        <f ca="1">data_NTC_1k_3528[[#This Row],[Diff R]]/data_NTC_1k_3528[[#This Row],[Rsonde]]</f>
        <v>-8.547008547008547E-4</v>
      </c>
      <c r="G27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68</v>
      </c>
      <c r="H27" s="9" cm="1">
        <f t="array" aca="1" ref="H27" ca="1">MAX(IF(ResValuesR24&lt;=ROUND(data_NTC_1k_3528[[#This Row],[Rsonde]],2)-IF(data_NTC_1k_3528[[#This Row],[Rsonde]]=MIN(data_NTC_1k_3528[Rsonde]),100,$D28),ResValuesR24))</f>
        <v>68</v>
      </c>
      <c r="I27" s="9">
        <f ca="1">ROUND(data_NTC_1k_3528[[#This Row],[RaddLow]]+(IF(data_NTC_1k_3528[[#This Row],[Rsonde]]=MIN(data_NTC_1k_3528[Rsonde]),0,$D28)-data_NTC_1k_3528[[#This Row],[Rsonde]]),2)</f>
        <v>-1</v>
      </c>
      <c r="J27" s="9" cm="1">
        <f t="array" aca="1" ref="J27" ca="1">MIN(IF(ResValuesR24&gt;=ROUND(data_NTC_1k_3528[[#This Row],[Rsonde]],2)-IF(data_NTC_1k_3528[[#This Row],[Rsonde]]=MIN(data_NTC_1k_3528[Rsonde]),100,$D28),ResValuesR24))</f>
        <v>75</v>
      </c>
      <c r="K27" s="9">
        <f ca="1">ROUND(data_NTC_1k_3528[[#This Row],[RaddHigh]]+(IF(data_NTC_1k_3528[[#This Row],[Rsonde]]=MIN(data_NTC_1k_3528[Rsonde]),0,$D28)-data_NTC_1k_3528[[#This Row],[Rsonde]]),2)</f>
        <v>6</v>
      </c>
      <c r="L27" s="2" cm="1">
        <f t="array" aca="1" ref="L27" ca="1">IF(INDIRECT(RefCell_R77),(data_NTC_1k_3528[[#This Row],[Rpcb]]*INDIRECT(RefCell_R77))/(data_NTC_1k_3528[[#This Row],[Rpcb]]+INDIRECT(RefCell_R77)),data_NTC_1k_3528[[#This Row],[Rpcb]])</f>
        <v>1046.6469692899991</v>
      </c>
    </row>
    <row r="28" spans="1:12" x14ac:dyDescent="0.25">
      <c r="A28" t="s">
        <v>23</v>
      </c>
      <c r="B28" s="8">
        <v>22.5</v>
      </c>
      <c r="C28" s="9">
        <v>1102</v>
      </c>
      <c r="D28" s="9" cm="1">
        <f t="array" aca="1" ref="D28" ca="1">INDIRECT(RefCell_Rpot)+SUM(G28:G$34)</f>
        <v>1101</v>
      </c>
      <c r="E28" s="9">
        <f ca="1">data_NTC_1k_3528[[#This Row],[Rpcb]]-data_NTC_1k_3528[[#This Row],[Rsonde]]</f>
        <v>-1</v>
      </c>
      <c r="F28" s="4">
        <f ca="1">data_NTC_1k_3528[[#This Row],[Diff R]]/data_NTC_1k_3528[[#This Row],[Rsonde]]</f>
        <v>-9.0744101633393826E-4</v>
      </c>
      <c r="G28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62</v>
      </c>
      <c r="H28" s="9" cm="1">
        <f t="array" aca="1" ref="H28" ca="1">MAX(IF(ResValuesR24&lt;=ROUND(data_NTC_1k_3528[[#This Row],[Rsonde]],2)-IF(data_NTC_1k_3528[[#This Row],[Rsonde]]=MIN(data_NTC_1k_3528[Rsonde]),100,$D29),ResValuesR24))</f>
        <v>62</v>
      </c>
      <c r="I28" s="9">
        <f ca="1">ROUND(data_NTC_1k_3528[[#This Row],[RaddLow]]+(IF(data_NTC_1k_3528[[#This Row],[Rsonde]]=MIN(data_NTC_1k_3528[Rsonde]),0,$D29)-data_NTC_1k_3528[[#This Row],[Rsonde]]),2)</f>
        <v>-1</v>
      </c>
      <c r="J28" s="9" cm="1">
        <f t="array" aca="1" ref="J28" ca="1">MIN(IF(ResValuesR24&gt;=ROUND(data_NTC_1k_3528[[#This Row],[Rsonde]],2)-IF(data_NTC_1k_3528[[#This Row],[Rsonde]]=MIN(data_NTC_1k_3528[Rsonde]),100,$D29),ResValuesR24))</f>
        <v>68</v>
      </c>
      <c r="K28" s="9">
        <f ca="1">ROUND(data_NTC_1k_3528[[#This Row],[RaddHigh]]+(IF(data_NTC_1k_3528[[#This Row],[Rsonde]]=MIN(data_NTC_1k_3528[Rsonde]),0,$D29)-data_NTC_1k_3528[[#This Row],[Rsonde]]),2)</f>
        <v>5</v>
      </c>
      <c r="L28" s="2" cm="1">
        <f t="array" aca="1" ref="L28" ca="1">IF(INDIRECT(RefCell_R77),(data_NTC_1k_3528[[#This Row],[Rpcb]]*INDIRECT(RefCell_R77))/(data_NTC_1k_3528[[#This Row],[Rpcb]]+INDIRECT(RefCell_R77)),data_NTC_1k_3528[[#This Row],[Rpcb]])</f>
        <v>991.80254031168363</v>
      </c>
    </row>
    <row r="29" spans="1:12" x14ac:dyDescent="0.25">
      <c r="A29" t="s">
        <v>22</v>
      </c>
      <c r="B29" s="8">
        <v>24</v>
      </c>
      <c r="C29" s="9">
        <v>1040</v>
      </c>
      <c r="D29" s="9" cm="1">
        <f t="array" aca="1" ref="D29" ca="1">INDIRECT(RefCell_Rpot)+SUM(G29:G$34)</f>
        <v>1039</v>
      </c>
      <c r="E29" s="9">
        <f ca="1">data_NTC_1k_3528[[#This Row],[Rpcb]]-data_NTC_1k_3528[[#This Row],[Rsonde]]</f>
        <v>-1</v>
      </c>
      <c r="F29" s="4">
        <f ca="1">data_NTC_1k_3528[[#This Row],[Diff R]]/data_NTC_1k_3528[[#This Row],[Rsonde]]</f>
        <v>-9.6153846153846159E-4</v>
      </c>
      <c r="G29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56</v>
      </c>
      <c r="H29" s="9" cm="1">
        <f t="array" aca="1" ref="H29" ca="1">MAX(IF(ResValuesR24&lt;=ROUND(data_NTC_1k_3528[[#This Row],[Rsonde]],2)-IF(data_NTC_1k_3528[[#This Row],[Rsonde]]=MIN(data_NTC_1k_3528[Rsonde]),100,$D30),ResValuesR24))</f>
        <v>56</v>
      </c>
      <c r="I29" s="9">
        <f ca="1">ROUND(data_NTC_1k_3528[[#This Row],[RaddLow]]+(IF(data_NTC_1k_3528[[#This Row],[Rsonde]]=MIN(data_NTC_1k_3528[Rsonde]),0,$D30)-data_NTC_1k_3528[[#This Row],[Rsonde]]),2)</f>
        <v>-1</v>
      </c>
      <c r="J29" s="9" cm="1">
        <f t="array" aca="1" ref="J29" ca="1">MIN(IF(ResValuesR24&gt;=ROUND(data_NTC_1k_3528[[#This Row],[Rsonde]],2)-IF(data_NTC_1k_3528[[#This Row],[Rsonde]]=MIN(data_NTC_1k_3528[Rsonde]),100,$D30),ResValuesR24))</f>
        <v>62</v>
      </c>
      <c r="K29" s="9">
        <f ca="1">ROUND(data_NTC_1k_3528[[#This Row],[RaddHigh]]+(IF(data_NTC_1k_3528[[#This Row],[Rsonde]]=MIN(data_NTC_1k_3528[Rsonde]),0,$D30)-data_NTC_1k_3528[[#This Row],[Rsonde]]),2)</f>
        <v>5</v>
      </c>
      <c r="L29" s="2" cm="1">
        <f t="array" aca="1" ref="L29" ca="1">IF(INDIRECT(RefCell_R77),(data_NTC_1k_3528[[#This Row],[Rpcb]]*INDIRECT(RefCell_R77))/(data_NTC_1k_3528[[#This Row],[Rpcb]]+INDIRECT(RefCell_R77)),data_NTC_1k_3528[[#This Row],[Rpcb]])</f>
        <v>941.20844279373136</v>
      </c>
    </row>
    <row r="30" spans="1:12" x14ac:dyDescent="0.25">
      <c r="A30" t="s">
        <v>21</v>
      </c>
      <c r="B30" s="8">
        <v>25.5</v>
      </c>
      <c r="C30" s="9">
        <v>981</v>
      </c>
      <c r="D30" s="9" cm="1">
        <f t="array" aca="1" ref="D30" ca="1">INDIRECT(RefCell_Rpot)+SUM(G30:G$34)</f>
        <v>983</v>
      </c>
      <c r="E30" s="9">
        <f ca="1">data_NTC_1k_3528[[#This Row],[Rpcb]]-data_NTC_1k_3528[[#This Row],[Rsonde]]</f>
        <v>2</v>
      </c>
      <c r="F30" s="4">
        <f ca="1">data_NTC_1k_3528[[#This Row],[Diff R]]/data_NTC_1k_3528[[#This Row],[Rsonde]]</f>
        <v>2.0387359836901123E-3</v>
      </c>
      <c r="G30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56</v>
      </c>
      <c r="H30" s="9" cm="1">
        <f t="array" aca="1" ref="H30" ca="1">MAX(IF(ResValuesR24&lt;=ROUND(data_NTC_1k_3528[[#This Row],[Rsonde]],2)-IF(data_NTC_1k_3528[[#This Row],[Rsonde]]=MIN(data_NTC_1k_3528[Rsonde]),100,$D31),ResValuesR24))</f>
        <v>51</v>
      </c>
      <c r="I30" s="9">
        <f ca="1">ROUND(data_NTC_1k_3528[[#This Row],[RaddLow]]+(IF(data_NTC_1k_3528[[#This Row],[Rsonde]]=MIN(data_NTC_1k_3528[Rsonde]),0,$D31)-data_NTC_1k_3528[[#This Row],[Rsonde]]),2)</f>
        <v>-3</v>
      </c>
      <c r="J30" s="9" cm="1">
        <f t="array" aca="1" ref="J30" ca="1">MIN(IF(ResValuesR24&gt;=ROUND(data_NTC_1k_3528[[#This Row],[Rsonde]],2)-IF(data_NTC_1k_3528[[#This Row],[Rsonde]]=MIN(data_NTC_1k_3528[Rsonde]),100,$D31),ResValuesR24))</f>
        <v>56</v>
      </c>
      <c r="K30" s="9">
        <f ca="1">ROUND(data_NTC_1k_3528[[#This Row],[RaddHigh]]+(IF(data_NTC_1k_3528[[#This Row],[Rsonde]]=MIN(data_NTC_1k_3528[Rsonde]),0,$D31)-data_NTC_1k_3528[[#This Row],[Rsonde]]),2)</f>
        <v>2</v>
      </c>
      <c r="L30" s="2" cm="1">
        <f t="array" aca="1" ref="L30" ca="1">IF(INDIRECT(RefCell_R77),(data_NTC_1k_3528[[#This Row],[Rpcb]]*INDIRECT(RefCell_R77))/(data_NTC_1k_3528[[#This Row],[Rpcb]]+INDIRECT(RefCell_R77)),data_NTC_1k_3528[[#This Row],[Rpcb]])</f>
        <v>895.01957570791228</v>
      </c>
    </row>
    <row r="31" spans="1:12" x14ac:dyDescent="0.25">
      <c r="A31" t="s">
        <v>20</v>
      </c>
      <c r="B31" s="8">
        <v>27</v>
      </c>
      <c r="C31" s="9">
        <v>926</v>
      </c>
      <c r="D31" s="9" cm="1">
        <f t="array" aca="1" ref="D31" ca="1">INDIRECT(RefCell_Rpot)+SUM(G31:G$34)</f>
        <v>927</v>
      </c>
      <c r="E31" s="9">
        <f ca="1">data_NTC_1k_3528[[#This Row],[Rpcb]]-data_NTC_1k_3528[[#This Row],[Rsonde]]</f>
        <v>1</v>
      </c>
      <c r="F31" s="4">
        <f ca="1">data_NTC_1k_3528[[#This Row],[Diff R]]/data_NTC_1k_3528[[#This Row],[Rsonde]]</f>
        <v>1.0799136069114472E-3</v>
      </c>
      <c r="G31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51</v>
      </c>
      <c r="H31" s="9" cm="1">
        <f t="array" aca="1" ref="H31" ca="1">MAX(IF(ResValuesR24&lt;=ROUND(data_NTC_1k_3528[[#This Row],[Rsonde]],2)-IF(data_NTC_1k_3528[[#This Row],[Rsonde]]=MIN(data_NTC_1k_3528[Rsonde]),100,$D32),ResValuesR24))</f>
        <v>47</v>
      </c>
      <c r="I31" s="9">
        <f ca="1">ROUND(data_NTC_1k_3528[[#This Row],[RaddLow]]+(IF(data_NTC_1k_3528[[#This Row],[Rsonde]]=MIN(data_NTC_1k_3528[Rsonde]),0,$D32)-data_NTC_1k_3528[[#This Row],[Rsonde]]),2)</f>
        <v>-3</v>
      </c>
      <c r="J31" s="9" cm="1">
        <f t="array" aca="1" ref="J31" ca="1">MIN(IF(ResValuesR24&gt;=ROUND(data_NTC_1k_3528[[#This Row],[Rsonde]],2)-IF(data_NTC_1k_3528[[#This Row],[Rsonde]]=MIN(data_NTC_1k_3528[Rsonde]),100,$D32),ResValuesR24))</f>
        <v>51</v>
      </c>
      <c r="K31" s="9">
        <f ca="1">ROUND(data_NTC_1k_3528[[#This Row],[RaddHigh]]+(IF(data_NTC_1k_3528[[#This Row],[Rsonde]]=MIN(data_NTC_1k_3528[Rsonde]),0,$D32)-data_NTC_1k_3528[[#This Row],[Rsonde]]),2)</f>
        <v>1</v>
      </c>
      <c r="L31" s="2" cm="1">
        <f t="array" aca="1" ref="L31" ca="1">IF(INDIRECT(RefCell_R77),(data_NTC_1k_3528[[#This Row],[Rpcb]]*INDIRECT(RefCell_R77))/(data_NTC_1k_3528[[#This Row],[Rpcb]]+INDIRECT(RefCell_R77)),data_NTC_1k_3528[[#This Row],[Rpcb]])</f>
        <v>848.35728013178368</v>
      </c>
    </row>
    <row r="32" spans="1:12" x14ac:dyDescent="0.25">
      <c r="A32" t="s">
        <v>19</v>
      </c>
      <c r="B32" s="8">
        <v>28.5</v>
      </c>
      <c r="C32" s="9">
        <v>875</v>
      </c>
      <c r="D32" s="9" cm="1">
        <f t="array" aca="1" ref="D32" ca="1">INDIRECT(RefCell_Rpot)+SUM(G32:G$34)</f>
        <v>876</v>
      </c>
      <c r="E32" s="9">
        <f ca="1">data_NTC_1k_3528[[#This Row],[Rpcb]]-data_NTC_1k_3528[[#This Row],[Rsonde]]</f>
        <v>1</v>
      </c>
      <c r="F32" s="4">
        <f ca="1">data_NTC_1k_3528[[#This Row],[Diff R]]/data_NTC_1k_3528[[#This Row],[Rsonde]]</f>
        <v>1.1428571428571429E-3</v>
      </c>
      <c r="G32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51</v>
      </c>
      <c r="H32" s="9" cm="1">
        <f t="array" aca="1" ref="H32" ca="1">MAX(IF(ResValuesR24&lt;=ROUND(data_NTC_1k_3528[[#This Row],[Rsonde]],2)-IF(data_NTC_1k_3528[[#This Row],[Rsonde]]=MIN(data_NTC_1k_3528[Rsonde]),100,$D33),ResValuesR24))</f>
        <v>47</v>
      </c>
      <c r="I32" s="9">
        <f ca="1">ROUND(data_NTC_1k_3528[[#This Row],[RaddLow]]+(IF(data_NTC_1k_3528[[#This Row],[Rsonde]]=MIN(data_NTC_1k_3528[Rsonde]),0,$D33)-data_NTC_1k_3528[[#This Row],[Rsonde]]),2)</f>
        <v>-3</v>
      </c>
      <c r="J32" s="9" cm="1">
        <f t="array" aca="1" ref="J32" ca="1">MIN(IF(ResValuesR24&gt;=ROUND(data_NTC_1k_3528[[#This Row],[Rsonde]],2)-IF(data_NTC_1k_3528[[#This Row],[Rsonde]]=MIN(data_NTC_1k_3528[Rsonde]),100,$D33),ResValuesR24))</f>
        <v>51</v>
      </c>
      <c r="K32" s="9">
        <f ca="1">ROUND(data_NTC_1k_3528[[#This Row],[RaddHigh]]+(IF(data_NTC_1k_3528[[#This Row],[Rsonde]]=MIN(data_NTC_1k_3528[Rsonde]),0,$D33)-data_NTC_1k_3528[[#This Row],[Rsonde]]),2)</f>
        <v>1</v>
      </c>
      <c r="L32" s="2" cm="1">
        <f t="array" aca="1" ref="L32" ca="1">IF(INDIRECT(RefCell_R77),(data_NTC_1k_3528[[#This Row],[Rpcb]]*INDIRECT(RefCell_R77))/(data_NTC_1k_3528[[#This Row],[Rpcb]]+INDIRECT(RefCell_R77)),data_NTC_1k_3528[[#This Row],[Rpcb]])</f>
        <v>805.44317763883782</v>
      </c>
    </row>
    <row r="33" spans="1:12" x14ac:dyDescent="0.25">
      <c r="A33" t="s">
        <v>18</v>
      </c>
      <c r="B33" s="8">
        <v>30</v>
      </c>
      <c r="C33" s="9">
        <v>827</v>
      </c>
      <c r="D33" s="9" cm="1">
        <f t="array" aca="1" ref="D33" ca="1">INDIRECT(RefCell_Rpot)+SUM(G33:G$34)</f>
        <v>825</v>
      </c>
      <c r="E33" s="9">
        <f ca="1">data_NTC_1k_3528[[#This Row],[Rpcb]]-data_NTC_1k_3528[[#This Row],[Rsonde]]</f>
        <v>-2</v>
      </c>
      <c r="F33" s="4">
        <f ca="1">data_NTC_1k_3528[[#This Row],[Diff R]]/data_NTC_1k_3528[[#This Row],[Rsonde]]</f>
        <v>-2.4183796856106408E-3</v>
      </c>
      <c r="G33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43</v>
      </c>
      <c r="H33" s="9" cm="1">
        <f t="array" aca="1" ref="H33" ca="1">MAX(IF(ResValuesR24&lt;=ROUND(data_NTC_1k_3528[[#This Row],[Rsonde]],2)-IF(data_NTC_1k_3528[[#This Row],[Rsonde]]=MIN(data_NTC_1k_3528[Rsonde]),100,$D34),ResValuesR24))</f>
        <v>43</v>
      </c>
      <c r="I33" s="9">
        <f ca="1">ROUND(data_NTC_1k_3528[[#This Row],[RaddLow]]+(IF(data_NTC_1k_3528[[#This Row],[Rsonde]]=MIN(data_NTC_1k_3528[Rsonde]),0,$D34)-data_NTC_1k_3528[[#This Row],[Rsonde]]),2)</f>
        <v>-2</v>
      </c>
      <c r="J33" s="9" cm="1">
        <f t="array" aca="1" ref="J33" ca="1">MIN(IF(ResValuesR24&gt;=ROUND(data_NTC_1k_3528[[#This Row],[Rsonde]],2)-IF(data_NTC_1k_3528[[#This Row],[Rsonde]]=MIN(data_NTC_1k_3528[Rsonde]),100,$D34),ResValuesR24))</f>
        <v>47</v>
      </c>
      <c r="K33" s="9">
        <f ca="1">ROUND(data_NTC_1k_3528[[#This Row],[RaddHigh]]+(IF(data_NTC_1k_3528[[#This Row],[Rsonde]]=MIN(data_NTC_1k_3528[Rsonde]),0,$D34)-data_NTC_1k_3528[[#This Row],[Rsonde]]),2)</f>
        <v>2</v>
      </c>
      <c r="L33" s="2" cm="1">
        <f t="array" aca="1" ref="L33" ca="1">IF(INDIRECT(RefCell_R77),(data_NTC_1k_3528[[#This Row],[Rpcb]]*INDIRECT(RefCell_R77))/(data_NTC_1k_3528[[#This Row],[Rpcb]]+INDIRECT(RefCell_R77)),data_NTC_1k_3528[[#This Row],[Rpcb]])</f>
        <v>762.12471131639722</v>
      </c>
    </row>
    <row r="34" spans="1:12" x14ac:dyDescent="0.25">
      <c r="A34" t="s">
        <v>17</v>
      </c>
      <c r="B34" s="8">
        <v>31.5</v>
      </c>
      <c r="C34" s="9">
        <v>782</v>
      </c>
      <c r="D34" s="9" cm="1">
        <f t="array" aca="1" ref="D34" ca="1">INDIRECT(RefCell_Rpot)+SUM(G34:G$34)</f>
        <v>782</v>
      </c>
      <c r="E34" s="9">
        <f ca="1">data_NTC_1k_3528[[#This Row],[Rpcb]]-data_NTC_1k_3528[[#This Row],[Rsonde]]</f>
        <v>0</v>
      </c>
      <c r="F34" s="4">
        <f ca="1">data_NTC_1k_3528[[#This Row],[Diff R]]/data_NTC_1k_3528[[#This Row],[Rsonde]]</f>
        <v>0</v>
      </c>
      <c r="G34" s="9">
        <f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680</v>
      </c>
      <c r="H34" s="9" cm="1">
        <f t="array" ref="H34">MAX(IF(ResValuesR24&lt;=ROUND(data_NTC_1k_3528[[#This Row],[Rsonde]],2)-IF(data_NTC_1k_3528[[#This Row],[Rsonde]]=MIN(data_NTC_1k_3528[Rsonde]),100,$D35),ResValuesR24))</f>
        <v>680</v>
      </c>
      <c r="I34" s="9">
        <f>ROUND(data_NTC_1k_3528[[#This Row],[RaddLow]]+(IF(data_NTC_1k_3528[[#This Row],[Rsonde]]=MIN(data_NTC_1k_3528[Rsonde]),0,$D35)-data_NTC_1k_3528[[#This Row],[Rsonde]]),2)</f>
        <v>-102</v>
      </c>
      <c r="J34" s="9" cm="1">
        <f t="array" ref="J34">MIN(IF(ResValuesR24&gt;=ROUND(data_NTC_1k_3528[[#This Row],[Rsonde]],2)-IF(data_NTC_1k_3528[[#This Row],[Rsonde]]=MIN(data_NTC_1k_3528[Rsonde]),100,$D35),ResValuesR24))</f>
        <v>750</v>
      </c>
      <c r="K34" s="9">
        <f>ROUND(data_NTC_1k_3528[[#This Row],[RaddHigh]]+(IF(data_NTC_1k_3528[[#This Row],[Rsonde]]=MIN(data_NTC_1k_3528[Rsonde]),0,$D35)-data_NTC_1k_3528[[#This Row],[Rsonde]]),2)</f>
        <v>-32</v>
      </c>
      <c r="L34" s="2" cm="1">
        <f t="array" aca="1" ref="L34" ca="1">IF(INDIRECT(RefCell_R77),(data_NTC_1k_3528[[#This Row],[Rpcb]]*INDIRECT(RefCell_R77))/(data_NTC_1k_3528[[#This Row],[Rpcb]]+INDIRECT(RefCell_R77)),data_NTC_1k_3528[[#This Row],[Rpcb]])</f>
        <v>725.28287887219437</v>
      </c>
    </row>
  </sheetData>
  <mergeCells count="1">
    <mergeCell ref="A1:L1"/>
  </mergeCells>
  <conditionalFormatting sqref="F3:F34">
    <cfRule type="cellIs" dxfId="147" priority="1" operator="between">
      <formula>-0.005</formula>
      <formula>0.005</formula>
    </cfRule>
  </conditionalFormatting>
  <dataValidations count="1">
    <dataValidation type="list" allowBlank="1" showInputMessage="1" showErrorMessage="1" sqref="O3" xr:uid="{67059D33-DD64-4995-9A16-8F9DF5E673A8}">
      <formula1>INDIRECT("TableR77[R]")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5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6" r:id="rId5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7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8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9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0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1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2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3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4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74752-CFFB-4A00-94EA-16E837EEBBA7}">
  <sheetPr codeName="Feuil9"/>
  <dimension ref="A1:Q34"/>
  <sheetViews>
    <sheetView zoomScaleNormal="100" workbookViewId="0">
      <selection sqref="A1:XFD1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7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7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s="1" t="s">
        <v>16</v>
      </c>
      <c r="O2">
        <f>ROUND(C34-G34,0)</f>
        <v>120</v>
      </c>
      <c r="P2" s="7" t="s">
        <v>113</v>
      </c>
    </row>
    <row r="3" spans="1:17" x14ac:dyDescent="0.25">
      <c r="A3" t="s">
        <v>48</v>
      </c>
      <c r="B3" s="8">
        <v>-15</v>
      </c>
      <c r="C3" s="9">
        <v>12881</v>
      </c>
      <c r="D3" s="9" cm="1">
        <f t="array" aca="1" ref="D3" ca="1">INDIRECT(RefCell_Rpot)+SUM(G3:G$34)</f>
        <v>12890</v>
      </c>
      <c r="E3" s="9">
        <f ca="1">data_NTC_2.2k_3528[[#This Row],[Rpcb]]-data_NTC_2.2k_3528[[#This Row],[Rsonde]]</f>
        <v>9</v>
      </c>
      <c r="F3" s="4">
        <f ca="1">data_NTC_2.2k_3528[[#This Row],[Diff R]]/data_NTC_2.2k_3528[[#This Row],[Rsonde]]</f>
        <v>6.987035168077013E-4</v>
      </c>
      <c r="G3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910</v>
      </c>
      <c r="H3" s="9" cm="1">
        <f t="array" aca="1" ref="H3" ca="1">MAX(IF(ResValuesR24&lt;=ROUND(data_NTC_2.2k_3528[[#This Row],[Rsonde]],2)-IF(data_NTC_2.2k_3528[[#This Row],[Rsonde]]=MIN(data_NTC_2.2k_3528[Rsonde]),100,$D4),ResValuesR24))</f>
        <v>819.99999999999989</v>
      </c>
      <c r="I3" s="9">
        <f ca="1">ROUND(data_NTC_2.2k_3528[[#This Row],[RaddLow]]+(IF(data_NTC_2.2k_3528[[#This Row],[Rsonde]]=MIN(data_NTC_2.2k_3528[Rsonde]),0,$D4)-data_NTC_2.2k_3528[[#This Row],[Rsonde]]),2)</f>
        <v>-81</v>
      </c>
      <c r="J3" s="9" cm="1">
        <f t="array" aca="1" ref="J3" ca="1">MIN(IF(ResValuesR24&gt;=ROUND(data_NTC_2.2k_3528[[#This Row],[Rsonde]],2)-IF(data_NTC_2.2k_3528[[#This Row],[Rsonde]]=MIN(data_NTC_2.2k_3528[Rsonde]),100,$D4),ResValuesR24))</f>
        <v>910</v>
      </c>
      <c r="K3" s="9">
        <f ca="1">ROUND(data_NTC_2.2k_3528[[#This Row],[RaddHigh]]+(IF(data_NTC_2.2k_3528[[#This Row],[Rsonde]]=MIN(data_NTC_2.2k_3528[Rsonde]),0,$D4)-data_NTC_2.2k_3528[[#This Row],[Rsonde]]),2)</f>
        <v>9</v>
      </c>
      <c r="L3" s="2" cm="1">
        <f t="array" aca="1" ref="L3" ca="1">IF(INDIRECT(RefCell_R77),(data_NTC_2.2k_3528[[#This Row],[Rpcb]]*INDIRECT(RefCell_R77))/(data_NTC_2.2k_3528[[#This Row],[Rpcb]]+INDIRECT(RefCell_R77)),data_NTC_2.2k_3528[[#This Row],[Rpcb]])</f>
        <v>4812.600875060768</v>
      </c>
      <c r="N3" s="1" t="s">
        <v>112</v>
      </c>
      <c r="O3">
        <v>7680</v>
      </c>
      <c r="P3" s="7" t="s">
        <v>113</v>
      </c>
      <c r="Q3" s="11" t="s">
        <v>157</v>
      </c>
    </row>
    <row r="4" spans="1:17" x14ac:dyDescent="0.25">
      <c r="A4" t="s">
        <v>47</v>
      </c>
      <c r="B4" s="8">
        <v>-13.5</v>
      </c>
      <c r="C4" s="9">
        <v>11947</v>
      </c>
      <c r="D4" s="9" cm="1">
        <f t="array" aca="1" ref="D4" ca="1">INDIRECT(RefCell_Rpot)+SUM(G4:G$34)</f>
        <v>11980</v>
      </c>
      <c r="E4" s="9">
        <f ca="1">data_NTC_2.2k_3528[[#This Row],[Rpcb]]-data_NTC_2.2k_3528[[#This Row],[Rsonde]]</f>
        <v>33</v>
      </c>
      <c r="F4" s="4">
        <f ca="1">data_NTC_2.2k_3528[[#This Row],[Diff R]]/data_NTC_2.2k_3528[[#This Row],[Rsonde]]</f>
        <v>2.7621997154097262E-3</v>
      </c>
      <c r="G4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910</v>
      </c>
      <c r="H4" s="9" cm="1">
        <f t="array" aca="1" ref="H4" ca="1">MAX(IF(ResValuesR24&lt;=ROUND(data_NTC_2.2k_3528[[#This Row],[Rsonde]],2)-IF(data_NTC_2.2k_3528[[#This Row],[Rsonde]]=MIN(data_NTC_2.2k_3528[Rsonde]),100,$D5),ResValuesR24))</f>
        <v>819.99999999999989</v>
      </c>
      <c r="I4" s="9">
        <f ca="1">ROUND(data_NTC_2.2k_3528[[#This Row],[RaddLow]]+(IF(data_NTC_2.2k_3528[[#This Row],[Rsonde]]=MIN(data_NTC_2.2k_3528[Rsonde]),0,$D5)-data_NTC_2.2k_3528[[#This Row],[Rsonde]]),2)</f>
        <v>-57</v>
      </c>
      <c r="J4" s="9" cm="1">
        <f t="array" aca="1" ref="J4" ca="1">MIN(IF(ResValuesR24&gt;=ROUND(data_NTC_2.2k_3528[[#This Row],[Rsonde]],2)-IF(data_NTC_2.2k_3528[[#This Row],[Rsonde]]=MIN(data_NTC_2.2k_3528[Rsonde]),100,$D5),ResValuesR24))</f>
        <v>910</v>
      </c>
      <c r="K4" s="9">
        <f ca="1">ROUND(data_NTC_2.2k_3528[[#This Row],[RaddHigh]]+(IF(data_NTC_2.2k_3528[[#This Row],[Rsonde]]=MIN(data_NTC_2.2k_3528[Rsonde]),0,$D5)-data_NTC_2.2k_3528[[#This Row],[Rsonde]]),2)</f>
        <v>33</v>
      </c>
      <c r="L4" s="2" cm="1">
        <f t="array" aca="1" ref="L4" ca="1">IF(INDIRECT(RefCell_R77),(data_NTC_2.2k_3528[[#This Row],[Rpcb]]*INDIRECT(RefCell_R77))/(data_NTC_2.2k_3528[[#This Row],[Rpcb]]+INDIRECT(RefCell_R77)),data_NTC_2.2k_3528[[#This Row],[Rpcb]])</f>
        <v>4679.8779247202438</v>
      </c>
    </row>
    <row r="5" spans="1:17" x14ac:dyDescent="0.25">
      <c r="A5" t="s">
        <v>46</v>
      </c>
      <c r="B5" s="8">
        <v>-12</v>
      </c>
      <c r="C5" s="9">
        <v>11089</v>
      </c>
      <c r="D5" s="9" cm="1">
        <f t="array" aca="1" ref="D5" ca="1">INDIRECT(RefCell_Rpot)+SUM(G5:G$34)</f>
        <v>11070</v>
      </c>
      <c r="E5" s="9">
        <f ca="1">data_NTC_2.2k_3528[[#This Row],[Rpcb]]-data_NTC_2.2k_3528[[#This Row],[Rsonde]]</f>
        <v>-19</v>
      </c>
      <c r="F5" s="4">
        <f ca="1">data_NTC_2.2k_3528[[#This Row],[Diff R]]/data_NTC_2.2k_3528[[#This Row],[Rsonde]]</f>
        <v>-1.7134096852736947E-3</v>
      </c>
      <c r="G5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750</v>
      </c>
      <c r="H5" s="9" cm="1">
        <f t="array" aca="1" ref="H5" ca="1">MAX(IF(ResValuesR24&lt;=ROUND(data_NTC_2.2k_3528[[#This Row],[Rsonde]],2)-IF(data_NTC_2.2k_3528[[#This Row],[Rsonde]]=MIN(data_NTC_2.2k_3528[Rsonde]),100,$D6),ResValuesR24))</f>
        <v>750</v>
      </c>
      <c r="I5" s="9">
        <f ca="1">ROUND(data_NTC_2.2k_3528[[#This Row],[RaddLow]]+(IF(data_NTC_2.2k_3528[[#This Row],[Rsonde]]=MIN(data_NTC_2.2k_3528[Rsonde]),0,$D6)-data_NTC_2.2k_3528[[#This Row],[Rsonde]]),2)</f>
        <v>-19</v>
      </c>
      <c r="J5" s="9" cm="1">
        <f t="array" aca="1" ref="J5" ca="1">MIN(IF(ResValuesR24&gt;=ROUND(data_NTC_2.2k_3528[[#This Row],[Rsonde]],2)-IF(data_NTC_2.2k_3528[[#This Row],[Rsonde]]=MIN(data_NTC_2.2k_3528[Rsonde]),100,$D6),ResValuesR24))</f>
        <v>819.99999999999989</v>
      </c>
      <c r="K5" s="9">
        <f ca="1">ROUND(data_NTC_2.2k_3528[[#This Row],[RaddHigh]]+(IF(data_NTC_2.2k_3528[[#This Row],[Rsonde]]=MIN(data_NTC_2.2k_3528[Rsonde]),0,$D6)-data_NTC_2.2k_3528[[#This Row],[Rsonde]]),2)</f>
        <v>51</v>
      </c>
      <c r="L5" s="2" cm="1">
        <f t="array" aca="1" ref="L5" ca="1">IF(INDIRECT(RefCell_R77),(data_NTC_2.2k_3528[[#This Row],[Rpcb]]*INDIRECT(RefCell_R77))/(data_NTC_2.2k_3528[[#This Row],[Rpcb]]+INDIRECT(RefCell_R77)),data_NTC_2.2k_3528[[#This Row],[Rpcb]])</f>
        <v>4534.2719999999999</v>
      </c>
      <c r="N5" s="1" t="s">
        <v>215</v>
      </c>
    </row>
    <row r="6" spans="1:17" x14ac:dyDescent="0.25">
      <c r="A6" t="s">
        <v>45</v>
      </c>
      <c r="B6" s="8">
        <v>-10.5</v>
      </c>
      <c r="C6" s="9">
        <v>10301</v>
      </c>
      <c r="D6" s="9" cm="1">
        <f t="array" aca="1" ref="D6" ca="1">INDIRECT(RefCell_Rpot)+SUM(G6:G$34)</f>
        <v>10320</v>
      </c>
      <c r="E6" s="9">
        <f ca="1">data_NTC_2.2k_3528[[#This Row],[Rpcb]]-data_NTC_2.2k_3528[[#This Row],[Rsonde]]</f>
        <v>19</v>
      </c>
      <c r="F6" s="4">
        <f ca="1">data_NTC_2.2k_3528[[#This Row],[Diff R]]/data_NTC_2.2k_3528[[#This Row],[Rsonde]]</f>
        <v>1.8444811183380254E-3</v>
      </c>
      <c r="G6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750</v>
      </c>
      <c r="H6" s="9" cm="1">
        <f t="array" aca="1" ref="H6" ca="1">MAX(IF(ResValuesR24&lt;=ROUND(data_NTC_2.2k_3528[[#This Row],[Rsonde]],2)-IF(data_NTC_2.2k_3528[[#This Row],[Rsonde]]=MIN(data_NTC_2.2k_3528[Rsonde]),100,$D7),ResValuesR24))</f>
        <v>680</v>
      </c>
      <c r="I6" s="9">
        <f ca="1">ROUND(data_NTC_2.2k_3528[[#This Row],[RaddLow]]+(IF(data_NTC_2.2k_3528[[#This Row],[Rsonde]]=MIN(data_NTC_2.2k_3528[Rsonde]),0,$D7)-data_NTC_2.2k_3528[[#This Row],[Rsonde]]),2)</f>
        <v>-51</v>
      </c>
      <c r="J6" s="9" cm="1">
        <f t="array" aca="1" ref="J6" ca="1">MIN(IF(ResValuesR24&gt;=ROUND(data_NTC_2.2k_3528[[#This Row],[Rsonde]],2)-IF(data_NTC_2.2k_3528[[#This Row],[Rsonde]]=MIN(data_NTC_2.2k_3528[Rsonde]),100,$D7),ResValuesR24))</f>
        <v>750</v>
      </c>
      <c r="K6" s="9">
        <f ca="1">ROUND(data_NTC_2.2k_3528[[#This Row],[RaddHigh]]+(IF(data_NTC_2.2k_3528[[#This Row],[Rsonde]]=MIN(data_NTC_2.2k_3528[Rsonde]),0,$D7)-data_NTC_2.2k_3528[[#This Row],[Rsonde]]),2)</f>
        <v>19</v>
      </c>
      <c r="L6" s="2" cm="1">
        <f t="array" aca="1" ref="L6" ca="1">IF(INDIRECT(RefCell_R77),(data_NTC_2.2k_3528[[#This Row],[Rpcb]]*INDIRECT(RefCell_R77))/(data_NTC_2.2k_3528[[#This Row],[Rpcb]]+INDIRECT(RefCell_R77)),data_NTC_2.2k_3528[[#This Row],[Rpcb]])</f>
        <v>4403.2</v>
      </c>
      <c r="N6" s="35" t="s">
        <v>131</v>
      </c>
      <c r="O6">
        <f t="shared" ref="O6" si="0">O14 - O11*O7 - O11^3*O8</f>
        <v>1.1794083189354083E-3</v>
      </c>
    </row>
    <row r="7" spans="1:17" x14ac:dyDescent="0.25">
      <c r="A7" t="s">
        <v>44</v>
      </c>
      <c r="B7" s="8">
        <v>-9</v>
      </c>
      <c r="C7" s="9">
        <v>9576</v>
      </c>
      <c r="D7" s="9" cm="1">
        <f t="array" aca="1" ref="D7" ca="1">INDIRECT(RefCell_Rpot)+SUM(G7:G$34)</f>
        <v>9570</v>
      </c>
      <c r="E7" s="9">
        <f ca="1">data_NTC_2.2k_3528[[#This Row],[Rpcb]]-data_NTC_2.2k_3528[[#This Row],[Rsonde]]</f>
        <v>-6</v>
      </c>
      <c r="F7" s="4">
        <f ca="1">data_NTC_2.2k_3528[[#This Row],[Diff R]]/data_NTC_2.2k_3528[[#This Row],[Rsonde]]</f>
        <v>-6.2656641604010022E-4</v>
      </c>
      <c r="G7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680</v>
      </c>
      <c r="H7" s="9" cm="1">
        <f t="array" aca="1" ref="H7" ca="1">MAX(IF(ResValuesR24&lt;=ROUND(data_NTC_2.2k_3528[[#This Row],[Rsonde]],2)-IF(data_NTC_2.2k_3528[[#This Row],[Rsonde]]=MIN(data_NTC_2.2k_3528[Rsonde]),100,$D8),ResValuesR24))</f>
        <v>680</v>
      </c>
      <c r="I7" s="9">
        <f ca="1">ROUND(data_NTC_2.2k_3528[[#This Row],[RaddLow]]+(IF(data_NTC_2.2k_3528[[#This Row],[Rsonde]]=MIN(data_NTC_2.2k_3528[Rsonde]),0,$D8)-data_NTC_2.2k_3528[[#This Row],[Rsonde]]),2)</f>
        <v>-6</v>
      </c>
      <c r="J7" s="9" cm="1">
        <f t="array" aca="1" ref="J7" ca="1">MIN(IF(ResValuesR24&gt;=ROUND(data_NTC_2.2k_3528[[#This Row],[Rsonde]],2)-IF(data_NTC_2.2k_3528[[#This Row],[Rsonde]]=MIN(data_NTC_2.2k_3528[Rsonde]),100,$D8),ResValuesR24))</f>
        <v>750</v>
      </c>
      <c r="K7" s="9">
        <f ca="1">ROUND(data_NTC_2.2k_3528[[#This Row],[RaddHigh]]+(IF(data_NTC_2.2k_3528[[#This Row],[Rsonde]]=MIN(data_NTC_2.2k_3528[Rsonde]),0,$D8)-data_NTC_2.2k_3528[[#This Row],[Rsonde]]),2)</f>
        <v>64</v>
      </c>
      <c r="L7" s="2" cm="1">
        <f t="array" aca="1" ref="L7" ca="1">IF(INDIRECT(RefCell_R77),(data_NTC_2.2k_3528[[#This Row],[Rpcb]]*INDIRECT(RefCell_R77))/(data_NTC_2.2k_3528[[#This Row],[Rpcb]]+INDIRECT(RefCell_R77)),data_NTC_2.2k_3528[[#This Row],[Rpcb]])</f>
        <v>4260.7304347826084</v>
      </c>
      <c r="N7" s="35" t="s">
        <v>130</v>
      </c>
      <c r="O7">
        <f t="shared" ref="O7" si="1">(1/(O11-O12)) * (O14-O15-(O11^3-O12^3)*O8)</f>
        <v>2.7837192093896405E-4</v>
      </c>
    </row>
    <row r="8" spans="1:17" x14ac:dyDescent="0.25">
      <c r="A8" t="s">
        <v>43</v>
      </c>
      <c r="B8" s="8">
        <v>-7.5</v>
      </c>
      <c r="C8" s="9">
        <v>8909</v>
      </c>
      <c r="D8" s="9" cm="1">
        <f t="array" aca="1" ref="D8" ca="1">INDIRECT(RefCell_Rpot)+SUM(G8:G$34)</f>
        <v>8890</v>
      </c>
      <c r="E8" s="9">
        <f ca="1">data_NTC_2.2k_3528[[#This Row],[Rpcb]]-data_NTC_2.2k_3528[[#This Row],[Rsonde]]</f>
        <v>-19</v>
      </c>
      <c r="F8" s="4">
        <f ca="1">data_NTC_2.2k_3528[[#This Row],[Diff R]]/data_NTC_2.2k_3528[[#This Row],[Rsonde]]</f>
        <v>-2.1326748232124819E-3</v>
      </c>
      <c r="G8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620</v>
      </c>
      <c r="H8" s="9" cm="1">
        <f t="array" aca="1" ref="H8" ca="1">MAX(IF(ResValuesR24&lt;=ROUND(data_NTC_2.2k_3528[[#This Row],[Rsonde]],2)-IF(data_NTC_2.2k_3528[[#This Row],[Rsonde]]=MIN(data_NTC_2.2k_3528[Rsonde]),100,$D9),ResValuesR24))</f>
        <v>620</v>
      </c>
      <c r="I8" s="9">
        <f ca="1">ROUND(data_NTC_2.2k_3528[[#This Row],[RaddLow]]+(IF(data_NTC_2.2k_3528[[#This Row],[Rsonde]]=MIN(data_NTC_2.2k_3528[Rsonde]),0,$D9)-data_NTC_2.2k_3528[[#This Row],[Rsonde]]),2)</f>
        <v>-19</v>
      </c>
      <c r="J8" s="9" cm="1">
        <f t="array" aca="1" ref="J8" ca="1">MIN(IF(ResValuesR24&gt;=ROUND(data_NTC_2.2k_3528[[#This Row],[Rsonde]],2)-IF(data_NTC_2.2k_3528[[#This Row],[Rsonde]]=MIN(data_NTC_2.2k_3528[Rsonde]),100,$D9),ResValuesR24))</f>
        <v>680</v>
      </c>
      <c r="K8" s="9">
        <f ca="1">ROUND(data_NTC_2.2k_3528[[#This Row],[RaddHigh]]+(IF(data_NTC_2.2k_3528[[#This Row],[Rsonde]]=MIN(data_NTC_2.2k_3528[Rsonde]),0,$D9)-data_NTC_2.2k_3528[[#This Row],[Rsonde]]),2)</f>
        <v>41</v>
      </c>
      <c r="L8" s="2" cm="1">
        <f t="array" aca="1" ref="L8" ca="1">IF(INDIRECT(RefCell_R77),(data_NTC_2.2k_3528[[#This Row],[Rpcb]]*INDIRECT(RefCell_R77))/(data_NTC_2.2k_3528[[#This Row],[Rpcb]]+INDIRECT(RefCell_R77)),data_NTC_2.2k_3528[[#This Row],[Rpcb]])</f>
        <v>4120.4103802051904</v>
      </c>
      <c r="N8" s="35" t="s">
        <v>129</v>
      </c>
      <c r="O8">
        <f t="shared" ref="O8" si="2">O10/O9</f>
        <v>7.0715174409896744E-8</v>
      </c>
    </row>
    <row r="9" spans="1:17" x14ac:dyDescent="0.25">
      <c r="A9" t="s">
        <v>42</v>
      </c>
      <c r="B9" s="8">
        <v>-6</v>
      </c>
      <c r="C9" s="9">
        <v>8295</v>
      </c>
      <c r="D9" s="9" cm="1">
        <f t="array" aca="1" ref="D9" ca="1">INDIRECT(RefCell_Rpot)+SUM(G9:G$34)</f>
        <v>8270</v>
      </c>
      <c r="E9" s="9">
        <f ca="1">data_NTC_2.2k_3528[[#This Row],[Rpcb]]-data_NTC_2.2k_3528[[#This Row],[Rsonde]]</f>
        <v>-25</v>
      </c>
      <c r="F9" s="4">
        <f ca="1">data_NTC_2.2k_3528[[#This Row],[Diff R]]/data_NTC_2.2k_3528[[#This Row],[Rsonde]]</f>
        <v>-3.0138637733574444E-3</v>
      </c>
      <c r="G9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560</v>
      </c>
      <c r="H9" s="9" cm="1">
        <f t="array" aca="1" ref="H9" ca="1">MAX(IF(ResValuesR24&lt;=ROUND(data_NTC_2.2k_3528[[#This Row],[Rsonde]],2)-IF(data_NTC_2.2k_3528[[#This Row],[Rsonde]]=MIN(data_NTC_2.2k_3528[Rsonde]),100,$D10),ResValuesR24))</f>
        <v>560</v>
      </c>
      <c r="I9" s="9">
        <f ca="1">ROUND(data_NTC_2.2k_3528[[#This Row],[RaddLow]]+(IF(data_NTC_2.2k_3528[[#This Row],[Rsonde]]=MIN(data_NTC_2.2k_3528[Rsonde]),0,$D10)-data_NTC_2.2k_3528[[#This Row],[Rsonde]]),2)</f>
        <v>-25</v>
      </c>
      <c r="J9" s="9" cm="1">
        <f t="array" aca="1" ref="J9" ca="1">MIN(IF(ResValuesR24&gt;=ROUND(data_NTC_2.2k_3528[[#This Row],[Rsonde]],2)-IF(data_NTC_2.2k_3528[[#This Row],[Rsonde]]=MIN(data_NTC_2.2k_3528[Rsonde]),100,$D10),ResValuesR24))</f>
        <v>620</v>
      </c>
      <c r="K9" s="9">
        <f ca="1">ROUND(data_NTC_2.2k_3528[[#This Row],[RaddHigh]]+(IF(data_NTC_2.2k_3528[[#This Row],[Rsonde]]=MIN(data_NTC_2.2k_3528[Rsonde]),0,$D10)-data_NTC_2.2k_3528[[#This Row],[Rsonde]]),2)</f>
        <v>35</v>
      </c>
      <c r="L9" s="2" cm="1">
        <f t="array" aca="1" ref="L9" ca="1">IF(INDIRECT(RefCell_R77),(data_NTC_2.2k_3528[[#This Row],[Rpcb]]*INDIRECT(RefCell_R77))/(data_NTC_2.2k_3528[[#This Row],[Rpcb]]+INDIRECT(RefCell_R77)),data_NTC_2.2k_3528[[#This Row],[Rpcb]])</f>
        <v>3982.0438871473352</v>
      </c>
      <c r="N9" s="3" t="s">
        <v>181</v>
      </c>
      <c r="O9">
        <f t="shared" ref="O9" si="3">(O12-O13)/(O11-O12) * (O12^3-O11^3) + (O12^3-O13^3)</f>
        <v>-40.444377722142548</v>
      </c>
    </row>
    <row r="10" spans="1:17" x14ac:dyDescent="0.25">
      <c r="A10" t="s">
        <v>41</v>
      </c>
      <c r="B10" s="8">
        <v>-4.5</v>
      </c>
      <c r="C10" s="9">
        <v>7729</v>
      </c>
      <c r="D10" s="9" cm="1">
        <f t="array" aca="1" ref="D10" ca="1">INDIRECT(RefCell_Rpot)+SUM(G10:G$34)</f>
        <v>7710</v>
      </c>
      <c r="E10" s="9">
        <f ca="1">data_NTC_2.2k_3528[[#This Row],[Rpcb]]-data_NTC_2.2k_3528[[#This Row],[Rsonde]]</f>
        <v>-19</v>
      </c>
      <c r="F10" s="4">
        <f ca="1">data_NTC_2.2k_3528[[#This Row],[Diff R]]/data_NTC_2.2k_3528[[#This Row],[Rsonde]]</f>
        <v>-2.4582740328632424E-3</v>
      </c>
      <c r="G10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509.99999999999994</v>
      </c>
      <c r="H10" s="9" cm="1">
        <f t="array" aca="1" ref="H10" ca="1">MAX(IF(ResValuesR24&lt;=ROUND(data_NTC_2.2k_3528[[#This Row],[Rsonde]],2)-IF(data_NTC_2.2k_3528[[#This Row],[Rsonde]]=MIN(data_NTC_2.2k_3528[Rsonde]),100,$D11),ResValuesR24))</f>
        <v>509.99999999999994</v>
      </c>
      <c r="I10" s="9">
        <f ca="1">ROUND(data_NTC_2.2k_3528[[#This Row],[RaddLow]]+(IF(data_NTC_2.2k_3528[[#This Row],[Rsonde]]=MIN(data_NTC_2.2k_3528[Rsonde]),0,$D11)-data_NTC_2.2k_3528[[#This Row],[Rsonde]]),2)</f>
        <v>-19</v>
      </c>
      <c r="J10" s="9" cm="1">
        <f t="array" aca="1" ref="J10" ca="1">MIN(IF(ResValuesR24&gt;=ROUND(data_NTC_2.2k_3528[[#This Row],[Rsonde]],2)-IF(data_NTC_2.2k_3528[[#This Row],[Rsonde]]=MIN(data_NTC_2.2k_3528[Rsonde]),100,$D11),ResValuesR24))</f>
        <v>560</v>
      </c>
      <c r="K10" s="9">
        <f ca="1">ROUND(data_NTC_2.2k_3528[[#This Row],[RaddHigh]]+(IF(data_NTC_2.2k_3528[[#This Row],[Rsonde]]=MIN(data_NTC_2.2k_3528[Rsonde]),0,$D11)-data_NTC_2.2k_3528[[#This Row],[Rsonde]]),2)</f>
        <v>31</v>
      </c>
      <c r="L10" s="2" cm="1">
        <f t="array" aca="1" ref="L10" ca="1">IF(INDIRECT(RefCell_R77),(data_NTC_2.2k_3528[[#This Row],[Rpcb]]*INDIRECT(RefCell_R77))/(data_NTC_2.2k_3528[[#This Row],[Rpcb]]+INDIRECT(RefCell_R77)),data_NTC_2.2k_3528[[#This Row],[Rpcb]])</f>
        <v>3847.4853801169593</v>
      </c>
      <c r="N10" s="3" t="s">
        <v>182</v>
      </c>
      <c r="O10">
        <f t="shared" ref="O10" si="4">O15 - O16 - ( (O12-O13)/(O11-O12) ) * (O14-O15)</f>
        <v>-2.8600312245210526E-6</v>
      </c>
    </row>
    <row r="11" spans="1:17" x14ac:dyDescent="0.25">
      <c r="A11" t="s">
        <v>40</v>
      </c>
      <c r="B11" s="8">
        <v>-3</v>
      </c>
      <c r="C11" s="9">
        <v>7206</v>
      </c>
      <c r="D11" s="9" cm="1">
        <f t="array" aca="1" ref="D11" ca="1">INDIRECT(RefCell_Rpot)+SUM(G11:G$34)</f>
        <v>7200</v>
      </c>
      <c r="E11" s="9">
        <f ca="1">data_NTC_2.2k_3528[[#This Row],[Rpcb]]-data_NTC_2.2k_3528[[#This Row],[Rsonde]]</f>
        <v>-6</v>
      </c>
      <c r="F11" s="4">
        <f ca="1">data_NTC_2.2k_3528[[#This Row],[Diff R]]/data_NTC_2.2k_3528[[#This Row],[Rsonde]]</f>
        <v>-8.3263946711074107E-4</v>
      </c>
      <c r="G11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470</v>
      </c>
      <c r="H11" s="9" cm="1">
        <f t="array" aca="1" ref="H11" ca="1">MAX(IF(ResValuesR24&lt;=ROUND(data_NTC_2.2k_3528[[#This Row],[Rsonde]],2)-IF(data_NTC_2.2k_3528[[#This Row],[Rsonde]]=MIN(data_NTC_2.2k_3528[Rsonde]),100,$D12),ResValuesR24))</f>
        <v>470</v>
      </c>
      <c r="I11" s="9">
        <f ca="1">ROUND(data_NTC_2.2k_3528[[#This Row],[RaddLow]]+(IF(data_NTC_2.2k_3528[[#This Row],[Rsonde]]=MIN(data_NTC_2.2k_3528[Rsonde]),0,$D12)-data_NTC_2.2k_3528[[#This Row],[Rsonde]]),2)</f>
        <v>-6</v>
      </c>
      <c r="J11" s="9" cm="1">
        <f t="array" aca="1" ref="J11" ca="1">MIN(IF(ResValuesR24&gt;=ROUND(data_NTC_2.2k_3528[[#This Row],[Rsonde]],2)-IF(data_NTC_2.2k_3528[[#This Row],[Rsonde]]=MIN(data_NTC_2.2k_3528[Rsonde]),100,$D12),ResValuesR24))</f>
        <v>509.99999999999994</v>
      </c>
      <c r="K11" s="9">
        <f ca="1">ROUND(data_NTC_2.2k_3528[[#This Row],[RaddHigh]]+(IF(data_NTC_2.2k_3528[[#This Row],[Rsonde]]=MIN(data_NTC_2.2k_3528[Rsonde]),0,$D12)-data_NTC_2.2k_3528[[#This Row],[Rsonde]]),2)</f>
        <v>34</v>
      </c>
      <c r="L11" s="2" cm="1">
        <f t="array" aca="1" ref="L11" ca="1">IF(INDIRECT(RefCell_R77),(data_NTC_2.2k_3528[[#This Row],[Rpcb]]*INDIRECT(RefCell_R77))/(data_NTC_2.2k_3528[[#This Row],[Rpcb]]+INDIRECT(RefCell_R77)),data_NTC_2.2k_3528[[#This Row],[Rpcb]])</f>
        <v>3716.1290322580644</v>
      </c>
      <c r="N11" s="3" t="s">
        <v>178</v>
      </c>
      <c r="O11">
        <f>LN(C3)</f>
        <v>9.4635086363960887</v>
      </c>
    </row>
    <row r="12" spans="1:17" x14ac:dyDescent="0.25">
      <c r="A12" t="s">
        <v>39</v>
      </c>
      <c r="B12" s="8">
        <v>-1.5</v>
      </c>
      <c r="C12" s="9">
        <v>6724</v>
      </c>
      <c r="D12" s="9" cm="1">
        <f t="array" aca="1" ref="D12" ca="1">INDIRECT(RefCell_Rpot)+SUM(G12:G$34)</f>
        <v>6730</v>
      </c>
      <c r="E12" s="9">
        <f ca="1">data_NTC_2.2k_3528[[#This Row],[Rpcb]]-data_NTC_2.2k_3528[[#This Row],[Rsonde]]</f>
        <v>6</v>
      </c>
      <c r="F12" s="4">
        <f ca="1">data_NTC_2.2k_3528[[#This Row],[Diff R]]/data_NTC_2.2k_3528[[#This Row],[Rsonde]]</f>
        <v>8.92325996430696E-4</v>
      </c>
      <c r="G12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470</v>
      </c>
      <c r="H12" s="9" cm="1">
        <f t="array" aca="1" ref="H12" ca="1">MAX(IF(ResValuesR24&lt;=ROUND(data_NTC_2.2k_3528[[#This Row],[Rsonde]],2)-IF(data_NTC_2.2k_3528[[#This Row],[Rsonde]]=MIN(data_NTC_2.2k_3528[Rsonde]),100,$D13),ResValuesR24))</f>
        <v>430</v>
      </c>
      <c r="I12" s="9">
        <f ca="1">ROUND(data_NTC_2.2k_3528[[#This Row],[RaddLow]]+(IF(data_NTC_2.2k_3528[[#This Row],[Rsonde]]=MIN(data_NTC_2.2k_3528[Rsonde]),0,$D13)-data_NTC_2.2k_3528[[#This Row],[Rsonde]]),2)</f>
        <v>-34</v>
      </c>
      <c r="J12" s="9" cm="1">
        <f t="array" aca="1" ref="J12" ca="1">MIN(IF(ResValuesR24&gt;=ROUND(data_NTC_2.2k_3528[[#This Row],[Rsonde]],2)-IF(data_NTC_2.2k_3528[[#This Row],[Rsonde]]=MIN(data_NTC_2.2k_3528[Rsonde]),100,$D13),ResValuesR24))</f>
        <v>470</v>
      </c>
      <c r="K12" s="9">
        <f ca="1">ROUND(data_NTC_2.2k_3528[[#This Row],[RaddHigh]]+(IF(data_NTC_2.2k_3528[[#This Row],[Rsonde]]=MIN(data_NTC_2.2k_3528[Rsonde]),0,$D13)-data_NTC_2.2k_3528[[#This Row],[Rsonde]]),2)</f>
        <v>6</v>
      </c>
      <c r="L12" s="2" cm="1">
        <f t="array" aca="1" ref="L12" ca="1">IF(INDIRECT(RefCell_R77),(data_NTC_2.2k_3528[[#This Row],[Rpcb]]*INDIRECT(RefCell_R77))/(data_NTC_2.2k_3528[[#This Row],[Rpcb]]+INDIRECT(RefCell_R77)),data_NTC_2.2k_3528[[#This Row],[Rpcb]])</f>
        <v>3586.8424705065927</v>
      </c>
      <c r="N12" s="3" t="s">
        <v>179</v>
      </c>
      <c r="O12">
        <f>LN(C17)</f>
        <v>8.4772041831998735</v>
      </c>
    </row>
    <row r="13" spans="1:17" x14ac:dyDescent="0.25">
      <c r="A13" t="s">
        <v>38</v>
      </c>
      <c r="B13" s="8">
        <v>0</v>
      </c>
      <c r="C13" s="9">
        <v>6278</v>
      </c>
      <c r="D13" s="9" cm="1">
        <f t="array" aca="1" ref="D13" ca="1">INDIRECT(RefCell_Rpot)+SUM(G13:G$34)</f>
        <v>6260</v>
      </c>
      <c r="E13" s="9">
        <f ca="1">data_NTC_2.2k_3528[[#This Row],[Rpcb]]-data_NTC_2.2k_3528[[#This Row],[Rsonde]]</f>
        <v>-18</v>
      </c>
      <c r="F13" s="4">
        <f ca="1">data_NTC_2.2k_3528[[#This Row],[Diff R]]/data_NTC_2.2k_3528[[#This Row],[Rsonde]]</f>
        <v>-2.8671551449506211E-3</v>
      </c>
      <c r="G13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390</v>
      </c>
      <c r="H13" s="9" cm="1">
        <f t="array" aca="1" ref="H13" ca="1">MAX(IF(ResValuesR24&lt;=ROUND(data_NTC_2.2k_3528[[#This Row],[Rsonde]],2)-IF(data_NTC_2.2k_3528[[#This Row],[Rsonde]]=MIN(data_NTC_2.2k_3528[Rsonde]),100,$D14),ResValuesR24))</f>
        <v>390</v>
      </c>
      <c r="I13" s="9">
        <f ca="1">ROUND(data_NTC_2.2k_3528[[#This Row],[RaddLow]]+(IF(data_NTC_2.2k_3528[[#This Row],[Rsonde]]=MIN(data_NTC_2.2k_3528[Rsonde]),0,$D14)-data_NTC_2.2k_3528[[#This Row],[Rsonde]]),2)</f>
        <v>-18</v>
      </c>
      <c r="J13" s="9" cm="1">
        <f t="array" aca="1" ref="J13" ca="1">MIN(IF(ResValuesR24&gt;=ROUND(data_NTC_2.2k_3528[[#This Row],[Rsonde]],2)-IF(data_NTC_2.2k_3528[[#This Row],[Rsonde]]=MIN(data_NTC_2.2k_3528[Rsonde]),100,$D14),ResValuesR24))</f>
        <v>430</v>
      </c>
      <c r="K13" s="9">
        <f ca="1">ROUND(data_NTC_2.2k_3528[[#This Row],[RaddHigh]]+(IF(data_NTC_2.2k_3528[[#This Row],[Rsonde]]=MIN(data_NTC_2.2k_3528[Rsonde]),0,$D14)-data_NTC_2.2k_3528[[#This Row],[Rsonde]]),2)</f>
        <v>22</v>
      </c>
      <c r="L13" s="2" cm="1">
        <f t="array" aca="1" ref="L13" ca="1">IF(INDIRECT(RefCell_R77),(data_NTC_2.2k_3528[[#This Row],[Rpcb]]*INDIRECT(RefCell_R77))/(data_NTC_2.2k_3528[[#This Row],[Rpcb]]+INDIRECT(RefCell_R77)),data_NTC_2.2k_3528[[#This Row],[Rpcb]])</f>
        <v>3448.8378766140604</v>
      </c>
      <c r="N13" s="3" t="s">
        <v>180</v>
      </c>
      <c r="O13">
        <f>LN(C31)</f>
        <v>7.6192334162268054</v>
      </c>
    </row>
    <row r="14" spans="1:17" x14ac:dyDescent="0.25">
      <c r="A14" t="s">
        <v>37</v>
      </c>
      <c r="B14" s="8">
        <v>1.5</v>
      </c>
      <c r="C14" s="9">
        <v>5866</v>
      </c>
      <c r="D14" s="9" cm="1">
        <f t="array" aca="1" ref="D14" ca="1">INDIRECT(RefCell_Rpot)+SUM(G14:G$34)</f>
        <v>5870</v>
      </c>
      <c r="E14" s="9">
        <f ca="1">data_NTC_2.2k_3528[[#This Row],[Rpcb]]-data_NTC_2.2k_3528[[#This Row],[Rsonde]]</f>
        <v>4</v>
      </c>
      <c r="F14" s="4">
        <f ca="1">data_NTC_2.2k_3528[[#This Row],[Diff R]]/data_NTC_2.2k_3528[[#This Row],[Rsonde]]</f>
        <v>6.8189566996249571E-4</v>
      </c>
      <c r="G14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390</v>
      </c>
      <c r="H14" s="9" cm="1">
        <f t="array" aca="1" ref="H14" ca="1">MAX(IF(ResValuesR24&lt;=ROUND(data_NTC_2.2k_3528[[#This Row],[Rsonde]],2)-IF(data_NTC_2.2k_3528[[#This Row],[Rsonde]]=MIN(data_NTC_2.2k_3528[Rsonde]),100,$D15),ResValuesR24))</f>
        <v>360</v>
      </c>
      <c r="I14" s="9">
        <f ca="1">ROUND(data_NTC_2.2k_3528[[#This Row],[RaddLow]]+(IF(data_NTC_2.2k_3528[[#This Row],[Rsonde]]=MIN(data_NTC_2.2k_3528[Rsonde]),0,$D15)-data_NTC_2.2k_3528[[#This Row],[Rsonde]]),2)</f>
        <v>-26</v>
      </c>
      <c r="J14" s="9" cm="1">
        <f t="array" aca="1" ref="J14" ca="1">MIN(IF(ResValuesR24&gt;=ROUND(data_NTC_2.2k_3528[[#This Row],[Rsonde]],2)-IF(data_NTC_2.2k_3528[[#This Row],[Rsonde]]=MIN(data_NTC_2.2k_3528[Rsonde]),100,$D15),ResValuesR24))</f>
        <v>390</v>
      </c>
      <c r="K14" s="9">
        <f ca="1">ROUND(data_NTC_2.2k_3528[[#This Row],[RaddHigh]]+(IF(data_NTC_2.2k_3528[[#This Row],[Rsonde]]=MIN(data_NTC_2.2k_3528[Rsonde]),0,$D15)-data_NTC_2.2k_3528[[#This Row],[Rsonde]]),2)</f>
        <v>4</v>
      </c>
      <c r="L14" s="2" cm="1">
        <f t="array" aca="1" ref="L14" ca="1">IF(INDIRECT(RefCell_R77),(data_NTC_2.2k_3528[[#This Row],[Rpcb]]*INDIRECT(RefCell_R77))/(data_NTC_2.2k_3528[[#This Row],[Rpcb]]+INDIRECT(RefCell_R77)),data_NTC_2.2k_3528[[#This Row],[Rpcb]])</f>
        <v>3327.0553505535054</v>
      </c>
      <c r="N14" s="3" t="s">
        <v>175</v>
      </c>
      <c r="O14">
        <f>1/(B3+273.15)</f>
        <v>3.8737168312996321E-3</v>
      </c>
    </row>
    <row r="15" spans="1:17" x14ac:dyDescent="0.25">
      <c r="A15" t="s">
        <v>36</v>
      </c>
      <c r="B15" s="8">
        <v>3</v>
      </c>
      <c r="C15" s="9">
        <v>5485</v>
      </c>
      <c r="D15" s="9" cm="1">
        <f t="array" aca="1" ref="D15" ca="1">INDIRECT(RefCell_Rpot)+SUM(G15:G$34)</f>
        <v>5480</v>
      </c>
      <c r="E15" s="9">
        <f ca="1">data_NTC_2.2k_3528[[#This Row],[Rpcb]]-data_NTC_2.2k_3528[[#This Row],[Rsonde]]</f>
        <v>-5</v>
      </c>
      <c r="F15" s="4">
        <f ca="1">data_NTC_2.2k_3528[[#This Row],[Diff R]]/data_NTC_2.2k_3528[[#This Row],[Rsonde]]</f>
        <v>-9.1157702825888785E-4</v>
      </c>
      <c r="G15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360</v>
      </c>
      <c r="H15" s="9" cm="1">
        <f t="array" aca="1" ref="H15" ca="1">MAX(IF(ResValuesR24&lt;=ROUND(data_NTC_2.2k_3528[[#This Row],[Rsonde]],2)-IF(data_NTC_2.2k_3528[[#This Row],[Rsonde]]=MIN(data_NTC_2.2k_3528[Rsonde]),100,$D16),ResValuesR24))</f>
        <v>360</v>
      </c>
      <c r="I15" s="9">
        <f ca="1">ROUND(data_NTC_2.2k_3528[[#This Row],[RaddLow]]+(IF(data_NTC_2.2k_3528[[#This Row],[Rsonde]]=MIN(data_NTC_2.2k_3528[Rsonde]),0,$D16)-data_NTC_2.2k_3528[[#This Row],[Rsonde]]),2)</f>
        <v>-5</v>
      </c>
      <c r="J15" s="9" cm="1">
        <f t="array" aca="1" ref="J15" ca="1">MIN(IF(ResValuesR24&gt;=ROUND(data_NTC_2.2k_3528[[#This Row],[Rsonde]],2)-IF(data_NTC_2.2k_3528[[#This Row],[Rsonde]]=MIN(data_NTC_2.2k_3528[Rsonde]),100,$D16),ResValuesR24))</f>
        <v>390</v>
      </c>
      <c r="K15" s="9">
        <f ca="1">ROUND(data_NTC_2.2k_3528[[#This Row],[RaddHigh]]+(IF(data_NTC_2.2k_3528[[#This Row],[Rsonde]]=MIN(data_NTC_2.2k_3528[Rsonde]),0,$D16)-data_NTC_2.2k_3528[[#This Row],[Rsonde]]),2)</f>
        <v>25</v>
      </c>
      <c r="L15" s="2" cm="1">
        <f t="array" aca="1" ref="L15" ca="1">IF(INDIRECT(RefCell_R77),(data_NTC_2.2k_3528[[#This Row],[Rpcb]]*INDIRECT(RefCell_R77))/(data_NTC_2.2k_3528[[#This Row],[Rpcb]]+INDIRECT(RefCell_R77)),data_NTC_2.2k_3528[[#This Row],[Rpcb]])</f>
        <v>3198.0547112462004</v>
      </c>
      <c r="N15" s="3" t="s">
        <v>176</v>
      </c>
      <c r="O15">
        <f>1/(B17+273.15)</f>
        <v>3.5823034210997673E-3</v>
      </c>
    </row>
    <row r="16" spans="1:17" x14ac:dyDescent="0.25">
      <c r="A16" t="s">
        <v>35</v>
      </c>
      <c r="B16" s="8">
        <v>4.5</v>
      </c>
      <c r="C16" s="9">
        <v>5132</v>
      </c>
      <c r="D16" s="9" cm="1">
        <f t="array" aca="1" ref="D16" ca="1">INDIRECT(RefCell_Rpot)+SUM(G16:G$34)</f>
        <v>5120</v>
      </c>
      <c r="E16" s="9">
        <f ca="1">data_NTC_2.2k_3528[[#This Row],[Rpcb]]-data_NTC_2.2k_3528[[#This Row],[Rsonde]]</f>
        <v>-12</v>
      </c>
      <c r="F16" s="4">
        <f ca="1">data_NTC_2.2k_3528[[#This Row],[Diff R]]/data_NTC_2.2k_3528[[#This Row],[Rsonde]]</f>
        <v>-2.3382696804364772E-3</v>
      </c>
      <c r="G16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330</v>
      </c>
      <c r="H16" s="9" cm="1">
        <f t="array" aca="1" ref="H16" ca="1">MAX(IF(ResValuesR24&lt;=ROUND(data_NTC_2.2k_3528[[#This Row],[Rsonde]],2)-IF(data_NTC_2.2k_3528[[#This Row],[Rsonde]]=MIN(data_NTC_2.2k_3528[Rsonde]),100,$D17),ResValuesR24))</f>
        <v>330</v>
      </c>
      <c r="I16" s="9">
        <f ca="1">ROUND(data_NTC_2.2k_3528[[#This Row],[RaddLow]]+(IF(data_NTC_2.2k_3528[[#This Row],[Rsonde]]=MIN(data_NTC_2.2k_3528[Rsonde]),0,$D17)-data_NTC_2.2k_3528[[#This Row],[Rsonde]]),2)</f>
        <v>-12</v>
      </c>
      <c r="J16" s="9" cm="1">
        <f t="array" aca="1" ref="J16" ca="1">MIN(IF(ResValuesR24&gt;=ROUND(data_NTC_2.2k_3528[[#This Row],[Rsonde]],2)-IF(data_NTC_2.2k_3528[[#This Row],[Rsonde]]=MIN(data_NTC_2.2k_3528[Rsonde]),100,$D17),ResValuesR24))</f>
        <v>360</v>
      </c>
      <c r="K16" s="9">
        <f ca="1">ROUND(data_NTC_2.2k_3528[[#This Row],[RaddHigh]]+(IF(data_NTC_2.2k_3528[[#This Row],[Rsonde]]=MIN(data_NTC_2.2k_3528[Rsonde]),0,$D17)-data_NTC_2.2k_3528[[#This Row],[Rsonde]]),2)</f>
        <v>18</v>
      </c>
      <c r="L16" s="2" cm="1">
        <f t="array" aca="1" ref="L16" ca="1">IF(INDIRECT(RefCell_R77),(data_NTC_2.2k_3528[[#This Row],[Rpcb]]*INDIRECT(RefCell_R77))/(data_NTC_2.2k_3528[[#This Row],[Rpcb]]+INDIRECT(RefCell_R77)),data_NTC_2.2k_3528[[#This Row],[Rpcb]])</f>
        <v>3072</v>
      </c>
      <c r="N16" s="3" t="s">
        <v>177</v>
      </c>
      <c r="O16">
        <f>1/(B31+273.15)</f>
        <v>3.331667499583542E-3</v>
      </c>
    </row>
    <row r="17" spans="1:12" x14ac:dyDescent="0.25">
      <c r="A17" t="s">
        <v>34</v>
      </c>
      <c r="B17" s="8">
        <v>6</v>
      </c>
      <c r="C17" s="9">
        <v>4804</v>
      </c>
      <c r="D17" s="9" cm="1">
        <f t="array" aca="1" ref="D17" ca="1">INDIRECT(RefCell_Rpot)+SUM(G17:G$34)</f>
        <v>4790</v>
      </c>
      <c r="E17" s="9">
        <f ca="1">data_NTC_2.2k_3528[[#This Row],[Rpcb]]-data_NTC_2.2k_3528[[#This Row],[Rsonde]]</f>
        <v>-14</v>
      </c>
      <c r="F17" s="4">
        <f ca="1">data_NTC_2.2k_3528[[#This Row],[Diff R]]/data_NTC_2.2k_3528[[#This Row],[Rsonde]]</f>
        <v>-2.9142381348875937E-3</v>
      </c>
      <c r="G17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300</v>
      </c>
      <c r="H17" s="9" cm="1">
        <f t="array" aca="1" ref="H17" ca="1">MAX(IF(ResValuesR24&lt;=ROUND(data_NTC_2.2k_3528[[#This Row],[Rsonde]],2)-IF(data_NTC_2.2k_3528[[#This Row],[Rsonde]]=MIN(data_NTC_2.2k_3528[Rsonde]),100,$D18),ResValuesR24))</f>
        <v>300</v>
      </c>
      <c r="I17" s="9">
        <f ca="1">ROUND(data_NTC_2.2k_3528[[#This Row],[RaddLow]]+(IF(data_NTC_2.2k_3528[[#This Row],[Rsonde]]=MIN(data_NTC_2.2k_3528[Rsonde]),0,$D18)-data_NTC_2.2k_3528[[#This Row],[Rsonde]]),2)</f>
        <v>-14</v>
      </c>
      <c r="J17" s="9" cm="1">
        <f t="array" aca="1" ref="J17" ca="1">MIN(IF(ResValuesR24&gt;=ROUND(data_NTC_2.2k_3528[[#This Row],[Rsonde]],2)-IF(data_NTC_2.2k_3528[[#This Row],[Rsonde]]=MIN(data_NTC_2.2k_3528[Rsonde]),100,$D18),ResValuesR24))</f>
        <v>330</v>
      </c>
      <c r="K17" s="9">
        <f ca="1">ROUND(data_NTC_2.2k_3528[[#This Row],[RaddHigh]]+(IF(data_NTC_2.2k_3528[[#This Row],[Rsonde]]=MIN(data_NTC_2.2k_3528[Rsonde]),0,$D18)-data_NTC_2.2k_3528[[#This Row],[Rsonde]]),2)</f>
        <v>16</v>
      </c>
      <c r="L17" s="2" cm="1">
        <f t="array" aca="1" ref="L17" ca="1">IF(INDIRECT(RefCell_R77),(data_NTC_2.2k_3528[[#This Row],[Rpcb]]*INDIRECT(RefCell_R77))/(data_NTC_2.2k_3528[[#This Row],[Rpcb]]+INDIRECT(RefCell_R77)),data_NTC_2.2k_3528[[#This Row],[Rpcb]])</f>
        <v>2950.0561347233361</v>
      </c>
    </row>
    <row r="18" spans="1:12" x14ac:dyDescent="0.25">
      <c r="A18" t="s">
        <v>33</v>
      </c>
      <c r="B18" s="8">
        <v>7.5</v>
      </c>
      <c r="C18" s="9">
        <v>4501</v>
      </c>
      <c r="D18" s="9" cm="1">
        <f t="array" aca="1" ref="D18" ca="1">INDIRECT(RefCell_Rpot)+SUM(G18:G$34)</f>
        <v>4490</v>
      </c>
      <c r="E18" s="9">
        <f ca="1">data_NTC_2.2k_3528[[#This Row],[Rpcb]]-data_NTC_2.2k_3528[[#This Row],[Rsonde]]</f>
        <v>-11</v>
      </c>
      <c r="F18" s="4">
        <f ca="1">data_NTC_2.2k_3528[[#This Row],[Diff R]]/data_NTC_2.2k_3528[[#This Row],[Rsonde]]</f>
        <v>-2.443901355254388E-3</v>
      </c>
      <c r="G18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270</v>
      </c>
      <c r="H18" s="9" cm="1">
        <f t="array" aca="1" ref="H18" ca="1">MAX(IF(ResValuesR24&lt;=ROUND(data_NTC_2.2k_3528[[#This Row],[Rsonde]],2)-IF(data_NTC_2.2k_3528[[#This Row],[Rsonde]]=MIN(data_NTC_2.2k_3528[Rsonde]),100,$D19),ResValuesR24))</f>
        <v>270</v>
      </c>
      <c r="I18" s="9">
        <f ca="1">ROUND(data_NTC_2.2k_3528[[#This Row],[RaddLow]]+(IF(data_NTC_2.2k_3528[[#This Row],[Rsonde]]=MIN(data_NTC_2.2k_3528[Rsonde]),0,$D19)-data_NTC_2.2k_3528[[#This Row],[Rsonde]]),2)</f>
        <v>-11</v>
      </c>
      <c r="J18" s="9" cm="1">
        <f t="array" aca="1" ref="J18" ca="1">MIN(IF(ResValuesR24&gt;=ROUND(data_NTC_2.2k_3528[[#This Row],[Rsonde]],2)-IF(data_NTC_2.2k_3528[[#This Row],[Rsonde]]=MIN(data_NTC_2.2k_3528[Rsonde]),100,$D19),ResValuesR24))</f>
        <v>300</v>
      </c>
      <c r="K18" s="9">
        <f ca="1">ROUND(data_NTC_2.2k_3528[[#This Row],[RaddHigh]]+(IF(data_NTC_2.2k_3528[[#This Row],[Rsonde]]=MIN(data_NTC_2.2k_3528[Rsonde]),0,$D19)-data_NTC_2.2k_3528[[#This Row],[Rsonde]]),2)</f>
        <v>19</v>
      </c>
      <c r="L18" s="2" cm="1">
        <f t="array" aca="1" ref="L18" ca="1">IF(INDIRECT(RefCell_R77),(data_NTC_2.2k_3528[[#This Row],[Rpcb]]*INDIRECT(RefCell_R77))/(data_NTC_2.2k_3528[[#This Row],[Rpcb]]+INDIRECT(RefCell_R77)),data_NTC_2.2k_3528[[#This Row],[Rpcb]])</f>
        <v>2833.4593262119965</v>
      </c>
    </row>
    <row r="19" spans="1:12" x14ac:dyDescent="0.25">
      <c r="A19" t="s">
        <v>32</v>
      </c>
      <c r="B19" s="8">
        <v>9</v>
      </c>
      <c r="C19" s="9">
        <v>4220</v>
      </c>
      <c r="D19" s="9" cm="1">
        <f t="array" aca="1" ref="D19" ca="1">INDIRECT(RefCell_Rpot)+SUM(G19:G$34)</f>
        <v>4220</v>
      </c>
      <c r="E19" s="9">
        <f ca="1">data_NTC_2.2k_3528[[#This Row],[Rpcb]]-data_NTC_2.2k_3528[[#This Row],[Rsonde]]</f>
        <v>0</v>
      </c>
      <c r="F19" s="4">
        <f ca="1">data_NTC_2.2k_3528[[#This Row],[Diff R]]/data_NTC_2.2k_3528[[#This Row],[Rsonde]]</f>
        <v>0</v>
      </c>
      <c r="G19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270</v>
      </c>
      <c r="H19" s="9" cm="1">
        <f t="array" aca="1" ref="H19" ca="1">MAX(IF(ResValuesR24&lt;=ROUND(data_NTC_2.2k_3528[[#This Row],[Rsonde]],2)-IF(data_NTC_2.2k_3528[[#This Row],[Rsonde]]=MIN(data_NTC_2.2k_3528[Rsonde]),100,$D20),ResValuesR24))</f>
        <v>270</v>
      </c>
      <c r="I19" s="9">
        <f ca="1">ROUND(data_NTC_2.2k_3528[[#This Row],[RaddLow]]+(IF(data_NTC_2.2k_3528[[#This Row],[Rsonde]]=MIN(data_NTC_2.2k_3528[Rsonde]),0,$D20)-data_NTC_2.2k_3528[[#This Row],[Rsonde]]),2)</f>
        <v>0</v>
      </c>
      <c r="J19" s="9" cm="1">
        <f t="array" aca="1" ref="J19" ca="1">MIN(IF(ResValuesR24&gt;=ROUND(data_NTC_2.2k_3528[[#This Row],[Rsonde]],2)-IF(data_NTC_2.2k_3528[[#This Row],[Rsonde]]=MIN(data_NTC_2.2k_3528[Rsonde]),100,$D20),ResValuesR24))</f>
        <v>270</v>
      </c>
      <c r="K19" s="9">
        <f ca="1">ROUND(data_NTC_2.2k_3528[[#This Row],[RaddHigh]]+(IF(data_NTC_2.2k_3528[[#This Row],[Rsonde]]=MIN(data_NTC_2.2k_3528[Rsonde]),0,$D20)-data_NTC_2.2k_3528[[#This Row],[Rsonde]]),2)</f>
        <v>0</v>
      </c>
      <c r="L19" s="2" cm="1">
        <f t="array" aca="1" ref="L19" ca="1">IF(INDIRECT(RefCell_R77),(data_NTC_2.2k_3528[[#This Row],[Rpcb]]*INDIRECT(RefCell_R77))/(data_NTC_2.2k_3528[[#This Row],[Rpcb]]+INDIRECT(RefCell_R77)),data_NTC_2.2k_3528[[#This Row],[Rpcb]])</f>
        <v>2723.4957983193276</v>
      </c>
    </row>
    <row r="20" spans="1:12" x14ac:dyDescent="0.25">
      <c r="A20" t="s">
        <v>31</v>
      </c>
      <c r="B20" s="8">
        <v>10.5</v>
      </c>
      <c r="C20" s="9">
        <v>3958</v>
      </c>
      <c r="D20" s="9" cm="1">
        <f t="array" aca="1" ref="D20" ca="1">INDIRECT(RefCell_Rpot)+SUM(G20:G$34)</f>
        <v>3950</v>
      </c>
      <c r="E20" s="9">
        <f ca="1">data_NTC_2.2k_3528[[#This Row],[Rpcb]]-data_NTC_2.2k_3528[[#This Row],[Rsonde]]</f>
        <v>-8</v>
      </c>
      <c r="F20" s="4">
        <f ca="1">data_NTC_2.2k_3528[[#This Row],[Diff R]]/data_NTC_2.2k_3528[[#This Row],[Rsonde]]</f>
        <v>-2.0212228398180901E-3</v>
      </c>
      <c r="G20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240</v>
      </c>
      <c r="H20" s="9" cm="1">
        <f t="array" aca="1" ref="H20" ca="1">MAX(IF(ResValuesR24&lt;=ROUND(data_NTC_2.2k_3528[[#This Row],[Rsonde]],2)-IF(data_NTC_2.2k_3528[[#This Row],[Rsonde]]=MIN(data_NTC_2.2k_3528[Rsonde]),100,$D21),ResValuesR24))</f>
        <v>240</v>
      </c>
      <c r="I20" s="9">
        <f ca="1">ROUND(data_NTC_2.2k_3528[[#This Row],[RaddLow]]+(IF(data_NTC_2.2k_3528[[#This Row],[Rsonde]]=MIN(data_NTC_2.2k_3528[Rsonde]),0,$D21)-data_NTC_2.2k_3528[[#This Row],[Rsonde]]),2)</f>
        <v>-8</v>
      </c>
      <c r="J20" s="9" cm="1">
        <f t="array" aca="1" ref="J20" ca="1">MIN(IF(ResValuesR24&gt;=ROUND(data_NTC_2.2k_3528[[#This Row],[Rsonde]],2)-IF(data_NTC_2.2k_3528[[#This Row],[Rsonde]]=MIN(data_NTC_2.2k_3528[Rsonde]),100,$D21),ResValuesR24))</f>
        <v>270</v>
      </c>
      <c r="K20" s="9">
        <f ca="1">ROUND(data_NTC_2.2k_3528[[#This Row],[RaddHigh]]+(IF(data_NTC_2.2k_3528[[#This Row],[Rsonde]]=MIN(data_NTC_2.2k_3528[Rsonde]),0,$D21)-data_NTC_2.2k_3528[[#This Row],[Rsonde]]),2)</f>
        <v>22</v>
      </c>
      <c r="L20" s="2" cm="1">
        <f t="array" aca="1" ref="L20" ca="1">IF(INDIRECT(RefCell_R77),(data_NTC_2.2k_3528[[#This Row],[Rpcb]]*INDIRECT(RefCell_R77))/(data_NTC_2.2k_3528[[#This Row],[Rpcb]]+INDIRECT(RefCell_R77)),data_NTC_2.2k_3528[[#This Row],[Rpcb]])</f>
        <v>2608.4264832330182</v>
      </c>
    </row>
    <row r="21" spans="1:12" x14ac:dyDescent="0.25">
      <c r="A21" t="s">
        <v>30</v>
      </c>
      <c r="B21" s="8">
        <v>12</v>
      </c>
      <c r="C21" s="9">
        <v>3715</v>
      </c>
      <c r="D21" s="9" cm="1">
        <f t="array" aca="1" ref="D21" ca="1">INDIRECT(RefCell_Rpot)+SUM(G21:G$34)</f>
        <v>3710</v>
      </c>
      <c r="E21" s="9">
        <f ca="1">data_NTC_2.2k_3528[[#This Row],[Rpcb]]-data_NTC_2.2k_3528[[#This Row],[Rsonde]]</f>
        <v>-5</v>
      </c>
      <c r="F21" s="4">
        <f ca="1">data_NTC_2.2k_3528[[#This Row],[Diff R]]/data_NTC_2.2k_3528[[#This Row],[Rsonde]]</f>
        <v>-1.3458950201884253E-3</v>
      </c>
      <c r="G21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220.00000000000003</v>
      </c>
      <c r="H21" s="9" cm="1">
        <f t="array" aca="1" ref="H21" ca="1">MAX(IF(ResValuesR24&lt;=ROUND(data_NTC_2.2k_3528[[#This Row],[Rsonde]],2)-IF(data_NTC_2.2k_3528[[#This Row],[Rsonde]]=MIN(data_NTC_2.2k_3528[Rsonde]),100,$D22),ResValuesR24))</f>
        <v>220.00000000000003</v>
      </c>
      <c r="I21" s="9">
        <f ca="1">ROUND(data_NTC_2.2k_3528[[#This Row],[RaddLow]]+(IF(data_NTC_2.2k_3528[[#This Row],[Rsonde]]=MIN(data_NTC_2.2k_3528[Rsonde]),0,$D22)-data_NTC_2.2k_3528[[#This Row],[Rsonde]]),2)</f>
        <v>-5</v>
      </c>
      <c r="J21" s="9" cm="1">
        <f t="array" aca="1" ref="J21" ca="1">MIN(IF(ResValuesR24&gt;=ROUND(data_NTC_2.2k_3528[[#This Row],[Rsonde]],2)-IF(data_NTC_2.2k_3528[[#This Row],[Rsonde]]=MIN(data_NTC_2.2k_3528[Rsonde]),100,$D22),ResValuesR24))</f>
        <v>240</v>
      </c>
      <c r="K21" s="9">
        <f ca="1">ROUND(data_NTC_2.2k_3528[[#This Row],[RaddHigh]]+(IF(data_NTC_2.2k_3528[[#This Row],[Rsonde]]=MIN(data_NTC_2.2k_3528[Rsonde]),0,$D22)-data_NTC_2.2k_3528[[#This Row],[Rsonde]]),2)</f>
        <v>15</v>
      </c>
      <c r="L21" s="2" cm="1">
        <f t="array" aca="1" ref="L21" ca="1">IF(INDIRECT(RefCell_R77),(data_NTC_2.2k_3528[[#This Row],[Rpcb]]*INDIRECT(RefCell_R77))/(data_NTC_2.2k_3528[[#This Row],[Rpcb]]+INDIRECT(RefCell_R77)),data_NTC_2.2k_3528[[#This Row],[Rpcb]])</f>
        <v>2501.5627743634768</v>
      </c>
    </row>
    <row r="22" spans="1:12" x14ac:dyDescent="0.25">
      <c r="A22" t="s">
        <v>29</v>
      </c>
      <c r="B22" s="8">
        <v>13.5</v>
      </c>
      <c r="C22" s="9">
        <v>3489</v>
      </c>
      <c r="D22" s="9" cm="1">
        <f t="array" aca="1" ref="D22" ca="1">INDIRECT(RefCell_Rpot)+SUM(G22:G$34)</f>
        <v>3490</v>
      </c>
      <c r="E22" s="9">
        <f ca="1">data_NTC_2.2k_3528[[#This Row],[Rpcb]]-data_NTC_2.2k_3528[[#This Row],[Rsonde]]</f>
        <v>1</v>
      </c>
      <c r="F22" s="4">
        <f ca="1">data_NTC_2.2k_3528[[#This Row],[Diff R]]/data_NTC_2.2k_3528[[#This Row],[Rsonde]]</f>
        <v>2.8661507595299513E-4</v>
      </c>
      <c r="G22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220.00000000000003</v>
      </c>
      <c r="H22" s="9" cm="1">
        <f t="array" aca="1" ref="H22" ca="1">MAX(IF(ResValuesR24&lt;=ROUND(data_NTC_2.2k_3528[[#This Row],[Rsonde]],2)-IF(data_NTC_2.2k_3528[[#This Row],[Rsonde]]=MIN(data_NTC_2.2k_3528[Rsonde]),100,$D23),ResValuesR24))</f>
        <v>200</v>
      </c>
      <c r="I22" s="9">
        <f ca="1">ROUND(data_NTC_2.2k_3528[[#This Row],[RaddLow]]+(IF(data_NTC_2.2k_3528[[#This Row],[Rsonde]]=MIN(data_NTC_2.2k_3528[Rsonde]),0,$D23)-data_NTC_2.2k_3528[[#This Row],[Rsonde]]),2)</f>
        <v>-19</v>
      </c>
      <c r="J22" s="9" cm="1">
        <f t="array" aca="1" ref="J22" ca="1">MIN(IF(ResValuesR24&gt;=ROUND(data_NTC_2.2k_3528[[#This Row],[Rsonde]],2)-IF(data_NTC_2.2k_3528[[#This Row],[Rsonde]]=MIN(data_NTC_2.2k_3528[Rsonde]),100,$D23),ResValuesR24))</f>
        <v>220.00000000000003</v>
      </c>
      <c r="K22" s="9">
        <f ca="1">ROUND(data_NTC_2.2k_3528[[#This Row],[RaddHigh]]+(IF(data_NTC_2.2k_3528[[#This Row],[Rsonde]]=MIN(data_NTC_2.2k_3528[Rsonde]),0,$D23)-data_NTC_2.2k_3528[[#This Row],[Rsonde]]),2)</f>
        <v>1</v>
      </c>
      <c r="L22" s="2" cm="1">
        <f t="array" aca="1" ref="L22" ca="1">IF(INDIRECT(RefCell_R77),(data_NTC_2.2k_3528[[#This Row],[Rpcb]]*INDIRECT(RefCell_R77))/(data_NTC_2.2k_3528[[#This Row],[Rpcb]]+INDIRECT(RefCell_R77)),data_NTC_2.2k_3528[[#This Row],[Rpcb]])</f>
        <v>2399.5702775290956</v>
      </c>
    </row>
    <row r="23" spans="1:12" x14ac:dyDescent="0.25">
      <c r="A23" t="s">
        <v>28</v>
      </c>
      <c r="B23" s="8">
        <v>15</v>
      </c>
      <c r="C23" s="9">
        <v>3279</v>
      </c>
      <c r="D23" s="9" cm="1">
        <f t="array" aca="1" ref="D23" ca="1">INDIRECT(RefCell_Rpot)+SUM(G23:G$34)</f>
        <v>3270</v>
      </c>
      <c r="E23" s="9">
        <f ca="1">data_NTC_2.2k_3528[[#This Row],[Rpcb]]-data_NTC_2.2k_3528[[#This Row],[Rsonde]]</f>
        <v>-9</v>
      </c>
      <c r="F23" s="4">
        <f ca="1">data_NTC_2.2k_3528[[#This Row],[Diff R]]/data_NTC_2.2k_3528[[#This Row],[Rsonde]]</f>
        <v>-2.7447392497712718E-3</v>
      </c>
      <c r="G23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180</v>
      </c>
      <c r="H23" s="9" cm="1">
        <f t="array" aca="1" ref="H23" ca="1">MAX(IF(ResValuesR24&lt;=ROUND(data_NTC_2.2k_3528[[#This Row],[Rsonde]],2)-IF(data_NTC_2.2k_3528[[#This Row],[Rsonde]]=MIN(data_NTC_2.2k_3528[Rsonde]),100,$D24),ResValuesR24))</f>
        <v>180</v>
      </c>
      <c r="I23" s="9">
        <f ca="1">ROUND(data_NTC_2.2k_3528[[#This Row],[RaddLow]]+(IF(data_NTC_2.2k_3528[[#This Row],[Rsonde]]=MIN(data_NTC_2.2k_3528[Rsonde]),0,$D24)-data_NTC_2.2k_3528[[#This Row],[Rsonde]]),2)</f>
        <v>-9</v>
      </c>
      <c r="J23" s="9" cm="1">
        <f t="array" aca="1" ref="J23" ca="1">MIN(IF(ResValuesR24&gt;=ROUND(data_NTC_2.2k_3528[[#This Row],[Rsonde]],2)-IF(data_NTC_2.2k_3528[[#This Row],[Rsonde]]=MIN(data_NTC_2.2k_3528[Rsonde]),100,$D24),ResValuesR24))</f>
        <v>200</v>
      </c>
      <c r="K23" s="9">
        <f ca="1">ROUND(data_NTC_2.2k_3528[[#This Row],[RaddHigh]]+(IF(data_NTC_2.2k_3528[[#This Row],[Rsonde]]=MIN(data_NTC_2.2k_3528[Rsonde]),0,$D24)-data_NTC_2.2k_3528[[#This Row],[Rsonde]]),2)</f>
        <v>11</v>
      </c>
      <c r="L23" s="2" cm="1">
        <f t="array" aca="1" ref="L23" ca="1">IF(INDIRECT(RefCell_R77),(data_NTC_2.2k_3528[[#This Row],[Rpcb]]*INDIRECT(RefCell_R77))/(data_NTC_2.2k_3528[[#This Row],[Rpcb]]+INDIRECT(RefCell_R77)),data_NTC_2.2k_3528[[#This Row],[Rpcb]])</f>
        <v>2293.4794520547944</v>
      </c>
    </row>
    <row r="24" spans="1:12" x14ac:dyDescent="0.25">
      <c r="A24" t="s">
        <v>27</v>
      </c>
      <c r="B24" s="8">
        <v>16.5</v>
      </c>
      <c r="C24" s="9">
        <v>3084</v>
      </c>
      <c r="D24" s="9" cm="1">
        <f t="array" aca="1" ref="D24" ca="1">INDIRECT(RefCell_Rpot)+SUM(G24:G$34)</f>
        <v>3090</v>
      </c>
      <c r="E24" s="9">
        <f ca="1">data_NTC_2.2k_3528[[#This Row],[Rpcb]]-data_NTC_2.2k_3528[[#This Row],[Rsonde]]</f>
        <v>6</v>
      </c>
      <c r="F24" s="4">
        <f ca="1">data_NTC_2.2k_3528[[#This Row],[Diff R]]/data_NTC_2.2k_3528[[#This Row],[Rsonde]]</f>
        <v>1.9455252918287938E-3</v>
      </c>
      <c r="G24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180</v>
      </c>
      <c r="H24" s="9" cm="1">
        <f t="array" aca="1" ref="H24" ca="1">MAX(IF(ResValuesR24&lt;=ROUND(data_NTC_2.2k_3528[[#This Row],[Rsonde]],2)-IF(data_NTC_2.2k_3528[[#This Row],[Rsonde]]=MIN(data_NTC_2.2k_3528[Rsonde]),100,$D25),ResValuesR24))</f>
        <v>160</v>
      </c>
      <c r="I24" s="9">
        <f ca="1">ROUND(data_NTC_2.2k_3528[[#This Row],[RaddLow]]+(IF(data_NTC_2.2k_3528[[#This Row],[Rsonde]]=MIN(data_NTC_2.2k_3528[Rsonde]),0,$D25)-data_NTC_2.2k_3528[[#This Row],[Rsonde]]),2)</f>
        <v>-14</v>
      </c>
      <c r="J24" s="9" cm="1">
        <f t="array" aca="1" ref="J24" ca="1">MIN(IF(ResValuesR24&gt;=ROUND(data_NTC_2.2k_3528[[#This Row],[Rsonde]],2)-IF(data_NTC_2.2k_3528[[#This Row],[Rsonde]]=MIN(data_NTC_2.2k_3528[Rsonde]),100,$D25),ResValuesR24))</f>
        <v>180</v>
      </c>
      <c r="K24" s="9">
        <f ca="1">ROUND(data_NTC_2.2k_3528[[#This Row],[RaddHigh]]+(IF(data_NTC_2.2k_3528[[#This Row],[Rsonde]]=MIN(data_NTC_2.2k_3528[Rsonde]),0,$D25)-data_NTC_2.2k_3528[[#This Row],[Rsonde]]),2)</f>
        <v>6</v>
      </c>
      <c r="L24" s="2" cm="1">
        <f t="array" aca="1" ref="L24" ca="1">IF(INDIRECT(RefCell_R77),(data_NTC_2.2k_3528[[#This Row],[Rpcb]]*INDIRECT(RefCell_R77))/(data_NTC_2.2k_3528[[#This Row],[Rpcb]]+INDIRECT(RefCell_R77)),data_NTC_2.2k_3528[[#This Row],[Rpcb]])</f>
        <v>2203.4540389972144</v>
      </c>
    </row>
    <row r="25" spans="1:12" x14ac:dyDescent="0.25">
      <c r="A25" t="s">
        <v>26</v>
      </c>
      <c r="B25" s="8">
        <v>18</v>
      </c>
      <c r="C25" s="9">
        <v>2901</v>
      </c>
      <c r="D25" s="9" cm="1">
        <f t="array" aca="1" ref="D25" ca="1">INDIRECT(RefCell_Rpot)+SUM(G25:G$34)</f>
        <v>2910</v>
      </c>
      <c r="E25" s="9">
        <f ca="1">data_NTC_2.2k_3528[[#This Row],[Rpcb]]-data_NTC_2.2k_3528[[#This Row],[Rsonde]]</f>
        <v>9</v>
      </c>
      <c r="F25" s="4">
        <f ca="1">data_NTC_2.2k_3528[[#This Row],[Diff R]]/data_NTC_2.2k_3528[[#This Row],[Rsonde]]</f>
        <v>3.1023784901758012E-3</v>
      </c>
      <c r="G25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180</v>
      </c>
      <c r="H25" s="9" cm="1">
        <f t="array" aca="1" ref="H25" ca="1">MAX(IF(ResValuesR24&lt;=ROUND(data_NTC_2.2k_3528[[#This Row],[Rsonde]],2)-IF(data_NTC_2.2k_3528[[#This Row],[Rsonde]]=MIN(data_NTC_2.2k_3528[Rsonde]),100,$D26),ResValuesR24))</f>
        <v>160</v>
      </c>
      <c r="I25" s="9">
        <f ca="1">ROUND(data_NTC_2.2k_3528[[#This Row],[RaddLow]]+(IF(data_NTC_2.2k_3528[[#This Row],[Rsonde]]=MIN(data_NTC_2.2k_3528[Rsonde]),0,$D26)-data_NTC_2.2k_3528[[#This Row],[Rsonde]]),2)</f>
        <v>-11</v>
      </c>
      <c r="J25" s="9" cm="1">
        <f t="array" aca="1" ref="J25" ca="1">MIN(IF(ResValuesR24&gt;=ROUND(data_NTC_2.2k_3528[[#This Row],[Rsonde]],2)-IF(data_NTC_2.2k_3528[[#This Row],[Rsonde]]=MIN(data_NTC_2.2k_3528[Rsonde]),100,$D26),ResValuesR24))</f>
        <v>180</v>
      </c>
      <c r="K25" s="9">
        <f ca="1">ROUND(data_NTC_2.2k_3528[[#This Row],[RaddHigh]]+(IF(data_NTC_2.2k_3528[[#This Row],[Rsonde]]=MIN(data_NTC_2.2k_3528[Rsonde]),0,$D26)-data_NTC_2.2k_3528[[#This Row],[Rsonde]]),2)</f>
        <v>9</v>
      </c>
      <c r="L25" s="2" cm="1">
        <f t="array" aca="1" ref="L25" ca="1">IF(INDIRECT(RefCell_R77),(data_NTC_2.2k_3528[[#This Row],[Rpcb]]*INDIRECT(RefCell_R77))/(data_NTC_2.2k_3528[[#This Row],[Rpcb]]+INDIRECT(RefCell_R77)),data_NTC_2.2k_3528[[#This Row],[Rpcb]])</f>
        <v>2110.3682719546741</v>
      </c>
    </row>
    <row r="26" spans="1:12" x14ac:dyDescent="0.25">
      <c r="A26" t="s">
        <v>25</v>
      </c>
      <c r="B26" s="8">
        <v>19.5</v>
      </c>
      <c r="C26" s="9">
        <v>2732</v>
      </c>
      <c r="D26" s="9" cm="1">
        <f t="array" aca="1" ref="D26" ca="1">INDIRECT(RefCell_Rpot)+SUM(G26:G$34)</f>
        <v>2730</v>
      </c>
      <c r="E26" s="9">
        <f ca="1">data_NTC_2.2k_3528[[#This Row],[Rpcb]]-data_NTC_2.2k_3528[[#This Row],[Rsonde]]</f>
        <v>-2</v>
      </c>
      <c r="F26" s="4">
        <f ca="1">data_NTC_2.2k_3528[[#This Row],[Diff R]]/data_NTC_2.2k_3528[[#This Row],[Rsonde]]</f>
        <v>-7.320644216691069E-4</v>
      </c>
      <c r="G26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160</v>
      </c>
      <c r="H26" s="9" cm="1">
        <f t="array" aca="1" ref="H26" ca="1">MAX(IF(ResValuesR24&lt;=ROUND(data_NTC_2.2k_3528[[#This Row],[Rsonde]],2)-IF(data_NTC_2.2k_3528[[#This Row],[Rsonde]]=MIN(data_NTC_2.2k_3528[Rsonde]),100,$D27),ResValuesR24))</f>
        <v>160</v>
      </c>
      <c r="I26" s="9">
        <f ca="1">ROUND(data_NTC_2.2k_3528[[#This Row],[RaddLow]]+(IF(data_NTC_2.2k_3528[[#This Row],[Rsonde]]=MIN(data_NTC_2.2k_3528[Rsonde]),0,$D27)-data_NTC_2.2k_3528[[#This Row],[Rsonde]]),2)</f>
        <v>-2</v>
      </c>
      <c r="J26" s="9" cm="1">
        <f t="array" aca="1" ref="J26" ca="1">MIN(IF(ResValuesR24&gt;=ROUND(data_NTC_2.2k_3528[[#This Row],[Rsonde]],2)-IF(data_NTC_2.2k_3528[[#This Row],[Rsonde]]=MIN(data_NTC_2.2k_3528[Rsonde]),100,$D27),ResValuesR24))</f>
        <v>180</v>
      </c>
      <c r="K26" s="9">
        <f ca="1">ROUND(data_NTC_2.2k_3528[[#This Row],[RaddHigh]]+(IF(data_NTC_2.2k_3528[[#This Row],[Rsonde]]=MIN(data_NTC_2.2k_3528[Rsonde]),0,$D27)-data_NTC_2.2k_3528[[#This Row],[Rsonde]]),2)</f>
        <v>18</v>
      </c>
      <c r="L26" s="2" cm="1">
        <f t="array" aca="1" ref="L26" ca="1">IF(INDIRECT(RefCell_R77),(data_NTC_2.2k_3528[[#This Row],[Rpcb]]*INDIRECT(RefCell_R77))/(data_NTC_2.2k_3528[[#This Row],[Rpcb]]+INDIRECT(RefCell_R77)),data_NTC_2.2k_3528[[#This Row],[Rpcb]])</f>
        <v>2014.0634005763688</v>
      </c>
    </row>
    <row r="27" spans="1:12" x14ac:dyDescent="0.25">
      <c r="A27" t="s">
        <v>24</v>
      </c>
      <c r="B27" s="8">
        <v>21</v>
      </c>
      <c r="C27" s="9">
        <v>2573</v>
      </c>
      <c r="D27" s="9" cm="1">
        <f t="array" aca="1" ref="D27" ca="1">INDIRECT(RefCell_Rpot)+SUM(G27:G$34)</f>
        <v>2570</v>
      </c>
      <c r="E27" s="9">
        <f ca="1">data_NTC_2.2k_3528[[#This Row],[Rpcb]]-data_NTC_2.2k_3528[[#This Row],[Rsonde]]</f>
        <v>-3</v>
      </c>
      <c r="F27" s="4">
        <f ca="1">data_NTC_2.2k_3528[[#This Row],[Diff R]]/data_NTC_2.2k_3528[[#This Row],[Rsonde]]</f>
        <v>-1.165954139137194E-3</v>
      </c>
      <c r="G27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150</v>
      </c>
      <c r="H27" s="9" cm="1">
        <f t="array" aca="1" ref="H27" ca="1">MAX(IF(ResValuesR24&lt;=ROUND(data_NTC_2.2k_3528[[#This Row],[Rsonde]],2)-IF(data_NTC_2.2k_3528[[#This Row],[Rsonde]]=MIN(data_NTC_2.2k_3528[Rsonde]),100,$D28),ResValuesR24))</f>
        <v>150</v>
      </c>
      <c r="I27" s="9">
        <f ca="1">ROUND(data_NTC_2.2k_3528[[#This Row],[RaddLow]]+(IF(data_NTC_2.2k_3528[[#This Row],[Rsonde]]=MIN(data_NTC_2.2k_3528[Rsonde]),0,$D28)-data_NTC_2.2k_3528[[#This Row],[Rsonde]]),2)</f>
        <v>-3</v>
      </c>
      <c r="J27" s="9" cm="1">
        <f t="array" aca="1" ref="J27" ca="1">MIN(IF(ResValuesR24&gt;=ROUND(data_NTC_2.2k_3528[[#This Row],[Rsonde]],2)-IF(data_NTC_2.2k_3528[[#This Row],[Rsonde]]=MIN(data_NTC_2.2k_3528[Rsonde]),100,$D28),ResValuesR24))</f>
        <v>160</v>
      </c>
      <c r="K27" s="9">
        <f ca="1">ROUND(data_NTC_2.2k_3528[[#This Row],[RaddHigh]]+(IF(data_NTC_2.2k_3528[[#This Row],[Rsonde]]=MIN(data_NTC_2.2k_3528[Rsonde]),0,$D28)-data_NTC_2.2k_3528[[#This Row],[Rsonde]]),2)</f>
        <v>7</v>
      </c>
      <c r="L27" s="2" cm="1">
        <f t="array" aca="1" ref="L27" ca="1">IF(INDIRECT(RefCell_R77),(data_NTC_2.2k_3528[[#This Row],[Rpcb]]*INDIRECT(RefCell_R77))/(data_NTC_2.2k_3528[[#This Row],[Rpcb]]+INDIRECT(RefCell_R77)),data_NTC_2.2k_3528[[#This Row],[Rpcb]])</f>
        <v>1925.6195121951218</v>
      </c>
    </row>
    <row r="28" spans="1:12" x14ac:dyDescent="0.25">
      <c r="A28" t="s">
        <v>23</v>
      </c>
      <c r="B28" s="8">
        <v>22.5</v>
      </c>
      <c r="C28" s="9">
        <v>2425</v>
      </c>
      <c r="D28" s="9" cm="1">
        <f t="array" aca="1" ref="D28" ca="1">INDIRECT(RefCell_Rpot)+SUM(G28:G$34)</f>
        <v>2420</v>
      </c>
      <c r="E28" s="9">
        <f ca="1">data_NTC_2.2k_3528[[#This Row],[Rpcb]]-data_NTC_2.2k_3528[[#This Row],[Rsonde]]</f>
        <v>-5</v>
      </c>
      <c r="F28" s="4">
        <f ca="1">data_NTC_2.2k_3528[[#This Row],[Diff R]]/data_NTC_2.2k_3528[[#This Row],[Rsonde]]</f>
        <v>-2.0618556701030928E-3</v>
      </c>
      <c r="G28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130</v>
      </c>
      <c r="H28" s="9" cm="1">
        <f t="array" aca="1" ref="H28" ca="1">MAX(IF(ResValuesR24&lt;=ROUND(data_NTC_2.2k_3528[[#This Row],[Rsonde]],2)-IF(data_NTC_2.2k_3528[[#This Row],[Rsonde]]=MIN(data_NTC_2.2k_3528[Rsonde]),100,$D29),ResValuesR24))</f>
        <v>130</v>
      </c>
      <c r="I28" s="9">
        <f ca="1">ROUND(data_NTC_2.2k_3528[[#This Row],[RaddLow]]+(IF(data_NTC_2.2k_3528[[#This Row],[Rsonde]]=MIN(data_NTC_2.2k_3528[Rsonde]),0,$D29)-data_NTC_2.2k_3528[[#This Row],[Rsonde]]),2)</f>
        <v>-5</v>
      </c>
      <c r="J28" s="9" cm="1">
        <f t="array" aca="1" ref="J28" ca="1">MIN(IF(ResValuesR24&gt;=ROUND(data_NTC_2.2k_3528[[#This Row],[Rsonde]],2)-IF(data_NTC_2.2k_3528[[#This Row],[Rsonde]]=MIN(data_NTC_2.2k_3528[Rsonde]),100,$D29),ResValuesR24))</f>
        <v>150</v>
      </c>
      <c r="K28" s="9">
        <f ca="1">ROUND(data_NTC_2.2k_3528[[#This Row],[RaddHigh]]+(IF(data_NTC_2.2k_3528[[#This Row],[Rsonde]]=MIN(data_NTC_2.2k_3528[Rsonde]),0,$D29)-data_NTC_2.2k_3528[[#This Row],[Rsonde]]),2)</f>
        <v>15</v>
      </c>
      <c r="L28" s="2" cm="1">
        <f t="array" aca="1" ref="L28" ca="1">IF(INDIRECT(RefCell_R77),(data_NTC_2.2k_3528[[#This Row],[Rpcb]]*INDIRECT(RefCell_R77))/(data_NTC_2.2k_3528[[#This Row],[Rpcb]]+INDIRECT(RefCell_R77)),data_NTC_2.2k_3528[[#This Row],[Rpcb]])</f>
        <v>1840.1584158415842</v>
      </c>
    </row>
    <row r="29" spans="1:12" x14ac:dyDescent="0.25">
      <c r="A29" t="s">
        <v>22</v>
      </c>
      <c r="B29" s="8">
        <v>24</v>
      </c>
      <c r="C29" s="9">
        <v>2287</v>
      </c>
      <c r="D29" s="9" cm="1">
        <f t="array" aca="1" ref="D29" ca="1">INDIRECT(RefCell_Rpot)+SUM(G29:G$34)</f>
        <v>2290</v>
      </c>
      <c r="E29" s="9">
        <f ca="1">data_NTC_2.2k_3528[[#This Row],[Rpcb]]-data_NTC_2.2k_3528[[#This Row],[Rsonde]]</f>
        <v>3</v>
      </c>
      <c r="F29" s="4">
        <f ca="1">data_NTC_2.2k_3528[[#This Row],[Diff R]]/data_NTC_2.2k_3528[[#This Row],[Rsonde]]</f>
        <v>1.3117621337997377E-3</v>
      </c>
      <c r="G29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130</v>
      </c>
      <c r="H29" s="9" cm="1">
        <f t="array" aca="1" ref="H29" ca="1">MAX(IF(ResValuesR24&lt;=ROUND(data_NTC_2.2k_3528[[#This Row],[Rsonde]],2)-IF(data_NTC_2.2k_3528[[#This Row],[Rsonde]]=MIN(data_NTC_2.2k_3528[Rsonde]),100,$D30),ResValuesR24))</f>
        <v>120</v>
      </c>
      <c r="I29" s="9">
        <f ca="1">ROUND(data_NTC_2.2k_3528[[#This Row],[RaddLow]]+(IF(data_NTC_2.2k_3528[[#This Row],[Rsonde]]=MIN(data_NTC_2.2k_3528[Rsonde]),0,$D30)-data_NTC_2.2k_3528[[#This Row],[Rsonde]]),2)</f>
        <v>-7</v>
      </c>
      <c r="J29" s="9" cm="1">
        <f t="array" aca="1" ref="J29" ca="1">MIN(IF(ResValuesR24&gt;=ROUND(data_NTC_2.2k_3528[[#This Row],[Rsonde]],2)-IF(data_NTC_2.2k_3528[[#This Row],[Rsonde]]=MIN(data_NTC_2.2k_3528[Rsonde]),100,$D30),ResValuesR24))</f>
        <v>130</v>
      </c>
      <c r="K29" s="9">
        <f ca="1">ROUND(data_NTC_2.2k_3528[[#This Row],[RaddHigh]]+(IF(data_NTC_2.2k_3528[[#This Row],[Rsonde]]=MIN(data_NTC_2.2k_3528[Rsonde]),0,$D30)-data_NTC_2.2k_3528[[#This Row],[Rsonde]]),2)</f>
        <v>3</v>
      </c>
      <c r="L29" s="2" cm="1">
        <f t="array" aca="1" ref="L29" ca="1">IF(INDIRECT(RefCell_R77),(data_NTC_2.2k_3528[[#This Row],[Rpcb]]*INDIRECT(RefCell_R77))/(data_NTC_2.2k_3528[[#This Row],[Rpcb]]+INDIRECT(RefCell_R77)),data_NTC_2.2k_3528[[#This Row],[Rpcb]])</f>
        <v>1764.012036108325</v>
      </c>
    </row>
    <row r="30" spans="1:12" x14ac:dyDescent="0.25">
      <c r="A30" t="s">
        <v>21</v>
      </c>
      <c r="B30" s="8">
        <v>25.5</v>
      </c>
      <c r="C30" s="9">
        <v>2158</v>
      </c>
      <c r="D30" s="9" cm="1">
        <f t="array" aca="1" ref="D30" ca="1">INDIRECT(RefCell_Rpot)+SUM(G30:G$34)</f>
        <v>2160</v>
      </c>
      <c r="E30" s="9">
        <f ca="1">data_NTC_2.2k_3528[[#This Row],[Rpcb]]-data_NTC_2.2k_3528[[#This Row],[Rsonde]]</f>
        <v>2</v>
      </c>
      <c r="F30" s="4">
        <f ca="1">data_NTC_2.2k_3528[[#This Row],[Diff R]]/data_NTC_2.2k_3528[[#This Row],[Rsonde]]</f>
        <v>9.2678405931417981E-4</v>
      </c>
      <c r="G30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120</v>
      </c>
      <c r="H30" s="9" cm="1">
        <f t="array" aca="1" ref="H30" ca="1">MAX(IF(ResValuesR24&lt;=ROUND(data_NTC_2.2k_3528[[#This Row],[Rsonde]],2)-IF(data_NTC_2.2k_3528[[#This Row],[Rsonde]]=MIN(data_NTC_2.2k_3528[Rsonde]),100,$D31),ResValuesR24))</f>
        <v>110.00000000000001</v>
      </c>
      <c r="I30" s="9">
        <f ca="1">ROUND(data_NTC_2.2k_3528[[#This Row],[RaddLow]]+(IF(data_NTC_2.2k_3528[[#This Row],[Rsonde]]=MIN(data_NTC_2.2k_3528[Rsonde]),0,$D31)-data_NTC_2.2k_3528[[#This Row],[Rsonde]]),2)</f>
        <v>-8</v>
      </c>
      <c r="J30" s="9" cm="1">
        <f t="array" aca="1" ref="J30" ca="1">MIN(IF(ResValuesR24&gt;=ROUND(data_NTC_2.2k_3528[[#This Row],[Rsonde]],2)-IF(data_NTC_2.2k_3528[[#This Row],[Rsonde]]=MIN(data_NTC_2.2k_3528[Rsonde]),100,$D31),ResValuesR24))</f>
        <v>120</v>
      </c>
      <c r="K30" s="9">
        <f ca="1">ROUND(data_NTC_2.2k_3528[[#This Row],[RaddHigh]]+(IF(data_NTC_2.2k_3528[[#This Row],[Rsonde]]=MIN(data_NTC_2.2k_3528[Rsonde]),0,$D31)-data_NTC_2.2k_3528[[#This Row],[Rsonde]]),2)</f>
        <v>2</v>
      </c>
      <c r="L30" s="2" cm="1">
        <f t="array" aca="1" ref="L30" ca="1">IF(INDIRECT(RefCell_R77),(data_NTC_2.2k_3528[[#This Row],[Rpcb]]*INDIRECT(RefCell_R77))/(data_NTC_2.2k_3528[[#This Row],[Rpcb]]+INDIRECT(RefCell_R77)),data_NTC_2.2k_3528[[#This Row],[Rpcb]])</f>
        <v>1685.8536585365853</v>
      </c>
    </row>
    <row r="31" spans="1:12" x14ac:dyDescent="0.25">
      <c r="A31" t="s">
        <v>20</v>
      </c>
      <c r="B31" s="8">
        <v>27</v>
      </c>
      <c r="C31" s="9">
        <v>2037</v>
      </c>
      <c r="D31" s="9" cm="1">
        <f t="array" aca="1" ref="D31" ca="1">INDIRECT(RefCell_Rpot)+SUM(G31:G$34)</f>
        <v>2040</v>
      </c>
      <c r="E31" s="9">
        <f ca="1">data_NTC_2.2k_3528[[#This Row],[Rpcb]]-data_NTC_2.2k_3528[[#This Row],[Rsonde]]</f>
        <v>3</v>
      </c>
      <c r="F31" s="4">
        <f ca="1">data_NTC_2.2k_3528[[#This Row],[Diff R]]/data_NTC_2.2k_3528[[#This Row],[Rsonde]]</f>
        <v>1.4727540500736377E-3</v>
      </c>
      <c r="G31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120</v>
      </c>
      <c r="H31" s="9" cm="1">
        <f t="array" aca="1" ref="H31" ca="1">MAX(IF(ResValuesR24&lt;=ROUND(data_NTC_2.2k_3528[[#This Row],[Rsonde]],2)-IF(data_NTC_2.2k_3528[[#This Row],[Rsonde]]=MIN(data_NTC_2.2k_3528[Rsonde]),100,$D32),ResValuesR24))</f>
        <v>110.00000000000001</v>
      </c>
      <c r="I31" s="9">
        <f ca="1">ROUND(data_NTC_2.2k_3528[[#This Row],[RaddLow]]+(IF(data_NTC_2.2k_3528[[#This Row],[Rsonde]]=MIN(data_NTC_2.2k_3528[Rsonde]),0,$D32)-data_NTC_2.2k_3528[[#This Row],[Rsonde]]),2)</f>
        <v>-7</v>
      </c>
      <c r="J31" s="9" cm="1">
        <f t="array" aca="1" ref="J31" ca="1">MIN(IF(ResValuesR24&gt;=ROUND(data_NTC_2.2k_3528[[#This Row],[Rsonde]],2)-IF(data_NTC_2.2k_3528[[#This Row],[Rsonde]]=MIN(data_NTC_2.2k_3528[Rsonde]),100,$D32),ResValuesR24))</f>
        <v>120</v>
      </c>
      <c r="K31" s="9">
        <f ca="1">ROUND(data_NTC_2.2k_3528[[#This Row],[RaddHigh]]+(IF(data_NTC_2.2k_3528[[#This Row],[Rsonde]]=MIN(data_NTC_2.2k_3528[Rsonde]),0,$D32)-data_NTC_2.2k_3528[[#This Row],[Rsonde]]),2)</f>
        <v>3</v>
      </c>
      <c r="L31" s="2" cm="1">
        <f t="array" aca="1" ref="L31" ca="1">IF(INDIRECT(RefCell_R77),(data_NTC_2.2k_3528[[#This Row],[Rpcb]]*INDIRECT(RefCell_R77))/(data_NTC_2.2k_3528[[#This Row],[Rpcb]]+INDIRECT(RefCell_R77)),data_NTC_2.2k_3528[[#This Row],[Rpcb]])</f>
        <v>1611.851851851852</v>
      </c>
    </row>
    <row r="32" spans="1:12" x14ac:dyDescent="0.25">
      <c r="A32" t="s">
        <v>19</v>
      </c>
      <c r="B32" s="8">
        <v>28.5</v>
      </c>
      <c r="C32" s="9">
        <v>1924</v>
      </c>
      <c r="D32" s="9" cm="1">
        <f t="array" aca="1" ref="D32" ca="1">INDIRECT(RefCell_Rpot)+SUM(G32:G$34)</f>
        <v>1920</v>
      </c>
      <c r="E32" s="9">
        <f ca="1">data_NTC_2.2k_3528[[#This Row],[Rpcb]]-data_NTC_2.2k_3528[[#This Row],[Rsonde]]</f>
        <v>-4</v>
      </c>
      <c r="F32" s="4">
        <f ca="1">data_NTC_2.2k_3528[[#This Row],[Diff R]]/data_NTC_2.2k_3528[[#This Row],[Rsonde]]</f>
        <v>-2.0790020790020791E-3</v>
      </c>
      <c r="G32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100</v>
      </c>
      <c r="H32" s="9" cm="1">
        <f t="array" aca="1" ref="H32" ca="1">MAX(IF(ResValuesR24&lt;=ROUND(data_NTC_2.2k_3528[[#This Row],[Rsonde]],2)-IF(data_NTC_2.2k_3528[[#This Row],[Rsonde]]=MIN(data_NTC_2.2k_3528[Rsonde]),100,$D33),ResValuesR24))</f>
        <v>100</v>
      </c>
      <c r="I32" s="9">
        <f ca="1">ROUND(data_NTC_2.2k_3528[[#This Row],[RaddLow]]+(IF(data_NTC_2.2k_3528[[#This Row],[Rsonde]]=MIN(data_NTC_2.2k_3528[Rsonde]),0,$D33)-data_NTC_2.2k_3528[[#This Row],[Rsonde]]),2)</f>
        <v>-4</v>
      </c>
      <c r="J32" s="9" cm="1">
        <f t="array" aca="1" ref="J32" ca="1">MIN(IF(ResValuesR24&gt;=ROUND(data_NTC_2.2k_3528[[#This Row],[Rsonde]],2)-IF(data_NTC_2.2k_3528[[#This Row],[Rsonde]]=MIN(data_NTC_2.2k_3528[Rsonde]),100,$D33),ResValuesR24))</f>
        <v>110.00000000000001</v>
      </c>
      <c r="K32" s="9">
        <f ca="1">ROUND(data_NTC_2.2k_3528[[#This Row],[RaddHigh]]+(IF(data_NTC_2.2k_3528[[#This Row],[Rsonde]]=MIN(data_NTC_2.2k_3528[Rsonde]),0,$D33)-data_NTC_2.2k_3528[[#This Row],[Rsonde]]),2)</f>
        <v>6</v>
      </c>
      <c r="L32" s="2" cm="1">
        <f t="array" aca="1" ref="L32" ca="1">IF(INDIRECT(RefCell_R77),(data_NTC_2.2k_3528[[#This Row],[Rpcb]]*INDIRECT(RefCell_R77))/(data_NTC_2.2k_3528[[#This Row],[Rpcb]]+INDIRECT(RefCell_R77)),data_NTC_2.2k_3528[[#This Row],[Rpcb]])</f>
        <v>1536</v>
      </c>
    </row>
    <row r="33" spans="1:12" x14ac:dyDescent="0.25">
      <c r="A33" t="s">
        <v>18</v>
      </c>
      <c r="B33" s="8">
        <v>30</v>
      </c>
      <c r="C33" s="9">
        <v>1819</v>
      </c>
      <c r="D33" s="9" cm="1">
        <f t="array" aca="1" ref="D33" ca="1">INDIRECT(RefCell_Rpot)+SUM(G33:G$34)</f>
        <v>1820</v>
      </c>
      <c r="E33" s="9">
        <f ca="1">data_NTC_2.2k_3528[[#This Row],[Rpcb]]-data_NTC_2.2k_3528[[#This Row],[Rsonde]]</f>
        <v>1</v>
      </c>
      <c r="F33" s="4">
        <f ca="1">data_NTC_2.2k_3528[[#This Row],[Diff R]]/data_NTC_2.2k_3528[[#This Row],[Rsonde]]</f>
        <v>5.4975261132490382E-4</v>
      </c>
      <c r="G33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100</v>
      </c>
      <c r="H33" s="9" cm="1">
        <f t="array" aca="1" ref="H33" ca="1">MAX(IF(ResValuesR24&lt;=ROUND(data_NTC_2.2k_3528[[#This Row],[Rsonde]],2)-IF(data_NTC_2.2k_3528[[#This Row],[Rsonde]]=MIN(data_NTC_2.2k_3528[Rsonde]),100,$D34),ResValuesR24))</f>
        <v>91</v>
      </c>
      <c r="I33" s="9">
        <f ca="1">ROUND(data_NTC_2.2k_3528[[#This Row],[RaddLow]]+(IF(data_NTC_2.2k_3528[[#This Row],[Rsonde]]=MIN(data_NTC_2.2k_3528[Rsonde]),0,$D34)-data_NTC_2.2k_3528[[#This Row],[Rsonde]]),2)</f>
        <v>-8</v>
      </c>
      <c r="J33" s="9" cm="1">
        <f t="array" aca="1" ref="J33" ca="1">MIN(IF(ResValuesR24&gt;=ROUND(data_NTC_2.2k_3528[[#This Row],[Rsonde]],2)-IF(data_NTC_2.2k_3528[[#This Row],[Rsonde]]=MIN(data_NTC_2.2k_3528[Rsonde]),100,$D34),ResValuesR24))</f>
        <v>100</v>
      </c>
      <c r="K33" s="9">
        <f ca="1">ROUND(data_NTC_2.2k_3528[[#This Row],[RaddHigh]]+(IF(data_NTC_2.2k_3528[[#This Row],[Rsonde]]=MIN(data_NTC_2.2k_3528[Rsonde]),0,$D34)-data_NTC_2.2k_3528[[#This Row],[Rsonde]]),2)</f>
        <v>1</v>
      </c>
      <c r="L33" s="2" cm="1">
        <f t="array" aca="1" ref="L33" ca="1">IF(INDIRECT(RefCell_R77),(data_NTC_2.2k_3528[[#This Row],[Rpcb]]*INDIRECT(RefCell_R77))/(data_NTC_2.2k_3528[[#This Row],[Rpcb]]+INDIRECT(RefCell_R77)),data_NTC_2.2k_3528[[#This Row],[Rpcb]])</f>
        <v>1471.3263157894737</v>
      </c>
    </row>
    <row r="34" spans="1:12" x14ac:dyDescent="0.25">
      <c r="A34" t="s">
        <v>17</v>
      </c>
      <c r="B34" s="8">
        <v>31.5</v>
      </c>
      <c r="C34" s="9">
        <v>1720</v>
      </c>
      <c r="D34" s="9" cm="1">
        <f t="array" aca="1" ref="D34" ca="1">INDIRECT(RefCell_Rpot)+SUM(G34:G$34)</f>
        <v>1720</v>
      </c>
      <c r="E34" s="9">
        <f ca="1">data_NTC_2.2k_3528[[#This Row],[Rpcb]]-data_NTC_2.2k_3528[[#This Row],[Rsonde]]</f>
        <v>0</v>
      </c>
      <c r="F34" s="4">
        <f ca="1">data_NTC_2.2k_3528[[#This Row],[Diff R]]/data_NTC_2.2k_3528[[#This Row],[Rsonde]]</f>
        <v>0</v>
      </c>
      <c r="G34" s="9">
        <f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1600</v>
      </c>
      <c r="H34" s="9" cm="1">
        <f t="array" ref="H34">MAX(IF(ResValuesR24&lt;=ROUND(data_NTC_2.2k_3528[[#This Row],[Rsonde]],2)-IF(data_NTC_2.2k_3528[[#This Row],[Rsonde]]=MIN(data_NTC_2.2k_3528[Rsonde]),100,$D35),ResValuesR24))</f>
        <v>1600</v>
      </c>
      <c r="I34" s="9">
        <f>ROUND(data_NTC_2.2k_3528[[#This Row],[RaddLow]]+(IF(data_NTC_2.2k_3528[[#This Row],[Rsonde]]=MIN(data_NTC_2.2k_3528[Rsonde]),0,$D35)-data_NTC_2.2k_3528[[#This Row],[Rsonde]]),2)</f>
        <v>-120</v>
      </c>
      <c r="J34" s="9" cm="1">
        <f t="array" ref="J34">MIN(IF(ResValuesR24&gt;=ROUND(data_NTC_2.2k_3528[[#This Row],[Rsonde]],2)-IF(data_NTC_2.2k_3528[[#This Row],[Rsonde]]=MIN(data_NTC_2.2k_3528[Rsonde]),100,$D35),ResValuesR24))</f>
        <v>1800</v>
      </c>
      <c r="K34" s="9">
        <f>ROUND(data_NTC_2.2k_3528[[#This Row],[RaddHigh]]+(IF(data_NTC_2.2k_3528[[#This Row],[Rsonde]]=MIN(data_NTC_2.2k_3528[Rsonde]),0,$D35)-data_NTC_2.2k_3528[[#This Row],[Rsonde]]),2)</f>
        <v>80</v>
      </c>
      <c r="L34" s="2" cm="1">
        <f t="array" aca="1" ref="L34" ca="1">IF(INDIRECT(RefCell_R77),(data_NTC_2.2k_3528[[#This Row],[Rpcb]]*INDIRECT(RefCell_R77))/(data_NTC_2.2k_3528[[#This Row],[Rpcb]]+INDIRECT(RefCell_R77)),data_NTC_2.2k_3528[[#This Row],[Rpcb]])</f>
        <v>1405.2765957446809</v>
      </c>
    </row>
  </sheetData>
  <mergeCells count="1">
    <mergeCell ref="A1:L1"/>
  </mergeCells>
  <conditionalFormatting sqref="F3:F34">
    <cfRule type="cellIs" dxfId="135" priority="1" operator="between">
      <formula>-0.005</formula>
      <formula>0.005</formula>
    </cfRule>
  </conditionalFormatting>
  <dataValidations count="1">
    <dataValidation type="list" allowBlank="1" showInputMessage="1" showErrorMessage="1" sqref="O3" xr:uid="{96F7CE58-02A3-41C5-B1F5-480201885EB2}">
      <formula1>INDIRECT("TableR77[R]")</formula1>
    </dataValidation>
  </dataValidations>
  <hyperlinks>
    <hyperlink ref="Q3" r:id="rId1" display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xr:uid="{A3AA553E-9177-48A9-A485-5F3A56D79E89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5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6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7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8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9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" r:id="rId10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11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12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3" r:id="rId13" name="Button 9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CDB6E-7E0C-4678-AE94-75C3049599D8}">
  <sheetPr codeName="Feuil25"/>
  <dimension ref="A1:P37"/>
  <sheetViews>
    <sheetView topLeftCell="A5" workbookViewId="0">
      <selection activeCell="C36" sqref="C36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9">
        <f>ROUND(C34-G34,0)</f>
        <v>62</v>
      </c>
      <c r="P2" s="7" t="s">
        <v>113</v>
      </c>
    </row>
    <row r="3" spans="1:16" x14ac:dyDescent="0.25">
      <c r="A3" t="s">
        <v>48</v>
      </c>
      <c r="B3" s="8">
        <v>-15</v>
      </c>
      <c r="C3" s="9">
        <v>167168</v>
      </c>
      <c r="D3" s="9" cm="1">
        <f t="array" aca="1" ref="D3" ca="1">INDIRECT(RefCell_Rpot)+SUM(G3:G$34)</f>
        <v>167762</v>
      </c>
      <c r="E3" s="9">
        <f ca="1">data_NTC_20k_4370[[#This Row],[Rpcb]]-data_NTC_20k_4370[[#This Row],[Rsonde]]</f>
        <v>594</v>
      </c>
      <c r="F3" s="4">
        <f ca="1">data_NTC_20k_4370[[#This Row],[Diff R]]/data_NTC_20k_4370[[#This Row],[Rsonde]]</f>
        <v>3.5533116385911179E-3</v>
      </c>
      <c r="G3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15000</v>
      </c>
      <c r="H3" s="9" cm="1">
        <f t="array" aca="1" ref="H3" ca="1">MAX(IF(ResValuesR24&lt;=ROUND(data_NTC_20k_4370[[#This Row],[Rsonde]],2)-IF(data_NTC_20k_4370[[#This Row],[Rsonde]]=MIN(data_NTC_20k_4370[Rsonde]),100,$D4),ResValuesR24))</f>
        <v>13000</v>
      </c>
      <c r="I3" s="9">
        <f ca="1">ROUND(data_NTC_20k_4370[[#This Row],[RaddLow]]+(IF(data_NTC_20k_4370[[#This Row],[Rsonde]]=MIN(data_NTC_20k_4370[Rsonde]),0,$D4)-data_NTC_20k_4370[[#This Row],[Rsonde]]),2)</f>
        <v>-1406</v>
      </c>
      <c r="J3" s="9" cm="1">
        <f t="array" aca="1" ref="J3" ca="1">MIN(IF(ResValuesR24&gt;=ROUND(data_NTC_20k_4370[[#This Row],[Rsonde]],2)-IF(data_NTC_20k_4370[[#This Row],[Rsonde]]=MIN(data_NTC_20k_4370[Rsonde]),100,$D4),ResValuesR24))</f>
        <v>15000</v>
      </c>
      <c r="K3" s="9">
        <f ca="1">ROUND(data_NTC_20k_4370[[#This Row],[RaddHigh]]+(IF(data_NTC_20k_4370[[#This Row],[Rsonde]]=MIN(data_NTC_20k_4370[Rsonde]),0,$D4)-data_NTC_20k_4370[[#This Row],[Rsonde]]),2)</f>
        <v>594</v>
      </c>
      <c r="L3" s="2" cm="1">
        <f t="array" aca="1" ref="L3" ca="1">IF(INDIRECT(RefCell_R77),(data_NTC_20k_4370[[#This Row],[Rpcb]]*INDIRECT(RefCell_R77))/(data_NTC_20k_4370[[#This Row],[Rpcb]]+INDIRECT(RefCell_R77)),data_NTC_20k_4370[[#This Row],[Rpcb]])</f>
        <v>4958.9512471655325</v>
      </c>
      <c r="N3" t="s">
        <v>112</v>
      </c>
      <c r="O3">
        <v>5110</v>
      </c>
      <c r="P3" s="7" t="s">
        <v>113</v>
      </c>
    </row>
    <row r="4" spans="1:16" x14ac:dyDescent="0.25">
      <c r="A4" t="s">
        <v>47</v>
      </c>
      <c r="B4" s="8">
        <v>-13.5</v>
      </c>
      <c r="C4" s="9">
        <v>153018</v>
      </c>
      <c r="D4" s="9" cm="1">
        <f t="array" aca="1" ref="D4" ca="1">INDIRECT(RefCell_Rpot)+SUM(G4:G$34)</f>
        <v>152762</v>
      </c>
      <c r="E4" s="9">
        <f ca="1">data_NTC_20k_4370[[#This Row],[Rpcb]]-data_NTC_20k_4370[[#This Row],[Rsonde]]</f>
        <v>-256</v>
      </c>
      <c r="F4" s="4">
        <f ca="1">data_NTC_20k_4370[[#This Row],[Diff R]]/data_NTC_20k_4370[[#This Row],[Rsonde]]</f>
        <v>-1.6730057901684769E-3</v>
      </c>
      <c r="G4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13000</v>
      </c>
      <c r="H4" s="9" cm="1">
        <f t="array" aca="1" ref="H4" ca="1">MAX(IF(ResValuesR24&lt;=ROUND(data_NTC_20k_4370[[#This Row],[Rsonde]],2)-IF(data_NTC_20k_4370[[#This Row],[Rsonde]]=MIN(data_NTC_20k_4370[Rsonde]),100,$D5),ResValuesR24))</f>
        <v>13000</v>
      </c>
      <c r="I4" s="9">
        <f ca="1">ROUND(data_NTC_20k_4370[[#This Row],[RaddLow]]+(IF(data_NTC_20k_4370[[#This Row],[Rsonde]]=MIN(data_NTC_20k_4370[Rsonde]),0,$D5)-data_NTC_20k_4370[[#This Row],[Rsonde]]),2)</f>
        <v>-256</v>
      </c>
      <c r="J4" s="9" cm="1">
        <f t="array" aca="1" ref="J4" ca="1">MIN(IF(ResValuesR24&gt;=ROUND(data_NTC_20k_4370[[#This Row],[Rsonde]],2)-IF(data_NTC_20k_4370[[#This Row],[Rsonde]]=MIN(data_NTC_20k_4370[Rsonde]),100,$D5),ResValuesR24))</f>
        <v>15000</v>
      </c>
      <c r="K4" s="9">
        <f ca="1">ROUND(data_NTC_20k_4370[[#This Row],[RaddHigh]]+(IF(data_NTC_20k_4370[[#This Row],[Rsonde]]=MIN(data_NTC_20k_4370[Rsonde]),0,$D5)-data_NTC_20k_4370[[#This Row],[Rsonde]]),2)</f>
        <v>1744</v>
      </c>
      <c r="L4" s="2" cm="1">
        <f t="array" aca="1" ref="L4" ca="1">IF(INDIRECT(RefCell_R77),(data_NTC_20k_4370[[#This Row],[Rpcb]]*INDIRECT(RefCell_R77))/(data_NTC_20k_4370[[#This Row],[Rpcb]]+INDIRECT(RefCell_R77)),data_NTC_20k_4370[[#This Row],[Rpcb]])</f>
        <v>4944.5995490017231</v>
      </c>
    </row>
    <row r="5" spans="1:16" x14ac:dyDescent="0.25">
      <c r="A5" t="s">
        <v>46</v>
      </c>
      <c r="B5" s="8">
        <v>-12</v>
      </c>
      <c r="C5" s="9">
        <v>140172</v>
      </c>
      <c r="D5" s="9" cm="1">
        <f t="array" aca="1" ref="D5" ca="1">INDIRECT(RefCell_Rpot)+SUM(G5:G$34)</f>
        <v>139762</v>
      </c>
      <c r="E5" s="9">
        <f ca="1">data_NTC_20k_4370[[#This Row],[Rpcb]]-data_NTC_20k_4370[[#This Row],[Rsonde]]</f>
        <v>-410</v>
      </c>
      <c r="F5" s="4">
        <f ca="1">data_NTC_20k_4370[[#This Row],[Diff R]]/data_NTC_20k_4370[[#This Row],[Rsonde]]</f>
        <v>-2.9249778843135578E-3</v>
      </c>
      <c r="G5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11000</v>
      </c>
      <c r="H5" s="9" cm="1">
        <f t="array" aca="1" ref="H5" ca="1">MAX(IF(ResValuesR24&lt;=ROUND(data_NTC_20k_4370[[#This Row],[Rsonde]],2)-IF(data_NTC_20k_4370[[#This Row],[Rsonde]]=MIN(data_NTC_20k_4370[Rsonde]),100,$D6),ResValuesR24))</f>
        <v>11000</v>
      </c>
      <c r="I5" s="9">
        <f ca="1">ROUND(data_NTC_20k_4370[[#This Row],[RaddLow]]+(IF(data_NTC_20k_4370[[#This Row],[Rsonde]]=MIN(data_NTC_20k_4370[Rsonde]),0,$D6)-data_NTC_20k_4370[[#This Row],[Rsonde]]),2)</f>
        <v>-410</v>
      </c>
      <c r="J5" s="9" cm="1">
        <f t="array" aca="1" ref="J5" ca="1">MIN(IF(ResValuesR24&gt;=ROUND(data_NTC_20k_4370[[#This Row],[Rsonde]],2)-IF(data_NTC_20k_4370[[#This Row],[Rsonde]]=MIN(data_NTC_20k_4370[Rsonde]),100,$D6),ResValuesR24))</f>
        <v>12000</v>
      </c>
      <c r="K5" s="9">
        <f ca="1">ROUND(data_NTC_20k_4370[[#This Row],[RaddHigh]]+(IF(data_NTC_20k_4370[[#This Row],[Rsonde]]=MIN(data_NTC_20k_4370[Rsonde]),0,$D6)-data_NTC_20k_4370[[#This Row],[Rsonde]]),2)</f>
        <v>590</v>
      </c>
      <c r="L5" s="2" cm="1">
        <f t="array" aca="1" ref="L5" ca="1">IF(INDIRECT(RefCell_R77),(data_NTC_20k_4370[[#This Row],[Rpcb]]*INDIRECT(RefCell_R77))/(data_NTC_20k_4370[[#This Row],[Rpcb]]+INDIRECT(RefCell_R77)),data_NTC_20k_4370[[#This Row],[Rpcb]])</f>
        <v>4929.7574410514108</v>
      </c>
      <c r="N5" s="1" t="s">
        <v>215</v>
      </c>
    </row>
    <row r="6" spans="1:16" x14ac:dyDescent="0.25">
      <c r="A6" t="s">
        <v>45</v>
      </c>
      <c r="B6" s="8">
        <v>-10.5</v>
      </c>
      <c r="C6" s="9">
        <v>128499</v>
      </c>
      <c r="D6" s="9" cm="1">
        <f t="array" aca="1" ref="D6" ca="1">INDIRECT(RefCell_Rpot)+SUM(G6:G$34)</f>
        <v>128762</v>
      </c>
      <c r="E6" s="9">
        <f ca="1">data_NTC_20k_4370[[#This Row],[Rpcb]]-data_NTC_20k_4370[[#This Row],[Rsonde]]</f>
        <v>263</v>
      </c>
      <c r="F6" s="4">
        <f ca="1">data_NTC_20k_4370[[#This Row],[Diff R]]/data_NTC_20k_4370[[#This Row],[Rsonde]]</f>
        <v>2.0467085346967681E-3</v>
      </c>
      <c r="G6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11000</v>
      </c>
      <c r="H6" s="9" cm="1">
        <f t="array" aca="1" ref="H6" ca="1">MAX(IF(ResValuesR24&lt;=ROUND(data_NTC_20k_4370[[#This Row],[Rsonde]],2)-IF(data_NTC_20k_4370[[#This Row],[Rsonde]]=MIN(data_NTC_20k_4370[Rsonde]),100,$D7),ResValuesR24))</f>
        <v>10000</v>
      </c>
      <c r="I6" s="9">
        <f ca="1">ROUND(data_NTC_20k_4370[[#This Row],[RaddLow]]+(IF(data_NTC_20k_4370[[#This Row],[Rsonde]]=MIN(data_NTC_20k_4370[Rsonde]),0,$D7)-data_NTC_20k_4370[[#This Row],[Rsonde]]),2)</f>
        <v>-737</v>
      </c>
      <c r="J6" s="9" cm="1">
        <f t="array" aca="1" ref="J6" ca="1">MIN(IF(ResValuesR24&gt;=ROUND(data_NTC_20k_4370[[#This Row],[Rsonde]],2)-IF(data_NTC_20k_4370[[#This Row],[Rsonde]]=MIN(data_NTC_20k_4370[Rsonde]),100,$D7),ResValuesR24))</f>
        <v>11000</v>
      </c>
      <c r="K6" s="9">
        <f ca="1">ROUND(data_NTC_20k_4370[[#This Row],[RaddHigh]]+(IF(data_NTC_20k_4370[[#This Row],[Rsonde]]=MIN(data_NTC_20k_4370[Rsonde]),0,$D7)-data_NTC_20k_4370[[#This Row],[Rsonde]]),2)</f>
        <v>263</v>
      </c>
      <c r="L6" s="2" cm="1">
        <f t="array" aca="1" ref="L6" ca="1">IF(INDIRECT(RefCell_R77),(data_NTC_20k_4370[[#This Row],[Rpcb]]*INDIRECT(RefCell_R77))/(data_NTC_20k_4370[[#This Row],[Rpcb]]+INDIRECT(RefCell_R77)),data_NTC_20k_4370[[#This Row],[Rpcb]])</f>
        <v>4914.9472630572491</v>
      </c>
      <c r="N6" s="35" t="s">
        <v>131</v>
      </c>
      <c r="O6">
        <f t="shared" ref="O6" si="0">O14 - O11*O7 - O11^3*O8</f>
        <v>1.2430271772097688E-3</v>
      </c>
    </row>
    <row r="7" spans="1:16" x14ac:dyDescent="0.25">
      <c r="A7" t="s">
        <v>44</v>
      </c>
      <c r="B7" s="8">
        <v>-9</v>
      </c>
      <c r="C7" s="9">
        <v>117886</v>
      </c>
      <c r="D7" s="9" cm="1">
        <f t="array" aca="1" ref="D7" ca="1">INDIRECT(RefCell_Rpot)+SUM(G7:G$34)</f>
        <v>117762</v>
      </c>
      <c r="E7" s="9">
        <f ca="1">data_NTC_20k_4370[[#This Row],[Rpcb]]-data_NTC_20k_4370[[#This Row],[Rsonde]]</f>
        <v>-124</v>
      </c>
      <c r="F7" s="4">
        <f ca="1">data_NTC_20k_4370[[#This Row],[Diff R]]/data_NTC_20k_4370[[#This Row],[Rsonde]]</f>
        <v>-1.0518636648965949E-3</v>
      </c>
      <c r="G7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9100</v>
      </c>
      <c r="H7" s="9" cm="1">
        <f t="array" aca="1" ref="H7" ca="1">MAX(IF(ResValuesR24&lt;=ROUND(data_NTC_20k_4370[[#This Row],[Rsonde]],2)-IF(data_NTC_20k_4370[[#This Row],[Rsonde]]=MIN(data_NTC_20k_4370[Rsonde]),100,$D8),ResValuesR24))</f>
        <v>9100</v>
      </c>
      <c r="I7" s="9">
        <f ca="1">ROUND(data_NTC_20k_4370[[#This Row],[RaddLow]]+(IF(data_NTC_20k_4370[[#This Row],[Rsonde]]=MIN(data_NTC_20k_4370[Rsonde]),0,$D8)-data_NTC_20k_4370[[#This Row],[Rsonde]]),2)</f>
        <v>-124</v>
      </c>
      <c r="J7" s="9" cm="1">
        <f t="array" aca="1" ref="J7" ca="1">MIN(IF(ResValuesR24&gt;=ROUND(data_NTC_20k_4370[[#This Row],[Rsonde]],2)-IF(data_NTC_20k_4370[[#This Row],[Rsonde]]=MIN(data_NTC_20k_4370[Rsonde]),100,$D8),ResValuesR24))</f>
        <v>10000</v>
      </c>
      <c r="K7" s="9">
        <f ca="1">ROUND(data_NTC_20k_4370[[#This Row],[RaddHigh]]+(IF(data_NTC_20k_4370[[#This Row],[Rsonde]]=MIN(data_NTC_20k_4370[Rsonde]),0,$D8)-data_NTC_20k_4370[[#This Row],[Rsonde]]),2)</f>
        <v>776</v>
      </c>
      <c r="L7" s="2" cm="1">
        <f t="array" aca="1" ref="L7" ca="1">IF(INDIRECT(RefCell_R77),(data_NTC_20k_4370[[#This Row],[Rpcb]]*INDIRECT(RefCell_R77))/(data_NTC_20k_4370[[#This Row],[Rpcb]]+INDIRECT(RefCell_R77)),data_NTC_20k_4370[[#This Row],[Rpcb]])</f>
        <v>4897.4853506087638</v>
      </c>
      <c r="N7" s="35" t="s">
        <v>130</v>
      </c>
      <c r="O7">
        <f t="shared" ref="O7" si="1">(1/(O11-O12)) * (O14-O15-(O11^3-O12^3)*O8)</f>
        <v>2.0139948986005739E-4</v>
      </c>
    </row>
    <row r="8" spans="1:16" x14ac:dyDescent="0.25">
      <c r="A8" t="s">
        <v>43</v>
      </c>
      <c r="B8" s="8">
        <v>-7.5</v>
      </c>
      <c r="C8" s="9">
        <v>108228</v>
      </c>
      <c r="D8" s="9" cm="1">
        <f t="array" aca="1" ref="D8" ca="1">INDIRECT(RefCell_Rpot)+SUM(G8:G$34)</f>
        <v>108662</v>
      </c>
      <c r="E8" s="9">
        <f ca="1">data_NTC_20k_4370[[#This Row],[Rpcb]]-data_NTC_20k_4370[[#This Row],[Rsonde]]</f>
        <v>434</v>
      </c>
      <c r="F8" s="4">
        <f ca="1">data_NTC_20k_4370[[#This Row],[Diff R]]/data_NTC_20k_4370[[#This Row],[Rsonde]]</f>
        <v>4.010052851387811E-3</v>
      </c>
      <c r="G8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9100</v>
      </c>
      <c r="H8" s="9" cm="1">
        <f t="array" aca="1" ref="H8" ca="1">MAX(IF(ResValuesR24&lt;=ROUND(data_NTC_20k_4370[[#This Row],[Rsonde]],2)-IF(data_NTC_20k_4370[[#This Row],[Rsonde]]=MIN(data_NTC_20k_4370[Rsonde]),100,$D9),ResValuesR24))</f>
        <v>8200</v>
      </c>
      <c r="I8" s="9">
        <f ca="1">ROUND(data_NTC_20k_4370[[#This Row],[RaddLow]]+(IF(data_NTC_20k_4370[[#This Row],[Rsonde]]=MIN(data_NTC_20k_4370[Rsonde]),0,$D9)-data_NTC_20k_4370[[#This Row],[Rsonde]]),2)</f>
        <v>-466</v>
      </c>
      <c r="J8" s="9" cm="1">
        <f t="array" aca="1" ref="J8" ca="1">MIN(IF(ResValuesR24&gt;=ROUND(data_NTC_20k_4370[[#This Row],[Rsonde]],2)-IF(data_NTC_20k_4370[[#This Row],[Rsonde]]=MIN(data_NTC_20k_4370[Rsonde]),100,$D9),ResValuesR24))</f>
        <v>9100</v>
      </c>
      <c r="K8" s="9">
        <f ca="1">ROUND(data_NTC_20k_4370[[#This Row],[RaddHigh]]+(IF(data_NTC_20k_4370[[#This Row],[Rsonde]]=MIN(data_NTC_20k_4370[Rsonde]),0,$D9)-data_NTC_20k_4370[[#This Row],[Rsonde]]),2)</f>
        <v>434</v>
      </c>
      <c r="L8" s="2" cm="1">
        <f t="array" aca="1" ref="L8" ca="1">IF(INDIRECT(RefCell_R77),(data_NTC_20k_4370[[#This Row],[Rpcb]]*INDIRECT(RefCell_R77))/(data_NTC_20k_4370[[#This Row],[Rpcb]]+INDIRECT(RefCell_R77)),data_NTC_20k_4370[[#This Row],[Rpcb]])</f>
        <v>4880.4874661603908</v>
      </c>
      <c r="N8" s="35" t="s">
        <v>129</v>
      </c>
      <c r="O8">
        <f t="shared" ref="O8" si="2">O10/O9</f>
        <v>1.1986052213722715E-7</v>
      </c>
    </row>
    <row r="9" spans="1:16" x14ac:dyDescent="0.25">
      <c r="A9" t="s">
        <v>42</v>
      </c>
      <c r="B9" s="8">
        <v>-6</v>
      </c>
      <c r="C9" s="9">
        <v>99432</v>
      </c>
      <c r="D9" s="9" cm="1">
        <f t="array" aca="1" ref="D9" ca="1">INDIRECT(RefCell_Rpot)+SUM(G9:G$34)</f>
        <v>99562</v>
      </c>
      <c r="E9" s="9">
        <f ca="1">data_NTC_20k_4370[[#This Row],[Rpcb]]-data_NTC_20k_4370[[#This Row],[Rsonde]]</f>
        <v>130</v>
      </c>
      <c r="F9" s="4">
        <f ca="1">data_NTC_20k_4370[[#This Row],[Diff R]]/data_NTC_20k_4370[[#This Row],[Rsonde]]</f>
        <v>1.3074261807064125E-3</v>
      </c>
      <c r="G9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8200</v>
      </c>
      <c r="H9" s="9" cm="1">
        <f t="array" aca="1" ref="H9" ca="1">MAX(IF(ResValuesR24&lt;=ROUND(data_NTC_20k_4370[[#This Row],[Rsonde]],2)-IF(data_NTC_20k_4370[[#This Row],[Rsonde]]=MIN(data_NTC_20k_4370[Rsonde]),100,$D10),ResValuesR24))</f>
        <v>7500</v>
      </c>
      <c r="I9" s="9">
        <f ca="1">ROUND(data_NTC_20k_4370[[#This Row],[RaddLow]]+(IF(data_NTC_20k_4370[[#This Row],[Rsonde]]=MIN(data_NTC_20k_4370[Rsonde]),0,$D10)-data_NTC_20k_4370[[#This Row],[Rsonde]]),2)</f>
        <v>-570</v>
      </c>
      <c r="J9" s="9" cm="1">
        <f t="array" aca="1" ref="J9" ca="1">MIN(IF(ResValuesR24&gt;=ROUND(data_NTC_20k_4370[[#This Row],[Rsonde]],2)-IF(data_NTC_20k_4370[[#This Row],[Rsonde]]=MIN(data_NTC_20k_4370[Rsonde]),100,$D10),ResValuesR24))</f>
        <v>8200</v>
      </c>
      <c r="K9" s="9">
        <f ca="1">ROUND(data_NTC_20k_4370[[#This Row],[RaddHigh]]+(IF(data_NTC_20k_4370[[#This Row],[Rsonde]]=MIN(data_NTC_20k_4370[Rsonde]),0,$D10)-data_NTC_20k_4370[[#This Row],[Rsonde]]),2)</f>
        <v>130</v>
      </c>
      <c r="L9" s="2" cm="1">
        <f t="array" aca="1" ref="L9" ca="1">IF(INDIRECT(RefCell_R77),(data_NTC_20k_4370[[#This Row],[Rpcb]]*INDIRECT(RefCell_R77))/(data_NTC_20k_4370[[#This Row],[Rpcb]]+INDIRECT(RefCell_R77)),data_NTC_20k_4370[[#This Row],[Rpcb]])</f>
        <v>4860.5340492204223</v>
      </c>
      <c r="N9" s="3" t="s">
        <v>181</v>
      </c>
      <c r="O9">
        <f t="shared" ref="O9" si="3">(O12-O13)/(O11-O12) * (O12^3-O11^3) + (O12^3-O13^3)</f>
        <v>-75.770952053165786</v>
      </c>
    </row>
    <row r="10" spans="1:16" x14ac:dyDescent="0.25">
      <c r="A10" t="s">
        <v>41</v>
      </c>
      <c r="B10" s="8">
        <v>-4.5</v>
      </c>
      <c r="C10" s="9">
        <v>91417</v>
      </c>
      <c r="D10" s="9" cm="1">
        <f t="array" aca="1" ref="D10" ca="1">INDIRECT(RefCell_Rpot)+SUM(G10:G$34)</f>
        <v>91362</v>
      </c>
      <c r="E10" s="9">
        <f ca="1">data_NTC_20k_4370[[#This Row],[Rpcb]]-data_NTC_20k_4370[[#This Row],[Rsonde]]</f>
        <v>-55</v>
      </c>
      <c r="F10" s="4">
        <f ca="1">data_NTC_20k_4370[[#This Row],[Diff R]]/data_NTC_20k_4370[[#This Row],[Rsonde]]</f>
        <v>-6.0163864489099406E-4</v>
      </c>
      <c r="G10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7500</v>
      </c>
      <c r="H10" s="9" cm="1">
        <f t="array" aca="1" ref="H10" ca="1">MAX(IF(ResValuesR24&lt;=ROUND(data_NTC_20k_4370[[#This Row],[Rsonde]],2)-IF(data_NTC_20k_4370[[#This Row],[Rsonde]]=MIN(data_NTC_20k_4370[Rsonde]),100,$D11),ResValuesR24))</f>
        <v>7500</v>
      </c>
      <c r="I10" s="9">
        <f ca="1">ROUND(data_NTC_20k_4370[[#This Row],[RaddLow]]+(IF(data_NTC_20k_4370[[#This Row],[Rsonde]]=MIN(data_NTC_20k_4370[Rsonde]),0,$D11)-data_NTC_20k_4370[[#This Row],[Rsonde]]),2)</f>
        <v>-55</v>
      </c>
      <c r="J10" s="9" cm="1">
        <f t="array" aca="1" ref="J10" ca="1">MIN(IF(ResValuesR24&gt;=ROUND(data_NTC_20k_4370[[#This Row],[Rsonde]],2)-IF(data_NTC_20k_4370[[#This Row],[Rsonde]]=MIN(data_NTC_20k_4370[Rsonde]),100,$D11),ResValuesR24))</f>
        <v>8200</v>
      </c>
      <c r="K10" s="9">
        <f ca="1">ROUND(data_NTC_20k_4370[[#This Row],[RaddHigh]]+(IF(data_NTC_20k_4370[[#This Row],[Rsonde]]=MIN(data_NTC_20k_4370[Rsonde]),0,$D11)-data_NTC_20k_4370[[#This Row],[Rsonde]]),2)</f>
        <v>645</v>
      </c>
      <c r="L10" s="2" cm="1">
        <f t="array" aca="1" ref="L10" ca="1">IF(INDIRECT(RefCell_R77),(data_NTC_20k_4370[[#This Row],[Rpcb]]*INDIRECT(RefCell_R77))/(data_NTC_20k_4370[[#This Row],[Rpcb]]+INDIRECT(RefCell_R77)),data_NTC_20k_4370[[#This Row],[Rpcb]])</f>
        <v>4839.3297537109211</v>
      </c>
      <c r="N10" s="3" t="s">
        <v>182</v>
      </c>
      <c r="O10">
        <f t="shared" ref="O10" si="4">O15 - O16 - ( (O12-O13)/(O11-O12) ) * (O14-O15)</f>
        <v>-9.0819458759272553E-6</v>
      </c>
    </row>
    <row r="11" spans="1:16" x14ac:dyDescent="0.25">
      <c r="A11" t="s">
        <v>40</v>
      </c>
      <c r="B11" s="8">
        <v>-3</v>
      </c>
      <c r="C11" s="9">
        <v>84106</v>
      </c>
      <c r="D11" s="9" cm="1">
        <f t="array" aca="1" ref="D11" ca="1">INDIRECT(RefCell_Rpot)+SUM(G11:G$34)</f>
        <v>83862</v>
      </c>
      <c r="E11" s="9">
        <f ca="1">data_NTC_20k_4370[[#This Row],[Rpcb]]-data_NTC_20k_4370[[#This Row],[Rsonde]]</f>
        <v>-244</v>
      </c>
      <c r="F11" s="4">
        <f ca="1">data_NTC_20k_4370[[#This Row],[Diff R]]/data_NTC_20k_4370[[#This Row],[Rsonde]]</f>
        <v>-2.9011009916058306E-3</v>
      </c>
      <c r="G11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6200</v>
      </c>
      <c r="H11" s="9" cm="1">
        <f t="array" aca="1" ref="H11" ca="1">MAX(IF(ResValuesR24&lt;=ROUND(data_NTC_20k_4370[[#This Row],[Rsonde]],2)-IF(data_NTC_20k_4370[[#This Row],[Rsonde]]=MIN(data_NTC_20k_4370[Rsonde]),100,$D12),ResValuesR24))</f>
        <v>6200</v>
      </c>
      <c r="I11" s="9">
        <f ca="1">ROUND(data_NTC_20k_4370[[#This Row],[RaddLow]]+(IF(data_NTC_20k_4370[[#This Row],[Rsonde]]=MIN(data_NTC_20k_4370[Rsonde]),0,$D12)-data_NTC_20k_4370[[#This Row],[Rsonde]]),2)</f>
        <v>-244</v>
      </c>
      <c r="J11" s="9" cm="1">
        <f t="array" aca="1" ref="J11" ca="1">MIN(IF(ResValuesR24&gt;=ROUND(data_NTC_20k_4370[[#This Row],[Rsonde]],2)-IF(data_NTC_20k_4370[[#This Row],[Rsonde]]=MIN(data_NTC_20k_4370[Rsonde]),100,$D12),ResValuesR24))</f>
        <v>6800</v>
      </c>
      <c r="K11" s="9">
        <f ca="1">ROUND(data_NTC_20k_4370[[#This Row],[RaddHigh]]+(IF(data_NTC_20k_4370[[#This Row],[Rsonde]]=MIN(data_NTC_20k_4370[Rsonde]),0,$D12)-data_NTC_20k_4370[[#This Row],[Rsonde]]),2)</f>
        <v>356</v>
      </c>
      <c r="L11" s="2" cm="1">
        <f t="array" aca="1" ref="L11" ca="1">IF(INDIRECT(RefCell_R77),(data_NTC_20k_4370[[#This Row],[Rpcb]]*INDIRECT(RefCell_R77))/(data_NTC_20k_4370[[#This Row],[Rpcb]]+INDIRECT(RefCell_R77)),data_NTC_20k_4370[[#This Row],[Rpcb]])</f>
        <v>4816.5132850784521</v>
      </c>
      <c r="N11" s="3" t="s">
        <v>178</v>
      </c>
      <c r="O11">
        <f>LN(C3)</f>
        <v>12.026754573755994</v>
      </c>
    </row>
    <row r="12" spans="1:16" x14ac:dyDescent="0.25">
      <c r="A12" t="s">
        <v>39</v>
      </c>
      <c r="B12" s="8">
        <v>-1.5</v>
      </c>
      <c r="C12" s="9">
        <v>77434</v>
      </c>
      <c r="D12" s="9" cm="1">
        <f t="array" aca="1" ref="D12" ca="1">INDIRECT(RefCell_Rpot)+SUM(G12:G$34)</f>
        <v>77662</v>
      </c>
      <c r="E12" s="9">
        <f ca="1">data_NTC_20k_4370[[#This Row],[Rpcb]]-data_NTC_20k_4370[[#This Row],[Rsonde]]</f>
        <v>228</v>
      </c>
      <c r="F12" s="4">
        <f ca="1">data_NTC_20k_4370[[#This Row],[Diff R]]/data_NTC_20k_4370[[#This Row],[Rsonde]]</f>
        <v>2.9444430095306971E-3</v>
      </c>
      <c r="G12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6200</v>
      </c>
      <c r="H12" s="9" cm="1">
        <f t="array" aca="1" ref="H12" ca="1">MAX(IF(ResValuesR24&lt;=ROUND(data_NTC_20k_4370[[#This Row],[Rsonde]],2)-IF(data_NTC_20k_4370[[#This Row],[Rsonde]]=MIN(data_NTC_20k_4370[Rsonde]),100,$D13),ResValuesR24))</f>
        <v>5600</v>
      </c>
      <c r="I12" s="9">
        <f ca="1">ROUND(data_NTC_20k_4370[[#This Row],[RaddLow]]+(IF(data_NTC_20k_4370[[#This Row],[Rsonde]]=MIN(data_NTC_20k_4370[Rsonde]),0,$D13)-data_NTC_20k_4370[[#This Row],[Rsonde]]),2)</f>
        <v>-372</v>
      </c>
      <c r="J12" s="9" cm="1">
        <f t="array" aca="1" ref="J12" ca="1">MIN(IF(ResValuesR24&gt;=ROUND(data_NTC_20k_4370[[#This Row],[Rsonde]],2)-IF(data_NTC_20k_4370[[#This Row],[Rsonde]]=MIN(data_NTC_20k_4370[Rsonde]),100,$D13),ResValuesR24))</f>
        <v>6200</v>
      </c>
      <c r="K12" s="9">
        <f ca="1">ROUND(data_NTC_20k_4370[[#This Row],[RaddHigh]]+(IF(data_NTC_20k_4370[[#This Row],[Rsonde]]=MIN(data_NTC_20k_4370[Rsonde]),0,$D13)-data_NTC_20k_4370[[#This Row],[Rsonde]]),2)</f>
        <v>228</v>
      </c>
      <c r="L12" s="2" cm="1">
        <f t="array" aca="1" ref="L12" ca="1">IF(INDIRECT(RefCell_R77),(data_NTC_20k_4370[[#This Row],[Rpcb]]*INDIRECT(RefCell_R77))/(data_NTC_20k_4370[[#This Row],[Rpcb]]+INDIRECT(RefCell_R77)),data_NTC_20k_4370[[#This Row],[Rpcb]])</f>
        <v>4794.5297926835165</v>
      </c>
      <c r="N12" s="3" t="s">
        <v>179</v>
      </c>
      <c r="O12">
        <f>LN(C17)</f>
        <v>10.854083088102273</v>
      </c>
    </row>
    <row r="13" spans="1:16" x14ac:dyDescent="0.25">
      <c r="A13" t="s">
        <v>38</v>
      </c>
      <c r="B13" s="8">
        <v>0</v>
      </c>
      <c r="C13" s="9">
        <v>71341</v>
      </c>
      <c r="D13" s="9" cm="1">
        <f t="array" aca="1" ref="D13" ca="1">INDIRECT(RefCell_Rpot)+SUM(G13:G$34)</f>
        <v>71462</v>
      </c>
      <c r="E13" s="9">
        <f ca="1">data_NTC_20k_4370[[#This Row],[Rpcb]]-data_NTC_20k_4370[[#This Row],[Rsonde]]</f>
        <v>121</v>
      </c>
      <c r="F13" s="4">
        <f ca="1">data_NTC_20k_4370[[#This Row],[Diff R]]/data_NTC_20k_4370[[#This Row],[Rsonde]]</f>
        <v>1.6960793933362302E-3</v>
      </c>
      <c r="G13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5600</v>
      </c>
      <c r="H13" s="9" cm="1">
        <f t="array" aca="1" ref="H13" ca="1">MAX(IF(ResValuesR24&lt;=ROUND(data_NTC_20k_4370[[#This Row],[Rsonde]],2)-IF(data_NTC_20k_4370[[#This Row],[Rsonde]]=MIN(data_NTC_20k_4370[Rsonde]),100,$D14),ResValuesR24))</f>
        <v>5100</v>
      </c>
      <c r="I13" s="9">
        <f ca="1">ROUND(data_NTC_20k_4370[[#This Row],[RaddLow]]+(IF(data_NTC_20k_4370[[#This Row],[Rsonde]]=MIN(data_NTC_20k_4370[Rsonde]),0,$D14)-data_NTC_20k_4370[[#This Row],[Rsonde]]),2)</f>
        <v>-379</v>
      </c>
      <c r="J13" s="9" cm="1">
        <f t="array" aca="1" ref="J13" ca="1">MIN(IF(ResValuesR24&gt;=ROUND(data_NTC_20k_4370[[#This Row],[Rsonde]],2)-IF(data_NTC_20k_4370[[#This Row],[Rsonde]]=MIN(data_NTC_20k_4370[Rsonde]),100,$D14),ResValuesR24))</f>
        <v>5600</v>
      </c>
      <c r="K13" s="9">
        <f ca="1">ROUND(data_NTC_20k_4370[[#This Row],[RaddHigh]]+(IF(data_NTC_20k_4370[[#This Row],[Rsonde]]=MIN(data_NTC_20k_4370[Rsonde]),0,$D14)-data_NTC_20k_4370[[#This Row],[Rsonde]]),2)</f>
        <v>121</v>
      </c>
      <c r="L13" s="2" cm="1">
        <f t="array" aca="1" ref="L13" ca="1">IF(INDIRECT(RefCell_R77),(data_NTC_20k_4370[[#This Row],[Rpcb]]*INDIRECT(RefCell_R77))/(data_NTC_20k_4370[[#This Row],[Rpcb]]+INDIRECT(RefCell_R77)),data_NTC_20k_4370[[#This Row],[Rpcb]])</f>
        <v>4768.9863135349733</v>
      </c>
      <c r="N13" s="3" t="s">
        <v>180</v>
      </c>
      <c r="O13">
        <f>LN(C31)</f>
        <v>9.8089570686898941</v>
      </c>
    </row>
    <row r="14" spans="1:16" x14ac:dyDescent="0.25">
      <c r="A14" t="s">
        <v>37</v>
      </c>
      <c r="B14" s="8">
        <v>1.5</v>
      </c>
      <c r="C14" s="9">
        <v>65771</v>
      </c>
      <c r="D14" s="9" cm="1">
        <f t="array" aca="1" ref="D14" ca="1">INDIRECT(RefCell_Rpot)+SUM(G14:G$34)</f>
        <v>65862</v>
      </c>
      <c r="E14" s="9">
        <f ca="1">data_NTC_20k_4370[[#This Row],[Rpcb]]-data_NTC_20k_4370[[#This Row],[Rsonde]]</f>
        <v>91</v>
      </c>
      <c r="F14" s="4">
        <f ca="1">data_NTC_20k_4370[[#This Row],[Diff R]]/data_NTC_20k_4370[[#This Row],[Rsonde]]</f>
        <v>1.3835885116540725E-3</v>
      </c>
      <c r="G14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5100</v>
      </c>
      <c r="H14" s="9" cm="1">
        <f t="array" aca="1" ref="H14" ca="1">MAX(IF(ResValuesR24&lt;=ROUND(data_NTC_20k_4370[[#This Row],[Rsonde]],2)-IF(data_NTC_20k_4370[[#This Row],[Rsonde]]=MIN(data_NTC_20k_4370[Rsonde]),100,$D15),ResValuesR24))</f>
        <v>4700</v>
      </c>
      <c r="I14" s="9">
        <f ca="1">ROUND(data_NTC_20k_4370[[#This Row],[RaddLow]]+(IF(data_NTC_20k_4370[[#This Row],[Rsonde]]=MIN(data_NTC_20k_4370[Rsonde]),0,$D15)-data_NTC_20k_4370[[#This Row],[Rsonde]]),2)</f>
        <v>-309</v>
      </c>
      <c r="J14" s="9" cm="1">
        <f t="array" aca="1" ref="J14" ca="1">MIN(IF(ResValuesR24&gt;=ROUND(data_NTC_20k_4370[[#This Row],[Rsonde]],2)-IF(data_NTC_20k_4370[[#This Row],[Rsonde]]=MIN(data_NTC_20k_4370[Rsonde]),100,$D15),ResValuesR24))</f>
        <v>5100</v>
      </c>
      <c r="K14" s="9">
        <f ca="1">ROUND(data_NTC_20k_4370[[#This Row],[RaddHigh]]+(IF(data_NTC_20k_4370[[#This Row],[Rsonde]]=MIN(data_NTC_20k_4370[Rsonde]),0,$D15)-data_NTC_20k_4370[[#This Row],[Rsonde]]),2)</f>
        <v>91</v>
      </c>
      <c r="L14" s="2" cm="1">
        <f t="array" aca="1" ref="L14" ca="1">IF(INDIRECT(RefCell_R77),(data_NTC_20k_4370[[#This Row],[Rpcb]]*INDIRECT(RefCell_R77))/(data_NTC_20k_4370[[#This Row],[Rpcb]]+INDIRECT(RefCell_R77)),data_NTC_20k_4370[[#This Row],[Rpcb]])</f>
        <v>4742.0788479963931</v>
      </c>
      <c r="N14" s="3" t="s">
        <v>175</v>
      </c>
      <c r="O14">
        <f>1/(B3+273.15)</f>
        <v>3.8737168312996321E-3</v>
      </c>
    </row>
    <row r="15" spans="1:16" x14ac:dyDescent="0.25">
      <c r="A15" t="s">
        <v>36</v>
      </c>
      <c r="B15" s="8">
        <v>3</v>
      </c>
      <c r="C15" s="9">
        <v>60677</v>
      </c>
      <c r="D15" s="9" cm="1">
        <f t="array" aca="1" ref="D15" ca="1">INDIRECT(RefCell_Rpot)+SUM(G15:G$34)</f>
        <v>60762</v>
      </c>
      <c r="E15" s="9">
        <f ca="1">data_NTC_20k_4370[[#This Row],[Rpcb]]-data_NTC_20k_4370[[#This Row],[Rsonde]]</f>
        <v>85</v>
      </c>
      <c r="F15" s="4">
        <f ca="1">data_NTC_20k_4370[[#This Row],[Diff R]]/data_NTC_20k_4370[[#This Row],[Rsonde]]</f>
        <v>1.4008602930270118E-3</v>
      </c>
      <c r="G15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4700</v>
      </c>
      <c r="H15" s="9" cm="1">
        <f t="array" aca="1" ref="H15" ca="1">MAX(IF(ResValuesR24&lt;=ROUND(data_NTC_20k_4370[[#This Row],[Rsonde]],2)-IF(data_NTC_20k_4370[[#This Row],[Rsonde]]=MIN(data_NTC_20k_4370[Rsonde]),100,$D16),ResValuesR24))</f>
        <v>4300</v>
      </c>
      <c r="I15" s="9">
        <f ca="1">ROUND(data_NTC_20k_4370[[#This Row],[RaddLow]]+(IF(data_NTC_20k_4370[[#This Row],[Rsonde]]=MIN(data_NTC_20k_4370[Rsonde]),0,$D16)-data_NTC_20k_4370[[#This Row],[Rsonde]]),2)</f>
        <v>-315</v>
      </c>
      <c r="J15" s="9" cm="1">
        <f t="array" aca="1" ref="J15" ca="1">MIN(IF(ResValuesR24&gt;=ROUND(data_NTC_20k_4370[[#This Row],[Rsonde]],2)-IF(data_NTC_20k_4370[[#This Row],[Rsonde]]=MIN(data_NTC_20k_4370[Rsonde]),100,$D16),ResValuesR24))</f>
        <v>4700</v>
      </c>
      <c r="K15" s="9">
        <f ca="1">ROUND(data_NTC_20k_4370[[#This Row],[RaddHigh]]+(IF(data_NTC_20k_4370[[#This Row],[Rsonde]]=MIN(data_NTC_20k_4370[Rsonde]),0,$D16)-data_NTC_20k_4370[[#This Row],[Rsonde]]),2)</f>
        <v>85</v>
      </c>
      <c r="L15" s="2" cm="1">
        <f t="array" aca="1" ref="L15" ca="1">IF(INDIRECT(RefCell_R77),(data_NTC_20k_4370[[#This Row],[Rpcb]]*INDIRECT(RefCell_R77))/(data_NTC_20k_4370[[#This Row],[Rpcb]]+INDIRECT(RefCell_R77)),data_NTC_20k_4370[[#This Row],[Rpcb]])</f>
        <v>4713.593332523682</v>
      </c>
      <c r="N15" s="3" t="s">
        <v>176</v>
      </c>
      <c r="O15">
        <f>1/(B17+273.15)</f>
        <v>3.5823034210997673E-3</v>
      </c>
    </row>
    <row r="16" spans="1:16" x14ac:dyDescent="0.25">
      <c r="A16" t="s">
        <v>35</v>
      </c>
      <c r="B16" s="8">
        <v>4.5</v>
      </c>
      <c r="C16" s="9">
        <v>56015</v>
      </c>
      <c r="D16" s="9" cm="1">
        <f t="array" aca="1" ref="D16" ca="1">INDIRECT(RefCell_Rpot)+SUM(G16:G$34)</f>
        <v>56062</v>
      </c>
      <c r="E16" s="9">
        <f ca="1">data_NTC_20k_4370[[#This Row],[Rpcb]]-data_NTC_20k_4370[[#This Row],[Rsonde]]</f>
        <v>47</v>
      </c>
      <c r="F16" s="4">
        <f ca="1">data_NTC_20k_4370[[#This Row],[Diff R]]/data_NTC_20k_4370[[#This Row],[Rsonde]]</f>
        <v>8.3906096581272871E-4</v>
      </c>
      <c r="G16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4300</v>
      </c>
      <c r="H16" s="9" cm="1">
        <f t="array" aca="1" ref="H16" ca="1">MAX(IF(ResValuesR24&lt;=ROUND(data_NTC_20k_4370[[#This Row],[Rsonde]],2)-IF(data_NTC_20k_4370[[#This Row],[Rsonde]]=MIN(data_NTC_20k_4370[Rsonde]),100,$D17),ResValuesR24))</f>
        <v>3900</v>
      </c>
      <c r="I16" s="9">
        <f ca="1">ROUND(data_NTC_20k_4370[[#This Row],[RaddLow]]+(IF(data_NTC_20k_4370[[#This Row],[Rsonde]]=MIN(data_NTC_20k_4370[Rsonde]),0,$D17)-data_NTC_20k_4370[[#This Row],[Rsonde]]),2)</f>
        <v>-353</v>
      </c>
      <c r="J16" s="9" cm="1">
        <f t="array" aca="1" ref="J16" ca="1">MIN(IF(ResValuesR24&gt;=ROUND(data_NTC_20k_4370[[#This Row],[Rsonde]],2)-IF(data_NTC_20k_4370[[#This Row],[Rsonde]]=MIN(data_NTC_20k_4370[Rsonde]),100,$D17),ResValuesR24))</f>
        <v>4300</v>
      </c>
      <c r="K16" s="9">
        <f ca="1">ROUND(data_NTC_20k_4370[[#This Row],[RaddHigh]]+(IF(data_NTC_20k_4370[[#This Row],[Rsonde]]=MIN(data_NTC_20k_4370[Rsonde]),0,$D17)-data_NTC_20k_4370[[#This Row],[Rsonde]]),2)</f>
        <v>47</v>
      </c>
      <c r="L16" s="2" cm="1">
        <f t="array" aca="1" ref="L16" ca="1">IF(INDIRECT(RefCell_R77),(data_NTC_20k_4370[[#This Row],[Rpcb]]*INDIRECT(RefCell_R77))/(data_NTC_20k_4370[[#This Row],[Rpcb]]+INDIRECT(RefCell_R77)),data_NTC_20k_4370[[#This Row],[Rpcb]])</f>
        <v>4683.1364022755506</v>
      </c>
      <c r="N16" s="3" t="s">
        <v>177</v>
      </c>
      <c r="O16">
        <f>1/(B31+273.15)</f>
        <v>3.331667499583542E-3</v>
      </c>
    </row>
    <row r="17" spans="1:12" x14ac:dyDescent="0.25">
      <c r="A17" t="s">
        <v>34</v>
      </c>
      <c r="B17" s="8">
        <v>6</v>
      </c>
      <c r="C17" s="9">
        <v>51745</v>
      </c>
      <c r="D17" s="9" cm="1">
        <f t="array" aca="1" ref="D17" ca="1">INDIRECT(RefCell_Rpot)+SUM(G17:G$34)</f>
        <v>51762</v>
      </c>
      <c r="E17" s="9">
        <f ca="1">data_NTC_20k_4370[[#This Row],[Rpcb]]-data_NTC_20k_4370[[#This Row],[Rsonde]]</f>
        <v>17</v>
      </c>
      <c r="F17" s="4">
        <f ca="1">data_NTC_20k_4370[[#This Row],[Diff R]]/data_NTC_20k_4370[[#This Row],[Rsonde]]</f>
        <v>3.2853415788965118E-4</v>
      </c>
      <c r="G17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3900</v>
      </c>
      <c r="H17" s="9" cm="1">
        <f t="array" aca="1" ref="H17" ca="1">MAX(IF(ResValuesR24&lt;=ROUND(data_NTC_20k_4370[[#This Row],[Rsonde]],2)-IF(data_NTC_20k_4370[[#This Row],[Rsonde]]=MIN(data_NTC_20k_4370[Rsonde]),100,$D18),ResValuesR24))</f>
        <v>3600</v>
      </c>
      <c r="I17" s="9">
        <f ca="1">ROUND(data_NTC_20k_4370[[#This Row],[RaddLow]]+(IF(data_NTC_20k_4370[[#This Row],[Rsonde]]=MIN(data_NTC_20k_4370[Rsonde]),0,$D18)-data_NTC_20k_4370[[#This Row],[Rsonde]]),2)</f>
        <v>-283</v>
      </c>
      <c r="J17" s="9" cm="1">
        <f t="array" aca="1" ref="J17" ca="1">MIN(IF(ResValuesR24&gt;=ROUND(data_NTC_20k_4370[[#This Row],[Rsonde]],2)-IF(data_NTC_20k_4370[[#This Row],[Rsonde]]=MIN(data_NTC_20k_4370[Rsonde]),100,$D18),ResValuesR24))</f>
        <v>3900</v>
      </c>
      <c r="K17" s="9">
        <f ca="1">ROUND(data_NTC_20k_4370[[#This Row],[RaddHigh]]+(IF(data_NTC_20k_4370[[#This Row],[Rsonde]]=MIN(data_NTC_20k_4370[Rsonde]),0,$D18)-data_NTC_20k_4370[[#This Row],[Rsonde]]),2)</f>
        <v>17</v>
      </c>
      <c r="L17" s="2" cm="1">
        <f t="array" aca="1" ref="L17" ca="1">IF(INDIRECT(RefCell_R77),(data_NTC_20k_4370[[#This Row],[Rpcb]]*INDIRECT(RefCell_R77))/(data_NTC_20k_4370[[#This Row],[Rpcb]]+INDIRECT(RefCell_R77)),data_NTC_20k_4370[[#This Row],[Rpcb]])</f>
        <v>4650.8619355746241</v>
      </c>
    </row>
    <row r="18" spans="1:12" x14ac:dyDescent="0.25">
      <c r="A18" t="s">
        <v>33</v>
      </c>
      <c r="B18" s="8">
        <v>7.5</v>
      </c>
      <c r="C18" s="9">
        <v>47832</v>
      </c>
      <c r="D18" s="9" cm="1">
        <f t="array" aca="1" ref="D18" ca="1">INDIRECT(RefCell_Rpot)+SUM(G18:G$34)</f>
        <v>47862</v>
      </c>
      <c r="E18" s="9">
        <f ca="1">data_NTC_20k_4370[[#This Row],[Rpcb]]-data_NTC_20k_4370[[#This Row],[Rsonde]]</f>
        <v>30</v>
      </c>
      <c r="F18" s="4">
        <f ca="1">data_NTC_20k_4370[[#This Row],[Diff R]]/data_NTC_20k_4370[[#This Row],[Rsonde]]</f>
        <v>6.2719518314099346E-4</v>
      </c>
      <c r="G18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3600</v>
      </c>
      <c r="H18" s="9" cm="1">
        <f t="array" aca="1" ref="H18" ca="1">MAX(IF(ResValuesR24&lt;=ROUND(data_NTC_20k_4370[[#This Row],[Rsonde]],2)-IF(data_NTC_20k_4370[[#This Row],[Rsonde]]=MIN(data_NTC_20k_4370[Rsonde]),100,$D19),ResValuesR24))</f>
        <v>3300</v>
      </c>
      <c r="I18" s="9">
        <f ca="1">ROUND(data_NTC_20k_4370[[#This Row],[RaddLow]]+(IF(data_NTC_20k_4370[[#This Row],[Rsonde]]=MIN(data_NTC_20k_4370[Rsonde]),0,$D19)-data_NTC_20k_4370[[#This Row],[Rsonde]]),2)</f>
        <v>-270</v>
      </c>
      <c r="J18" s="9" cm="1">
        <f t="array" aca="1" ref="J18" ca="1">MIN(IF(ResValuesR24&gt;=ROUND(data_NTC_20k_4370[[#This Row],[Rsonde]],2)-IF(data_NTC_20k_4370[[#This Row],[Rsonde]]=MIN(data_NTC_20k_4370[Rsonde]),100,$D19),ResValuesR24))</f>
        <v>3600</v>
      </c>
      <c r="K18" s="9">
        <f ca="1">ROUND(data_NTC_20k_4370[[#This Row],[RaddHigh]]+(IF(data_NTC_20k_4370[[#This Row],[Rsonde]]=MIN(data_NTC_20k_4370[Rsonde]),0,$D19)-data_NTC_20k_4370[[#This Row],[Rsonde]]),2)</f>
        <v>30</v>
      </c>
      <c r="L18" s="2" cm="1">
        <f t="array" aca="1" ref="L18" ca="1">IF(INDIRECT(RefCell_R77),(data_NTC_20k_4370[[#This Row],[Rpcb]]*INDIRECT(RefCell_R77))/(data_NTC_20k_4370[[#This Row],[Rpcb]]+INDIRECT(RefCell_R77)),data_NTC_20k_4370[[#This Row],[Rpcb]])</f>
        <v>4617.0584459714564</v>
      </c>
    </row>
    <row r="19" spans="1:12" x14ac:dyDescent="0.25">
      <c r="A19" t="s">
        <v>32</v>
      </c>
      <c r="B19" s="8">
        <v>9</v>
      </c>
      <c r="C19" s="9">
        <v>44242</v>
      </c>
      <c r="D19" s="9" cm="1">
        <f t="array" aca="1" ref="D19" ca="1">INDIRECT(RefCell_Rpot)+SUM(G19:G$34)</f>
        <v>44262</v>
      </c>
      <c r="E19" s="9">
        <f ca="1">data_NTC_20k_4370[[#This Row],[Rpcb]]-data_NTC_20k_4370[[#This Row],[Rsonde]]</f>
        <v>20</v>
      </c>
      <c r="F19" s="4">
        <f ca="1">data_NTC_20k_4370[[#This Row],[Diff R]]/data_NTC_20k_4370[[#This Row],[Rsonde]]</f>
        <v>4.5205912933411692E-4</v>
      </c>
      <c r="G19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3300</v>
      </c>
      <c r="H19" s="9" cm="1">
        <f t="array" aca="1" ref="H19" ca="1">MAX(IF(ResValuesR24&lt;=ROUND(data_NTC_20k_4370[[#This Row],[Rsonde]],2)-IF(data_NTC_20k_4370[[#This Row],[Rsonde]]=MIN(data_NTC_20k_4370[Rsonde]),100,$D20),ResValuesR24))</f>
        <v>3000</v>
      </c>
      <c r="I19" s="9">
        <f ca="1">ROUND(data_NTC_20k_4370[[#This Row],[RaddLow]]+(IF(data_NTC_20k_4370[[#This Row],[Rsonde]]=MIN(data_NTC_20k_4370[Rsonde]),0,$D20)-data_NTC_20k_4370[[#This Row],[Rsonde]]),2)</f>
        <v>-280</v>
      </c>
      <c r="J19" s="9" cm="1">
        <f t="array" aca="1" ref="J19" ca="1">MIN(IF(ResValuesR24&gt;=ROUND(data_NTC_20k_4370[[#This Row],[Rsonde]],2)-IF(data_NTC_20k_4370[[#This Row],[Rsonde]]=MIN(data_NTC_20k_4370[Rsonde]),100,$D20),ResValuesR24))</f>
        <v>3300</v>
      </c>
      <c r="K19" s="9">
        <f ca="1">ROUND(data_NTC_20k_4370[[#This Row],[RaddHigh]]+(IF(data_NTC_20k_4370[[#This Row],[Rsonde]]=MIN(data_NTC_20k_4370[Rsonde]),0,$D20)-data_NTC_20k_4370[[#This Row],[Rsonde]]),2)</f>
        <v>20</v>
      </c>
      <c r="L19" s="2" cm="1">
        <f t="array" aca="1" ref="L19" ca="1">IF(INDIRECT(RefCell_R77),(data_NTC_20k_4370[[#This Row],[Rpcb]]*INDIRECT(RefCell_R77))/(data_NTC_20k_4370[[#This Row],[Rpcb]]+INDIRECT(RefCell_R77)),data_NTC_20k_4370[[#This Row],[Rpcb]])</f>
        <v>4581.1152069999189</v>
      </c>
    </row>
    <row r="20" spans="1:12" x14ac:dyDescent="0.25">
      <c r="A20" t="s">
        <v>31</v>
      </c>
      <c r="B20" s="8">
        <v>10.5</v>
      </c>
      <c r="C20" s="9">
        <v>40949</v>
      </c>
      <c r="D20" s="9" cm="1">
        <f t="array" aca="1" ref="D20" ca="1">INDIRECT(RefCell_Rpot)+SUM(G20:G$34)</f>
        <v>40962</v>
      </c>
      <c r="E20" s="9">
        <f ca="1">data_NTC_20k_4370[[#This Row],[Rpcb]]-data_NTC_20k_4370[[#This Row],[Rsonde]]</f>
        <v>13</v>
      </c>
      <c r="F20" s="4">
        <f ca="1">data_NTC_20k_4370[[#This Row],[Diff R]]/data_NTC_20k_4370[[#This Row],[Rsonde]]</f>
        <v>3.1746807003834037E-4</v>
      </c>
      <c r="G20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3000</v>
      </c>
      <c r="H20" s="9" cm="1">
        <f t="array" aca="1" ref="H20" ca="1">MAX(IF(ResValuesR24&lt;=ROUND(data_NTC_20k_4370[[#This Row],[Rsonde]],2)-IF(data_NTC_20k_4370[[#This Row],[Rsonde]]=MIN(data_NTC_20k_4370[Rsonde]),100,$D21),ResValuesR24))</f>
        <v>2700</v>
      </c>
      <c r="I20" s="9">
        <f ca="1">ROUND(data_NTC_20k_4370[[#This Row],[RaddLow]]+(IF(data_NTC_20k_4370[[#This Row],[Rsonde]]=MIN(data_NTC_20k_4370[Rsonde]),0,$D21)-data_NTC_20k_4370[[#This Row],[Rsonde]]),2)</f>
        <v>-287</v>
      </c>
      <c r="J20" s="9" cm="1">
        <f t="array" aca="1" ref="J20" ca="1">MIN(IF(ResValuesR24&gt;=ROUND(data_NTC_20k_4370[[#This Row],[Rsonde]],2)-IF(data_NTC_20k_4370[[#This Row],[Rsonde]]=MIN(data_NTC_20k_4370[Rsonde]),100,$D21),ResValuesR24))</f>
        <v>3000</v>
      </c>
      <c r="K20" s="9">
        <f ca="1">ROUND(data_NTC_20k_4370[[#This Row],[RaddHigh]]+(IF(data_NTC_20k_4370[[#This Row],[Rsonde]]=MIN(data_NTC_20k_4370[Rsonde]),0,$D21)-data_NTC_20k_4370[[#This Row],[Rsonde]]),2)</f>
        <v>13</v>
      </c>
      <c r="L20" s="2" cm="1">
        <f t="array" aca="1" ref="L20" ca="1">IF(INDIRECT(RefCell_R77),(data_NTC_20k_4370[[#This Row],[Rpcb]]*INDIRECT(RefCell_R77))/(data_NTC_20k_4370[[#This Row],[Rpcb]]+INDIRECT(RefCell_R77)),data_NTC_20k_4370[[#This Row],[Rpcb]])</f>
        <v>4543.2327661052268</v>
      </c>
    </row>
    <row r="21" spans="1:12" x14ac:dyDescent="0.25">
      <c r="A21" t="s">
        <v>30</v>
      </c>
      <c r="B21" s="8">
        <v>12</v>
      </c>
      <c r="C21" s="9">
        <v>37924</v>
      </c>
      <c r="D21" s="9" cm="1">
        <f t="array" aca="1" ref="D21" ca="1">INDIRECT(RefCell_Rpot)+SUM(G21:G$34)</f>
        <v>37962</v>
      </c>
      <c r="E21" s="9">
        <f ca="1">data_NTC_20k_4370[[#This Row],[Rpcb]]-data_NTC_20k_4370[[#This Row],[Rsonde]]</f>
        <v>38</v>
      </c>
      <c r="F21" s="4">
        <f ca="1">data_NTC_20k_4370[[#This Row],[Diff R]]/data_NTC_20k_4370[[#This Row],[Rsonde]]</f>
        <v>1.002004008016032E-3</v>
      </c>
      <c r="G21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2700</v>
      </c>
      <c r="H21" s="9" cm="1">
        <f t="array" aca="1" ref="H21" ca="1">MAX(IF(ResValuesR24&lt;=ROUND(data_NTC_20k_4370[[#This Row],[Rsonde]],2)-IF(data_NTC_20k_4370[[#This Row],[Rsonde]]=MIN(data_NTC_20k_4370[Rsonde]),100,$D22),ResValuesR24))</f>
        <v>2400</v>
      </c>
      <c r="I21" s="9">
        <f ca="1">ROUND(data_NTC_20k_4370[[#This Row],[RaddLow]]+(IF(data_NTC_20k_4370[[#This Row],[Rsonde]]=MIN(data_NTC_20k_4370[Rsonde]),0,$D22)-data_NTC_20k_4370[[#This Row],[Rsonde]]),2)</f>
        <v>-262</v>
      </c>
      <c r="J21" s="9" cm="1">
        <f t="array" aca="1" ref="J21" ca="1">MIN(IF(ResValuesR24&gt;=ROUND(data_NTC_20k_4370[[#This Row],[Rsonde]],2)-IF(data_NTC_20k_4370[[#This Row],[Rsonde]]=MIN(data_NTC_20k_4370[Rsonde]),100,$D22),ResValuesR24))</f>
        <v>2700</v>
      </c>
      <c r="K21" s="9">
        <f ca="1">ROUND(data_NTC_20k_4370[[#This Row],[RaddHigh]]+(IF(data_NTC_20k_4370[[#This Row],[Rsonde]]=MIN(data_NTC_20k_4370[Rsonde]),0,$D22)-data_NTC_20k_4370[[#This Row],[Rsonde]]),2)</f>
        <v>38</v>
      </c>
      <c r="L21" s="2" cm="1">
        <f t="array" aca="1" ref="L21" ca="1">IF(INDIRECT(RefCell_R77),(data_NTC_20k_4370[[#This Row],[Rpcb]]*INDIRECT(RefCell_R77))/(data_NTC_20k_4370[[#This Row],[Rpcb]]+INDIRECT(RefCell_R77)),data_NTC_20k_4370[[#This Row],[Rpcb]])</f>
        <v>4503.756965081724</v>
      </c>
    </row>
    <row r="22" spans="1:12" x14ac:dyDescent="0.25">
      <c r="A22" t="s">
        <v>29</v>
      </c>
      <c r="B22" s="8">
        <v>13.5</v>
      </c>
      <c r="C22" s="9">
        <v>35144</v>
      </c>
      <c r="D22" s="9" cm="1">
        <f t="array" aca="1" ref="D22" ca="1">INDIRECT(RefCell_Rpot)+SUM(G22:G$34)</f>
        <v>35262</v>
      </c>
      <c r="E22" s="9">
        <f ca="1">data_NTC_20k_4370[[#This Row],[Rpcb]]-data_NTC_20k_4370[[#This Row],[Rsonde]]</f>
        <v>118</v>
      </c>
      <c r="F22" s="4">
        <f ca="1">data_NTC_20k_4370[[#This Row],[Diff R]]/data_NTC_20k_4370[[#This Row],[Rsonde]]</f>
        <v>3.3576143865240156E-3</v>
      </c>
      <c r="G22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2700</v>
      </c>
      <c r="H22" s="9" cm="1">
        <f t="array" aca="1" ref="H22" ca="1">MAX(IF(ResValuesR24&lt;=ROUND(data_NTC_20k_4370[[#This Row],[Rsonde]],2)-IF(data_NTC_20k_4370[[#This Row],[Rsonde]]=MIN(data_NTC_20k_4370[Rsonde]),100,$D23),ResValuesR24))</f>
        <v>2400</v>
      </c>
      <c r="I22" s="9">
        <f ca="1">ROUND(data_NTC_20k_4370[[#This Row],[RaddLow]]+(IF(data_NTC_20k_4370[[#This Row],[Rsonde]]=MIN(data_NTC_20k_4370[Rsonde]),0,$D23)-data_NTC_20k_4370[[#This Row],[Rsonde]]),2)</f>
        <v>-182</v>
      </c>
      <c r="J22" s="9" cm="1">
        <f t="array" aca="1" ref="J22" ca="1">MIN(IF(ResValuesR24&gt;=ROUND(data_NTC_20k_4370[[#This Row],[Rsonde]],2)-IF(data_NTC_20k_4370[[#This Row],[Rsonde]]=MIN(data_NTC_20k_4370[Rsonde]),100,$D23),ResValuesR24))</f>
        <v>2700</v>
      </c>
      <c r="K22" s="9">
        <f ca="1">ROUND(data_NTC_20k_4370[[#This Row],[RaddHigh]]+(IF(data_NTC_20k_4370[[#This Row],[Rsonde]]=MIN(data_NTC_20k_4370[Rsonde]),0,$D23)-data_NTC_20k_4370[[#This Row],[Rsonde]]),2)</f>
        <v>118</v>
      </c>
      <c r="L22" s="2" cm="1">
        <f t="array" aca="1" ref="L22" ca="1">IF(INDIRECT(RefCell_R77),(data_NTC_20k_4370[[#This Row],[Rpcb]]*INDIRECT(RefCell_R77))/(data_NTC_20k_4370[[#This Row],[Rpcb]]+INDIRECT(RefCell_R77)),data_NTC_20k_4370[[#This Row],[Rpcb]])</f>
        <v>4463.2126226097298</v>
      </c>
    </row>
    <row r="23" spans="1:12" x14ac:dyDescent="0.25">
      <c r="A23" t="s">
        <v>28</v>
      </c>
      <c r="B23" s="8">
        <v>15</v>
      </c>
      <c r="C23" s="9">
        <v>32588</v>
      </c>
      <c r="D23" s="9" cm="1">
        <f t="array" aca="1" ref="D23" ca="1">INDIRECT(RefCell_Rpot)+SUM(G23:G$34)</f>
        <v>32562</v>
      </c>
      <c r="E23" s="9">
        <f ca="1">data_NTC_20k_4370[[#This Row],[Rpcb]]-data_NTC_20k_4370[[#This Row],[Rsonde]]</f>
        <v>-26</v>
      </c>
      <c r="F23" s="4">
        <f ca="1">data_NTC_20k_4370[[#This Row],[Diff R]]/data_NTC_20k_4370[[#This Row],[Rsonde]]</f>
        <v>-7.9783969559347003E-4</v>
      </c>
      <c r="G23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2400</v>
      </c>
      <c r="H23" s="9" cm="1">
        <f t="array" aca="1" ref="H23" ca="1">MAX(IF(ResValuesR24&lt;=ROUND(data_NTC_20k_4370[[#This Row],[Rsonde]],2)-IF(data_NTC_20k_4370[[#This Row],[Rsonde]]=MIN(data_NTC_20k_4370[Rsonde]),100,$D24),ResValuesR24))</f>
        <v>2400</v>
      </c>
      <c r="I23" s="9">
        <f ca="1">ROUND(data_NTC_20k_4370[[#This Row],[RaddLow]]+(IF(data_NTC_20k_4370[[#This Row],[Rsonde]]=MIN(data_NTC_20k_4370[Rsonde]),0,$D24)-data_NTC_20k_4370[[#This Row],[Rsonde]]),2)</f>
        <v>-26</v>
      </c>
      <c r="J23" s="9" cm="1">
        <f t="array" aca="1" ref="J23" ca="1">MIN(IF(ResValuesR24&gt;=ROUND(data_NTC_20k_4370[[#This Row],[Rsonde]],2)-IF(data_NTC_20k_4370[[#This Row],[Rsonde]]=MIN(data_NTC_20k_4370[Rsonde]),100,$D24),ResValuesR24))</f>
        <v>2700</v>
      </c>
      <c r="K23" s="9">
        <f ca="1">ROUND(data_NTC_20k_4370[[#This Row],[RaddHigh]]+(IF(data_NTC_20k_4370[[#This Row],[Rsonde]]=MIN(data_NTC_20k_4370[Rsonde]),0,$D24)-data_NTC_20k_4370[[#This Row],[Rsonde]]),2)</f>
        <v>274</v>
      </c>
      <c r="L23" s="2" cm="1">
        <f t="array" aca="1" ref="L23" ca="1">IF(INDIRECT(RefCell_R77),(data_NTC_20k_4370[[#This Row],[Rpcb]]*INDIRECT(RefCell_R77))/(data_NTC_20k_4370[[#This Row],[Rpcb]]+INDIRECT(RefCell_R77)),data_NTC_20k_4370[[#This Row],[Rpcb]])</f>
        <v>4416.8565512847736</v>
      </c>
    </row>
    <row r="24" spans="1:12" x14ac:dyDescent="0.25">
      <c r="A24" t="s">
        <v>27</v>
      </c>
      <c r="B24" s="8">
        <v>16.5</v>
      </c>
      <c r="C24" s="9">
        <v>30237</v>
      </c>
      <c r="D24" s="9" cm="1">
        <f t="array" aca="1" ref="D24" ca="1">INDIRECT(RefCell_Rpot)+SUM(G24:G$34)</f>
        <v>30162</v>
      </c>
      <c r="E24" s="9">
        <f ca="1">data_NTC_20k_4370[[#This Row],[Rpcb]]-data_NTC_20k_4370[[#This Row],[Rsonde]]</f>
        <v>-75</v>
      </c>
      <c r="F24" s="4">
        <f ca="1">data_NTC_20k_4370[[#This Row],[Diff R]]/data_NTC_20k_4370[[#This Row],[Rsonde]]</f>
        <v>-2.480404802063697E-3</v>
      </c>
      <c r="G24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2000</v>
      </c>
      <c r="H24" s="9" cm="1">
        <f t="array" aca="1" ref="H24" ca="1">MAX(IF(ResValuesR24&lt;=ROUND(data_NTC_20k_4370[[#This Row],[Rsonde]],2)-IF(data_NTC_20k_4370[[#This Row],[Rsonde]]=MIN(data_NTC_20k_4370[Rsonde]),100,$D25),ResValuesR24))</f>
        <v>2000</v>
      </c>
      <c r="I24" s="9">
        <f ca="1">ROUND(data_NTC_20k_4370[[#This Row],[RaddLow]]+(IF(data_NTC_20k_4370[[#This Row],[Rsonde]]=MIN(data_NTC_20k_4370[Rsonde]),0,$D25)-data_NTC_20k_4370[[#This Row],[Rsonde]]),2)</f>
        <v>-75</v>
      </c>
      <c r="J24" s="9" cm="1">
        <f t="array" aca="1" ref="J24" ca="1">MIN(IF(ResValuesR24&gt;=ROUND(data_NTC_20k_4370[[#This Row],[Rsonde]],2)-IF(data_NTC_20k_4370[[#This Row],[Rsonde]]=MIN(data_NTC_20k_4370[Rsonde]),100,$D25),ResValuesR24))</f>
        <v>2200</v>
      </c>
      <c r="K24" s="9">
        <f ca="1">ROUND(data_NTC_20k_4370[[#This Row],[RaddHigh]]+(IF(data_NTC_20k_4370[[#This Row],[Rsonde]]=MIN(data_NTC_20k_4370[Rsonde]),0,$D25)-data_NTC_20k_4370[[#This Row],[Rsonde]]),2)</f>
        <v>125</v>
      </c>
      <c r="L24" s="2" cm="1">
        <f t="array" aca="1" ref="L24" ca="1">IF(INDIRECT(RefCell_R77),(data_NTC_20k_4370[[#This Row],[Rpcb]]*INDIRECT(RefCell_R77))/(data_NTC_20k_4370[[#This Row],[Rpcb]]+INDIRECT(RefCell_R77)),data_NTC_20k_4370[[#This Row],[Rpcb]])</f>
        <v>4369.6932410977543</v>
      </c>
    </row>
    <row r="25" spans="1:12" x14ac:dyDescent="0.25">
      <c r="A25" t="s">
        <v>26</v>
      </c>
      <c r="B25" s="8">
        <v>18</v>
      </c>
      <c r="C25" s="9">
        <v>28072</v>
      </c>
      <c r="D25" s="9" cm="1">
        <f t="array" aca="1" ref="D25" ca="1">INDIRECT(RefCell_Rpot)+SUM(G25:G$34)</f>
        <v>28162</v>
      </c>
      <c r="E25" s="9">
        <f ca="1">data_NTC_20k_4370[[#This Row],[Rpcb]]-data_NTC_20k_4370[[#This Row],[Rsonde]]</f>
        <v>90</v>
      </c>
      <c r="F25" s="4">
        <f ca="1">data_NTC_20k_4370[[#This Row],[Diff R]]/data_NTC_20k_4370[[#This Row],[Rsonde]]</f>
        <v>3.2060416072955257E-3</v>
      </c>
      <c r="G25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2000</v>
      </c>
      <c r="H25" s="9" cm="1">
        <f t="array" aca="1" ref="H25" ca="1">MAX(IF(ResValuesR24&lt;=ROUND(data_NTC_20k_4370[[#This Row],[Rsonde]],2)-IF(data_NTC_20k_4370[[#This Row],[Rsonde]]=MIN(data_NTC_20k_4370[Rsonde]),100,$D26),ResValuesR24))</f>
        <v>1800</v>
      </c>
      <c r="I25" s="9">
        <f ca="1">ROUND(data_NTC_20k_4370[[#This Row],[RaddLow]]+(IF(data_NTC_20k_4370[[#This Row],[Rsonde]]=MIN(data_NTC_20k_4370[Rsonde]),0,$D26)-data_NTC_20k_4370[[#This Row],[Rsonde]]),2)</f>
        <v>-110</v>
      </c>
      <c r="J25" s="9" cm="1">
        <f t="array" aca="1" ref="J25" ca="1">MIN(IF(ResValuesR24&gt;=ROUND(data_NTC_20k_4370[[#This Row],[Rsonde]],2)-IF(data_NTC_20k_4370[[#This Row],[Rsonde]]=MIN(data_NTC_20k_4370[Rsonde]),100,$D26),ResValuesR24))</f>
        <v>2000</v>
      </c>
      <c r="K25" s="9">
        <f ca="1">ROUND(data_NTC_20k_4370[[#This Row],[RaddHigh]]+(IF(data_NTC_20k_4370[[#This Row],[Rsonde]]=MIN(data_NTC_20k_4370[Rsonde]),0,$D26)-data_NTC_20k_4370[[#This Row],[Rsonde]]),2)</f>
        <v>90</v>
      </c>
      <c r="L25" s="2" cm="1">
        <f t="array" aca="1" ref="L25" ca="1">IF(INDIRECT(RefCell_R77),(data_NTC_20k_4370[[#This Row],[Rpcb]]*INDIRECT(RefCell_R77))/(data_NTC_20k_4370[[#This Row],[Rpcb]]+INDIRECT(RefCell_R77)),data_NTC_20k_4370[[#This Row],[Rpcb]])</f>
        <v>4325.1929550372688</v>
      </c>
    </row>
    <row r="26" spans="1:12" x14ac:dyDescent="0.25">
      <c r="A26" t="s">
        <v>25</v>
      </c>
      <c r="B26" s="8">
        <v>19.5</v>
      </c>
      <c r="C26" s="9">
        <v>26077</v>
      </c>
      <c r="D26" s="9" cm="1">
        <f t="array" aca="1" ref="D26" ca="1">INDIRECT(RefCell_Rpot)+SUM(G26:G$34)</f>
        <v>26162</v>
      </c>
      <c r="E26" s="9">
        <f ca="1">data_NTC_20k_4370[[#This Row],[Rpcb]]-data_NTC_20k_4370[[#This Row],[Rsonde]]</f>
        <v>85</v>
      </c>
      <c r="F26" s="4">
        <f ca="1">data_NTC_20k_4370[[#This Row],[Diff R]]/data_NTC_20k_4370[[#This Row],[Rsonde]]</f>
        <v>3.2595774053763853E-3</v>
      </c>
      <c r="G26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2000</v>
      </c>
      <c r="H26" s="9" cm="1">
        <f t="array" aca="1" ref="H26" ca="1">MAX(IF(ResValuesR24&lt;=ROUND(data_NTC_20k_4370[[#This Row],[Rsonde]],2)-IF(data_NTC_20k_4370[[#This Row],[Rsonde]]=MIN(data_NTC_20k_4370[Rsonde]),100,$D27),ResValuesR24))</f>
        <v>1800</v>
      </c>
      <c r="I26" s="9">
        <f ca="1">ROUND(data_NTC_20k_4370[[#This Row],[RaddLow]]+(IF(data_NTC_20k_4370[[#This Row],[Rsonde]]=MIN(data_NTC_20k_4370[Rsonde]),0,$D27)-data_NTC_20k_4370[[#This Row],[Rsonde]]),2)</f>
        <v>-115</v>
      </c>
      <c r="J26" s="9" cm="1">
        <f t="array" aca="1" ref="J26" ca="1">MIN(IF(ResValuesR24&gt;=ROUND(data_NTC_20k_4370[[#This Row],[Rsonde]],2)-IF(data_NTC_20k_4370[[#This Row],[Rsonde]]=MIN(data_NTC_20k_4370[Rsonde]),100,$D27),ResValuesR24))</f>
        <v>2000</v>
      </c>
      <c r="K26" s="9">
        <f ca="1">ROUND(data_NTC_20k_4370[[#This Row],[RaddHigh]]+(IF(data_NTC_20k_4370[[#This Row],[Rsonde]]=MIN(data_NTC_20k_4370[Rsonde]),0,$D27)-data_NTC_20k_4370[[#This Row],[Rsonde]]),2)</f>
        <v>85</v>
      </c>
      <c r="L26" s="2" cm="1">
        <f t="array" aca="1" ref="L26" ca="1">IF(INDIRECT(RefCell_R77),(data_NTC_20k_4370[[#This Row],[Rpcb]]*INDIRECT(RefCell_R77))/(data_NTC_20k_4370[[#This Row],[Rpcb]]+INDIRECT(RefCell_R77)),data_NTC_20k_4370[[#This Row],[Rpcb]])</f>
        <v>4275.0006395497567</v>
      </c>
    </row>
    <row r="27" spans="1:12" x14ac:dyDescent="0.25">
      <c r="A27" t="s">
        <v>24</v>
      </c>
      <c r="B27" s="8">
        <v>21</v>
      </c>
      <c r="C27" s="9">
        <v>24238</v>
      </c>
      <c r="D27" s="9" cm="1">
        <f t="array" aca="1" ref="D27" ca="1">INDIRECT(RefCell_Rpot)+SUM(G27:G$34)</f>
        <v>24162</v>
      </c>
      <c r="E27" s="9">
        <f ca="1">data_NTC_20k_4370[[#This Row],[Rpcb]]-data_NTC_20k_4370[[#This Row],[Rsonde]]</f>
        <v>-76</v>
      </c>
      <c r="F27" s="4">
        <f ca="1">data_NTC_20k_4370[[#This Row],[Diff R]]/data_NTC_20k_4370[[#This Row],[Rsonde]]</f>
        <v>-3.1355722419341529E-3</v>
      </c>
      <c r="G27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1600</v>
      </c>
      <c r="H27" s="9" cm="1">
        <f t="array" aca="1" ref="H27" ca="1">MAX(IF(ResValuesR24&lt;=ROUND(data_NTC_20k_4370[[#This Row],[Rsonde]],2)-IF(data_NTC_20k_4370[[#This Row],[Rsonde]]=MIN(data_NTC_20k_4370[Rsonde]),100,$D28),ResValuesR24))</f>
        <v>1600</v>
      </c>
      <c r="I27" s="9">
        <f ca="1">ROUND(data_NTC_20k_4370[[#This Row],[RaddLow]]+(IF(data_NTC_20k_4370[[#This Row],[Rsonde]]=MIN(data_NTC_20k_4370[Rsonde]),0,$D28)-data_NTC_20k_4370[[#This Row],[Rsonde]]),2)</f>
        <v>-76</v>
      </c>
      <c r="J27" s="9" cm="1">
        <f t="array" aca="1" ref="J27" ca="1">MIN(IF(ResValuesR24&gt;=ROUND(data_NTC_20k_4370[[#This Row],[Rsonde]],2)-IF(data_NTC_20k_4370[[#This Row],[Rsonde]]=MIN(data_NTC_20k_4370[Rsonde]),100,$D28),ResValuesR24))</f>
        <v>1800</v>
      </c>
      <c r="K27" s="9">
        <f ca="1">ROUND(data_NTC_20k_4370[[#This Row],[RaddHigh]]+(IF(data_NTC_20k_4370[[#This Row],[Rsonde]]=MIN(data_NTC_20k_4370[Rsonde]),0,$D28)-data_NTC_20k_4370[[#This Row],[Rsonde]]),2)</f>
        <v>124</v>
      </c>
      <c r="L27" s="2" cm="1">
        <f t="array" aca="1" ref="L27" ca="1">IF(INDIRECT(RefCell_R77),(data_NTC_20k_4370[[#This Row],[Rpcb]]*INDIRECT(RefCell_R77))/(data_NTC_20k_4370[[#This Row],[Rpcb]]+INDIRECT(RefCell_R77)),data_NTC_20k_4370[[#This Row],[Rpcb]])</f>
        <v>4217.9495763869909</v>
      </c>
    </row>
    <row r="28" spans="1:12" x14ac:dyDescent="0.25">
      <c r="A28" t="s">
        <v>23</v>
      </c>
      <c r="B28" s="8">
        <v>22.5</v>
      </c>
      <c r="C28" s="9">
        <v>22542</v>
      </c>
      <c r="D28" s="9" cm="1">
        <f t="array" aca="1" ref="D28" ca="1">INDIRECT(RefCell_Rpot)+SUM(G28:G$34)</f>
        <v>22562</v>
      </c>
      <c r="E28" s="9">
        <f ca="1">data_NTC_20k_4370[[#This Row],[Rpcb]]-data_NTC_20k_4370[[#This Row],[Rsonde]]</f>
        <v>20</v>
      </c>
      <c r="F28" s="4">
        <f ca="1">data_NTC_20k_4370[[#This Row],[Diff R]]/data_NTC_20k_4370[[#This Row],[Rsonde]]</f>
        <v>8.8723272114275571E-4</v>
      </c>
      <c r="G28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1600</v>
      </c>
      <c r="H28" s="9" cm="1">
        <f t="array" aca="1" ref="H28" ca="1">MAX(IF(ResValuesR24&lt;=ROUND(data_NTC_20k_4370[[#This Row],[Rsonde]],2)-IF(data_NTC_20k_4370[[#This Row],[Rsonde]]=MIN(data_NTC_20k_4370[Rsonde]),100,$D29),ResValuesR24))</f>
        <v>1500</v>
      </c>
      <c r="I28" s="9">
        <f ca="1">ROUND(data_NTC_20k_4370[[#This Row],[RaddLow]]+(IF(data_NTC_20k_4370[[#This Row],[Rsonde]]=MIN(data_NTC_20k_4370[Rsonde]),0,$D29)-data_NTC_20k_4370[[#This Row],[Rsonde]]),2)</f>
        <v>-80</v>
      </c>
      <c r="J28" s="9" cm="1">
        <f t="array" aca="1" ref="J28" ca="1">MIN(IF(ResValuesR24&gt;=ROUND(data_NTC_20k_4370[[#This Row],[Rsonde]],2)-IF(data_NTC_20k_4370[[#This Row],[Rsonde]]=MIN(data_NTC_20k_4370[Rsonde]),100,$D29),ResValuesR24))</f>
        <v>1600</v>
      </c>
      <c r="K28" s="9">
        <f ca="1">ROUND(data_NTC_20k_4370[[#This Row],[RaddHigh]]+(IF(data_NTC_20k_4370[[#This Row],[Rsonde]]=MIN(data_NTC_20k_4370[Rsonde]),0,$D29)-data_NTC_20k_4370[[#This Row],[Rsonde]]),2)</f>
        <v>20</v>
      </c>
      <c r="L28" s="2" cm="1">
        <f t="array" aca="1" ref="L28" ca="1">IF(INDIRECT(RefCell_R77),(data_NTC_20k_4370[[#This Row],[Rpcb]]*INDIRECT(RefCell_R77))/(data_NTC_20k_4370[[#This Row],[Rpcb]]+INDIRECT(RefCell_R77)),data_NTC_20k_4370[[#This Row],[Rpcb]])</f>
        <v>4166.371061000289</v>
      </c>
    </row>
    <row r="29" spans="1:12" x14ac:dyDescent="0.25">
      <c r="A29" t="s">
        <v>22</v>
      </c>
      <c r="B29" s="8">
        <v>24</v>
      </c>
      <c r="C29" s="9">
        <v>20977</v>
      </c>
      <c r="D29" s="9" cm="1">
        <f t="array" aca="1" ref="D29" ca="1">INDIRECT(RefCell_Rpot)+SUM(G29:G$34)</f>
        <v>20962</v>
      </c>
      <c r="E29" s="9">
        <f ca="1">data_NTC_20k_4370[[#This Row],[Rpcb]]-data_NTC_20k_4370[[#This Row],[Rsonde]]</f>
        <v>-15</v>
      </c>
      <c r="F29" s="4">
        <f ca="1">data_NTC_20k_4370[[#This Row],[Diff R]]/data_NTC_20k_4370[[#This Row],[Rsonde]]</f>
        <v>-7.1506888496925209E-4</v>
      </c>
      <c r="G29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1500</v>
      </c>
      <c r="H29" s="9" cm="1">
        <f t="array" aca="1" ref="H29" ca="1">MAX(IF(ResValuesR24&lt;=ROUND(data_NTC_20k_4370[[#This Row],[Rsonde]],2)-IF(data_NTC_20k_4370[[#This Row],[Rsonde]]=MIN(data_NTC_20k_4370[Rsonde]),100,$D30),ResValuesR24))</f>
        <v>1500</v>
      </c>
      <c r="I29" s="9">
        <f ca="1">ROUND(data_NTC_20k_4370[[#This Row],[RaddLow]]+(IF(data_NTC_20k_4370[[#This Row],[Rsonde]]=MIN(data_NTC_20k_4370[Rsonde]),0,$D30)-data_NTC_20k_4370[[#This Row],[Rsonde]]),2)</f>
        <v>-15</v>
      </c>
      <c r="J29" s="9" cm="1">
        <f t="array" aca="1" ref="J29" ca="1">MIN(IF(ResValuesR24&gt;=ROUND(data_NTC_20k_4370[[#This Row],[Rsonde]],2)-IF(data_NTC_20k_4370[[#This Row],[Rsonde]]=MIN(data_NTC_20k_4370[Rsonde]),100,$D30),ResValuesR24))</f>
        <v>1600</v>
      </c>
      <c r="K29" s="9">
        <f ca="1">ROUND(data_NTC_20k_4370[[#This Row],[RaddHigh]]+(IF(data_NTC_20k_4370[[#This Row],[Rsonde]]=MIN(data_NTC_20k_4370[Rsonde]),0,$D30)-data_NTC_20k_4370[[#This Row],[Rsonde]]),2)</f>
        <v>85</v>
      </c>
      <c r="L29" s="2" cm="1">
        <f t="array" aca="1" ref="L29" ca="1">IF(INDIRECT(RefCell_R77),(data_NTC_20k_4370[[#This Row],[Rpcb]]*INDIRECT(RefCell_R77))/(data_NTC_20k_4370[[#This Row],[Rpcb]]+INDIRECT(RefCell_R77)),data_NTC_20k_4370[[#This Row],[Rpcb]])</f>
        <v>4108.4619515188706</v>
      </c>
    </row>
    <row r="30" spans="1:12" x14ac:dyDescent="0.25">
      <c r="A30" t="s">
        <v>21</v>
      </c>
      <c r="B30" s="8">
        <v>25.5</v>
      </c>
      <c r="C30" s="9">
        <v>19532</v>
      </c>
      <c r="D30" s="9" cm="1">
        <f t="array" aca="1" ref="D30" ca="1">INDIRECT(RefCell_Rpot)+SUM(G30:G$34)</f>
        <v>19462</v>
      </c>
      <c r="E30" s="9">
        <f ca="1">data_NTC_20k_4370[[#This Row],[Rpcb]]-data_NTC_20k_4370[[#This Row],[Rsonde]]</f>
        <v>-70</v>
      </c>
      <c r="F30" s="4">
        <f ca="1">data_NTC_20k_4370[[#This Row],[Diff R]]/data_NTC_20k_4370[[#This Row],[Rsonde]]</f>
        <v>-3.5838623796846203E-3</v>
      </c>
      <c r="G30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1300</v>
      </c>
      <c r="H30" s="9" cm="1">
        <f t="array" aca="1" ref="H30" ca="1">MAX(IF(ResValuesR24&lt;=ROUND(data_NTC_20k_4370[[#This Row],[Rsonde]],2)-IF(data_NTC_20k_4370[[#This Row],[Rsonde]]=MIN(data_NTC_20k_4370[Rsonde]),100,$D31),ResValuesR24))</f>
        <v>1300</v>
      </c>
      <c r="I30" s="9">
        <f ca="1">ROUND(data_NTC_20k_4370[[#This Row],[RaddLow]]+(IF(data_NTC_20k_4370[[#This Row],[Rsonde]]=MIN(data_NTC_20k_4370[Rsonde]),0,$D31)-data_NTC_20k_4370[[#This Row],[Rsonde]]),2)</f>
        <v>-70</v>
      </c>
      <c r="J30" s="9" cm="1">
        <f t="array" aca="1" ref="J30" ca="1">MIN(IF(ResValuesR24&gt;=ROUND(data_NTC_20k_4370[[#This Row],[Rsonde]],2)-IF(data_NTC_20k_4370[[#This Row],[Rsonde]]=MIN(data_NTC_20k_4370[Rsonde]),100,$D31),ResValuesR24))</f>
        <v>1500</v>
      </c>
      <c r="K30" s="9">
        <f ca="1">ROUND(data_NTC_20k_4370[[#This Row],[RaddHigh]]+(IF(data_NTC_20k_4370[[#This Row],[Rsonde]]=MIN(data_NTC_20k_4370[Rsonde]),0,$D31)-data_NTC_20k_4370[[#This Row],[Rsonde]]),2)</f>
        <v>130</v>
      </c>
      <c r="L30" s="2" cm="1">
        <f t="array" aca="1" ref="L30" ca="1">IF(INDIRECT(RefCell_R77),(data_NTC_20k_4370[[#This Row],[Rpcb]]*INDIRECT(RefCell_R77))/(data_NTC_20k_4370[[#This Row],[Rpcb]]+INDIRECT(RefCell_R77)),data_NTC_20k_4370[[#This Row],[Rpcb]])</f>
        <v>4047.3229692332739</v>
      </c>
    </row>
    <row r="31" spans="1:12" x14ac:dyDescent="0.25">
      <c r="A31" t="s">
        <v>20</v>
      </c>
      <c r="B31" s="8">
        <v>27</v>
      </c>
      <c r="C31" s="9">
        <v>18196</v>
      </c>
      <c r="D31" s="9" cm="1">
        <f t="array" aca="1" ref="D31" ca="1">INDIRECT(RefCell_Rpot)+SUM(G31:G$34)</f>
        <v>18162</v>
      </c>
      <c r="E31" s="9">
        <f ca="1">data_NTC_20k_4370[[#This Row],[Rpcb]]-data_NTC_20k_4370[[#This Row],[Rsonde]]</f>
        <v>-34</v>
      </c>
      <c r="F31" s="4">
        <f ca="1">data_NTC_20k_4370[[#This Row],[Diff R]]/data_NTC_20k_4370[[#This Row],[Rsonde]]</f>
        <v>-1.8685425368212794E-3</v>
      </c>
      <c r="G31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1200</v>
      </c>
      <c r="H31" s="9" cm="1">
        <f t="array" aca="1" ref="H31" ca="1">MAX(IF(ResValuesR24&lt;=ROUND(data_NTC_20k_4370[[#This Row],[Rsonde]],2)-IF(data_NTC_20k_4370[[#This Row],[Rsonde]]=MIN(data_NTC_20k_4370[Rsonde]),100,$D32),ResValuesR24))</f>
        <v>1200</v>
      </c>
      <c r="I31" s="9">
        <f ca="1">ROUND(data_NTC_20k_4370[[#This Row],[RaddLow]]+(IF(data_NTC_20k_4370[[#This Row],[Rsonde]]=MIN(data_NTC_20k_4370[Rsonde]),0,$D32)-data_NTC_20k_4370[[#This Row],[Rsonde]]),2)</f>
        <v>-34</v>
      </c>
      <c r="J31" s="9" cm="1">
        <f t="array" aca="1" ref="J31" ca="1">MIN(IF(ResValuesR24&gt;=ROUND(data_NTC_20k_4370[[#This Row],[Rsonde]],2)-IF(data_NTC_20k_4370[[#This Row],[Rsonde]]=MIN(data_NTC_20k_4370[Rsonde]),100,$D32),ResValuesR24))</f>
        <v>1300</v>
      </c>
      <c r="K31" s="9">
        <f ca="1">ROUND(data_NTC_20k_4370[[#This Row],[RaddHigh]]+(IF(data_NTC_20k_4370[[#This Row],[Rsonde]]=MIN(data_NTC_20k_4370[Rsonde]),0,$D32)-data_NTC_20k_4370[[#This Row],[Rsonde]]),2)</f>
        <v>66</v>
      </c>
      <c r="L31" s="2" cm="1">
        <f t="array" aca="1" ref="L31" ca="1">IF(INDIRECT(RefCell_R77),(data_NTC_20k_4370[[#This Row],[Rpcb]]*INDIRECT(RefCell_R77))/(data_NTC_20k_4370[[#This Row],[Rpcb]]+INDIRECT(RefCell_R77)),data_NTC_20k_4370[[#This Row],[Rpcb]])</f>
        <v>3987.9606393949812</v>
      </c>
    </row>
    <row r="32" spans="1:12" x14ac:dyDescent="0.25">
      <c r="A32" t="s">
        <v>19</v>
      </c>
      <c r="B32" s="8">
        <v>28.5</v>
      </c>
      <c r="C32" s="9">
        <v>16961</v>
      </c>
      <c r="D32" s="9" cm="1">
        <f t="array" aca="1" ref="D32" ca="1">INDIRECT(RefCell_Rpot)+SUM(G32:G$34)</f>
        <v>16962</v>
      </c>
      <c r="E32" s="9">
        <f ca="1">data_NTC_20k_4370[[#This Row],[Rpcb]]-data_NTC_20k_4370[[#This Row],[Rsonde]]</f>
        <v>1</v>
      </c>
      <c r="F32" s="4">
        <f ca="1">data_NTC_20k_4370[[#This Row],[Diff R]]/data_NTC_20k_4370[[#This Row],[Rsonde]]</f>
        <v>5.895878780732268E-5</v>
      </c>
      <c r="G32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1100</v>
      </c>
      <c r="H32" s="9" cm="1">
        <f t="array" aca="1" ref="H32" ca="1">MAX(IF(ResValuesR24&lt;=ROUND(data_NTC_20k_4370[[#This Row],[Rsonde]],2)-IF(data_NTC_20k_4370[[#This Row],[Rsonde]]=MIN(data_NTC_20k_4370[Rsonde]),100,$D33),ResValuesR24))</f>
        <v>1000</v>
      </c>
      <c r="I32" s="9">
        <f ca="1">ROUND(data_NTC_20k_4370[[#This Row],[RaddLow]]+(IF(data_NTC_20k_4370[[#This Row],[Rsonde]]=MIN(data_NTC_20k_4370[Rsonde]),0,$D33)-data_NTC_20k_4370[[#This Row],[Rsonde]]),2)</f>
        <v>-99</v>
      </c>
      <c r="J32" s="9" cm="1">
        <f t="array" aca="1" ref="J32" ca="1">MIN(IF(ResValuesR24&gt;=ROUND(data_NTC_20k_4370[[#This Row],[Rsonde]],2)-IF(data_NTC_20k_4370[[#This Row],[Rsonde]]=MIN(data_NTC_20k_4370[Rsonde]),100,$D33),ResValuesR24))</f>
        <v>1100</v>
      </c>
      <c r="K32" s="9">
        <f ca="1">ROUND(data_NTC_20k_4370[[#This Row],[RaddHigh]]+(IF(data_NTC_20k_4370[[#This Row],[Rsonde]]=MIN(data_NTC_20k_4370[Rsonde]),0,$D33)-data_NTC_20k_4370[[#This Row],[Rsonde]]),2)</f>
        <v>1</v>
      </c>
      <c r="L32" s="2" cm="1">
        <f t="array" aca="1" ref="L32" ca="1">IF(INDIRECT(RefCell_R77),(data_NTC_20k_4370[[#This Row],[Rpcb]]*INDIRECT(RefCell_R77))/(data_NTC_20k_4370[[#This Row],[Rpcb]]+INDIRECT(RefCell_R77)),data_NTC_20k_4370[[#This Row],[Rpcb]])</f>
        <v>3926.9581370061615</v>
      </c>
    </row>
    <row r="33" spans="1:12" x14ac:dyDescent="0.25">
      <c r="A33" t="s">
        <v>18</v>
      </c>
      <c r="B33" s="8">
        <v>30</v>
      </c>
      <c r="C33" s="9">
        <v>15819</v>
      </c>
      <c r="D33" s="9" cm="1">
        <f t="array" aca="1" ref="D33" ca="1">INDIRECT(RefCell_Rpot)+SUM(G33:G$34)</f>
        <v>15862</v>
      </c>
      <c r="E33" s="9">
        <f ca="1">data_NTC_20k_4370[[#This Row],[Rpcb]]-data_NTC_20k_4370[[#This Row],[Rsonde]]</f>
        <v>43</v>
      </c>
      <c r="F33" s="4">
        <f ca="1">data_NTC_20k_4370[[#This Row],[Diff R]]/data_NTC_20k_4370[[#This Row],[Rsonde]]</f>
        <v>2.7182502054491436E-3</v>
      </c>
      <c r="G33" s="9">
        <f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1100</v>
      </c>
      <c r="H33" s="9" cm="1">
        <f t="array" ref="H33">MAX(IF(ResValuesR24&lt;=ROUND(data_NTC_20k_4370[[#This Row],[Rsonde]],2)-IF(data_NTC_20k_4370[[#This Row],[Rsonde]]=MIN(data_NTC_20k_4370[Rsonde]),100,$D34),ResValuesR24))</f>
        <v>1100</v>
      </c>
      <c r="I33" s="9">
        <f>ROUND(data_NTC_20k_4370[[#This Row],[RaddLow]]+(IF(data_NTC_20k_4370[[#This Row],[Rsonde]]=MIN(data_NTC_20k_4370[Rsonde]),0,$D34)-data_NTC_20k_4370[[#This Row],[Rsonde]]),2)</f>
        <v>-19</v>
      </c>
      <c r="J33" s="9" cm="1">
        <f t="array" ref="J33">MIN(IF(ResValuesR24&gt;=ROUND(data_NTC_20k_4370[[#This Row],[Rsonde]],2)-IF(data_NTC_20k_4370[[#This Row],[Rsonde]]=MIN(data_NTC_20k_4370[Rsonde]),100,$D34),ResValuesR24))</f>
        <v>1200</v>
      </c>
      <c r="K33" s="9">
        <f>ROUND(data_NTC_20k_4370[[#This Row],[RaddHigh]]+(IF(data_NTC_20k_4370[[#This Row],[Rsonde]]=MIN(data_NTC_20k_4370[Rsonde]),0,$D34)-data_NTC_20k_4370[[#This Row],[Rsonde]]),2)</f>
        <v>81</v>
      </c>
      <c r="L33" s="2" cm="1">
        <f t="array" aca="1" ref="L33" ca="1">IF(INDIRECT(RefCell_R77),(data_NTC_20k_4370[[#This Row],[Rpcb]]*INDIRECT(RefCell_R77))/(data_NTC_20k_4370[[#This Row],[Rpcb]]+INDIRECT(RefCell_R77)),data_NTC_20k_4370[[#This Row],[Rpcb]])</f>
        <v>3864.9065420560746</v>
      </c>
    </row>
    <row r="34" spans="1:12" x14ac:dyDescent="0.25">
      <c r="A34" t="s">
        <v>17</v>
      </c>
      <c r="B34" s="8">
        <v>31.5</v>
      </c>
      <c r="C34" s="9">
        <v>14762</v>
      </c>
      <c r="D34" s="9">
        <v>14700</v>
      </c>
      <c r="E34" s="9">
        <f>data_NTC_20k_4370[[#This Row],[Rpcb]]-data_NTC_20k_4370[[#This Row],[Rsonde]]</f>
        <v>-62</v>
      </c>
      <c r="F34" s="4">
        <f>data_NTC_20k_4370[[#This Row],[Diff R]]/data_NTC_20k_4370[[#This Row],[Rsonde]]</f>
        <v>-4.1999729034006231E-3</v>
      </c>
      <c r="G34" s="9">
        <v>14700</v>
      </c>
      <c r="H34" s="9" cm="1">
        <f t="array" ref="H34">MAX(IF(ResValuesR24&lt;=ROUND(data_NTC_20k_4370[[#This Row],[Rsonde]],2)-IF(data_NTC_20k_4370[[#This Row],[Rsonde]]=MIN(data_NTC_20k_4370[Rsonde]),100,$D35),ResValuesR24))</f>
        <v>13000</v>
      </c>
      <c r="I34" s="9">
        <f>ROUND(data_NTC_20k_4370[[#This Row],[RaddLow]]+(IF(data_NTC_20k_4370[[#This Row],[Rsonde]]=MIN(data_NTC_20k_4370[Rsonde]),0,$D35)-data_NTC_20k_4370[[#This Row],[Rsonde]]),2)</f>
        <v>-1762</v>
      </c>
      <c r="J34" s="9" cm="1">
        <f t="array" ref="J34">MIN(IF(ResValuesR24&gt;=ROUND(data_NTC_20k_4370[[#This Row],[Rsonde]],2)-IF(data_NTC_20k_4370[[#This Row],[Rsonde]]=MIN(data_NTC_20k_4370[Rsonde]),100,$D35),ResValuesR24))</f>
        <v>15000</v>
      </c>
      <c r="K34" s="9">
        <f>ROUND(data_NTC_20k_4370[[#This Row],[RaddHigh]]+(IF(data_NTC_20k_4370[[#This Row],[Rsonde]]=MIN(data_NTC_20k_4370[Rsonde]),0,$D35)-data_NTC_20k_4370[[#This Row],[Rsonde]]),2)</f>
        <v>238</v>
      </c>
      <c r="L34" s="2" cm="1">
        <f t="array" aca="1" ref="L34" ca="1">IF(INDIRECT(RefCell_R77),(data_NTC_20k_4370[[#This Row],[Rpcb]]*INDIRECT(RefCell_R77))/(data_NTC_20k_4370[[#This Row],[Rpcb]]+INDIRECT(RefCell_R77)),data_NTC_20k_4370[[#This Row],[Rpcb]])</f>
        <v>3791.8727915194345</v>
      </c>
    </row>
    <row r="37" spans="1:12" x14ac:dyDescent="0.25">
      <c r="A37" s="68" t="s">
        <v>286</v>
      </c>
      <c r="B37" s="68"/>
      <c r="C37" s="68"/>
      <c r="D37" s="68"/>
      <c r="E37" s="68"/>
      <c r="F37" s="68"/>
      <c r="G37" s="68"/>
      <c r="H37" s="68"/>
      <c r="I37" s="68"/>
      <c r="J37" s="68"/>
      <c r="K37" s="68"/>
      <c r="L37" s="68"/>
    </row>
  </sheetData>
  <mergeCells count="2">
    <mergeCell ref="A1:L1"/>
    <mergeCell ref="A37:L37"/>
  </mergeCells>
  <conditionalFormatting sqref="F3:F34">
    <cfRule type="cellIs" dxfId="123" priority="1" operator="between">
      <formula>-0.005</formula>
      <formula>0.005</formula>
    </cfRule>
  </conditionalFormatting>
  <dataValidations count="1">
    <dataValidation type="list" allowBlank="1" showInputMessage="1" showErrorMessage="1" sqref="O3" xr:uid="{C544A6B9-5D9F-421D-A6AA-5237D5E05111}">
      <formula1>INDIRECT("TableR77[R]")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6433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4" r:id="rId5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5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6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7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8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9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40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41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42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1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DBF31-8BD2-422D-8AA1-824FD8C19AE8}">
  <sheetPr codeName="Feuil7"/>
  <dimension ref="A1:P34"/>
  <sheetViews>
    <sheetView workbookViewId="0">
      <selection activeCell="N6" sqref="N6:O8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75</v>
      </c>
      <c r="P2" s="7" t="s">
        <v>113</v>
      </c>
    </row>
    <row r="3" spans="1:16" x14ac:dyDescent="0.25">
      <c r="A3" t="s">
        <v>48</v>
      </c>
      <c r="B3" s="8">
        <v>-15</v>
      </c>
      <c r="C3" s="9">
        <v>11124</v>
      </c>
      <c r="D3" s="9" cm="1">
        <f t="array" aca="1" ref="D3" ca="1">INDIRECT(RefCell_Rpot)+SUM(G3:G$34)</f>
        <v>11127</v>
      </c>
      <c r="E3" s="9">
        <f ca="1">data_NTC_2k_3390[[#This Row],[Rpcb]]-data_NTC_2k_3390[[#This Row],[Rsonde]]</f>
        <v>3</v>
      </c>
      <c r="F3" s="4">
        <f ca="1">data_NTC_2k_3390[[#This Row],[Diff R]]/data_NTC_2k_3390[[#This Row],[Rsonde]]</f>
        <v>2.6968716289104636E-4</v>
      </c>
      <c r="G3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819.99999999999989</v>
      </c>
      <c r="H3" s="9" cm="1">
        <f t="array" aca="1" ref="H3" ca="1">MAX(IF(ResValuesR24&lt;=ROUND(data_NTC_2k_3390[[#This Row],[Rsonde]],2)-IF(data_NTC_2k_3390[[#This Row],[Rsonde]]=MIN(data_NTC_2k_3390[Rsonde]),100,$D4),ResValuesR24))</f>
        <v>750</v>
      </c>
      <c r="I3" s="9">
        <f ca="1">ROUND(data_NTC_2k_3390[[#This Row],[RaddLow]]+(IF(data_NTC_2k_3390[[#This Row],[Rsonde]]=MIN(data_NTC_2k_3390[Rsonde]),0,$D4)-data_NTC_2k_3390[[#This Row],[Rsonde]]),2)</f>
        <v>-67</v>
      </c>
      <c r="J3" s="9" cm="1">
        <f t="array" aca="1" ref="J3" ca="1">MIN(IF(ResValuesR24&gt;=ROUND(data_NTC_2k_3390[[#This Row],[Rsonde]],2)-IF(data_NTC_2k_3390[[#This Row],[Rsonde]]=MIN(data_NTC_2k_3390[Rsonde]),100,$D4),ResValuesR24))</f>
        <v>819.99999999999989</v>
      </c>
      <c r="K3" s="9">
        <f ca="1">ROUND(data_NTC_2k_3390[[#This Row],[RaddHigh]]+(IF(data_NTC_2k_3390[[#This Row],[Rsonde]]=MIN(data_NTC_2k_3390[Rsonde]),0,$D4)-data_NTC_2k_3390[[#This Row],[Rsonde]]),2)</f>
        <v>3</v>
      </c>
      <c r="L3" s="2" cm="1">
        <f t="array" aca="1" ref="L3" ca="1">IF(INDIRECT(RefCell_R77),(data_NTC_2k_3390[[#This Row],[Rpcb]]*INDIRECT(RefCell_R77))/(data_NTC_2k_3390[[#This Row],[Rpcb]]+INDIRECT(RefCell_R77)),data_NTC_2k_3390[[#This Row],[Rpcb]])</f>
        <v>4653.9446855230826</v>
      </c>
      <c r="N3" t="s">
        <v>112</v>
      </c>
      <c r="O3">
        <v>8000</v>
      </c>
      <c r="P3" s="7" t="s">
        <v>113</v>
      </c>
    </row>
    <row r="4" spans="1:16" x14ac:dyDescent="0.25">
      <c r="A4" t="s">
        <v>47</v>
      </c>
      <c r="B4" s="8">
        <v>-13.5</v>
      </c>
      <c r="C4" s="9">
        <v>10340</v>
      </c>
      <c r="D4" s="9" cm="1">
        <f t="array" aca="1" ref="D4" ca="1">INDIRECT(RefCell_Rpot)+SUM(G4:G$34)</f>
        <v>10307</v>
      </c>
      <c r="E4" s="9">
        <f ca="1">data_NTC_2k_3390[[#This Row],[Rpcb]]-data_NTC_2k_3390[[#This Row],[Rsonde]]</f>
        <v>-33</v>
      </c>
      <c r="F4" s="4">
        <f ca="1">data_NTC_2k_3390[[#This Row],[Diff R]]/data_NTC_2k_3390[[#This Row],[Rsonde]]</f>
        <v>-3.1914893617021275E-3</v>
      </c>
      <c r="G4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680</v>
      </c>
      <c r="H4" s="9" cm="1">
        <f t="array" aca="1" ref="H4" ca="1">MAX(IF(ResValuesR24&lt;=ROUND(data_NTC_2k_3390[[#This Row],[Rsonde]],2)-IF(data_NTC_2k_3390[[#This Row],[Rsonde]]=MIN(data_NTC_2k_3390[Rsonde]),100,$D5),ResValuesR24))</f>
        <v>680</v>
      </c>
      <c r="I4" s="9">
        <f ca="1">ROUND(data_NTC_2k_3390[[#This Row],[RaddLow]]+(IF(data_NTC_2k_3390[[#This Row],[Rsonde]]=MIN(data_NTC_2k_3390[Rsonde]),0,$D5)-data_NTC_2k_3390[[#This Row],[Rsonde]]),2)</f>
        <v>-33</v>
      </c>
      <c r="J4" s="9" cm="1">
        <f t="array" aca="1" ref="J4" ca="1">MIN(IF(ResValuesR24&gt;=ROUND(data_NTC_2k_3390[[#This Row],[Rsonde]],2)-IF(data_NTC_2k_3390[[#This Row],[Rsonde]]=MIN(data_NTC_2k_3390[Rsonde]),100,$D5),ResValuesR24))</f>
        <v>750</v>
      </c>
      <c r="K4" s="9">
        <f ca="1">ROUND(data_NTC_2k_3390[[#This Row],[RaddHigh]]+(IF(data_NTC_2k_3390[[#This Row],[Rsonde]]=MIN(data_NTC_2k_3390[Rsonde]),0,$D5)-data_NTC_2k_3390[[#This Row],[Rsonde]]),2)</f>
        <v>37</v>
      </c>
      <c r="L4" s="2" cm="1">
        <f t="array" aca="1" ref="L4" ca="1">IF(INDIRECT(RefCell_R77),(data_NTC_2k_3390[[#This Row],[Rpcb]]*INDIRECT(RefCell_R77))/(data_NTC_2k_3390[[#This Row],[Rpcb]]+INDIRECT(RefCell_R77)),data_NTC_2k_3390[[#This Row],[Rpcb]])</f>
        <v>4504.0694816190526</v>
      </c>
    </row>
    <row r="5" spans="1:16" x14ac:dyDescent="0.25">
      <c r="A5" t="s">
        <v>46</v>
      </c>
      <c r="B5" s="8">
        <v>-12</v>
      </c>
      <c r="C5" s="9">
        <v>9618</v>
      </c>
      <c r="D5" s="9" cm="1">
        <f t="array" aca="1" ref="D5" ca="1">INDIRECT(RefCell_Rpot)+SUM(G5:G$34)</f>
        <v>9627</v>
      </c>
      <c r="E5" s="9">
        <f ca="1">data_NTC_2k_3390[[#This Row],[Rpcb]]-data_NTC_2k_3390[[#This Row],[Rsonde]]</f>
        <v>9</v>
      </c>
      <c r="F5" s="4">
        <f ca="1">data_NTC_2k_3390[[#This Row],[Diff R]]/data_NTC_2k_3390[[#This Row],[Rsonde]]</f>
        <v>9.3574547723019339E-4</v>
      </c>
      <c r="G5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680</v>
      </c>
      <c r="H5" s="9" cm="1">
        <f t="array" aca="1" ref="H5" ca="1">MAX(IF(ResValuesR24&lt;=ROUND(data_NTC_2k_3390[[#This Row],[Rsonde]],2)-IF(data_NTC_2k_3390[[#This Row],[Rsonde]]=MIN(data_NTC_2k_3390[Rsonde]),100,$D6),ResValuesR24))</f>
        <v>620</v>
      </c>
      <c r="I5" s="9">
        <f ca="1">ROUND(data_NTC_2k_3390[[#This Row],[RaddLow]]+(IF(data_NTC_2k_3390[[#This Row],[Rsonde]]=MIN(data_NTC_2k_3390[Rsonde]),0,$D6)-data_NTC_2k_3390[[#This Row],[Rsonde]]),2)</f>
        <v>-51</v>
      </c>
      <c r="J5" s="9" cm="1">
        <f t="array" aca="1" ref="J5" ca="1">MIN(IF(ResValuesR24&gt;=ROUND(data_NTC_2k_3390[[#This Row],[Rsonde]],2)-IF(data_NTC_2k_3390[[#This Row],[Rsonde]]=MIN(data_NTC_2k_3390[Rsonde]),100,$D6),ResValuesR24))</f>
        <v>680</v>
      </c>
      <c r="K5" s="9">
        <f ca="1">ROUND(data_NTC_2k_3390[[#This Row],[RaddHigh]]+(IF(data_NTC_2k_3390[[#This Row],[Rsonde]]=MIN(data_NTC_2k_3390[Rsonde]),0,$D6)-data_NTC_2k_3390[[#This Row],[Rsonde]]),2)</f>
        <v>9</v>
      </c>
      <c r="L5" s="2" cm="1">
        <f t="array" aca="1" ref="L5" ca="1">IF(INDIRECT(RefCell_R77),(data_NTC_2k_3390[[#This Row],[Rpcb]]*INDIRECT(RefCell_R77))/(data_NTC_2k_3390[[#This Row],[Rpcb]]+INDIRECT(RefCell_R77)),data_NTC_2k_3390[[#This Row],[Rpcb]])</f>
        <v>4369.2063311964603</v>
      </c>
      <c r="N5" s="1" t="s">
        <v>215</v>
      </c>
    </row>
    <row r="6" spans="1:16" x14ac:dyDescent="0.25">
      <c r="A6" t="s">
        <v>45</v>
      </c>
      <c r="B6" s="8">
        <v>-10.5</v>
      </c>
      <c r="C6" s="9">
        <v>8954</v>
      </c>
      <c r="D6" s="9" cm="1">
        <f t="array" aca="1" ref="D6" ca="1">INDIRECT(RefCell_Rpot)+SUM(G6:G$34)</f>
        <v>8947</v>
      </c>
      <c r="E6" s="9">
        <f ca="1">data_NTC_2k_3390[[#This Row],[Rpcb]]-data_NTC_2k_3390[[#This Row],[Rsonde]]</f>
        <v>-7</v>
      </c>
      <c r="F6" s="4">
        <f ca="1">data_NTC_2k_3390[[#This Row],[Diff R]]/data_NTC_2k_3390[[#This Row],[Rsonde]]</f>
        <v>-7.817735090462363E-4</v>
      </c>
      <c r="G6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620</v>
      </c>
      <c r="H6" s="9" cm="1">
        <f t="array" aca="1" ref="H6" ca="1">MAX(IF(ResValuesR24&lt;=ROUND(data_NTC_2k_3390[[#This Row],[Rsonde]],2)-IF(data_NTC_2k_3390[[#This Row],[Rsonde]]=MIN(data_NTC_2k_3390[Rsonde]),100,$D7),ResValuesR24))</f>
        <v>620</v>
      </c>
      <c r="I6" s="9">
        <f ca="1">ROUND(data_NTC_2k_3390[[#This Row],[RaddLow]]+(IF(data_NTC_2k_3390[[#This Row],[Rsonde]]=MIN(data_NTC_2k_3390[Rsonde]),0,$D7)-data_NTC_2k_3390[[#This Row],[Rsonde]]),2)</f>
        <v>-7</v>
      </c>
      <c r="J6" s="9" cm="1">
        <f t="array" aca="1" ref="J6" ca="1">MIN(IF(ResValuesR24&gt;=ROUND(data_NTC_2k_3390[[#This Row],[Rsonde]],2)-IF(data_NTC_2k_3390[[#This Row],[Rsonde]]=MIN(data_NTC_2k_3390[Rsonde]),100,$D7),ResValuesR24))</f>
        <v>680</v>
      </c>
      <c r="K6" s="9">
        <f ca="1">ROUND(data_NTC_2k_3390[[#This Row],[RaddHigh]]+(IF(data_NTC_2k_3390[[#This Row],[Rsonde]]=MIN(data_NTC_2k_3390[Rsonde]),0,$D7)-data_NTC_2k_3390[[#This Row],[Rsonde]]),2)</f>
        <v>53</v>
      </c>
      <c r="L6" s="2" cm="1">
        <f t="array" aca="1" ref="L6" ca="1">IF(INDIRECT(RefCell_R77),(data_NTC_2k_3390[[#This Row],[Rpcb]]*INDIRECT(RefCell_R77))/(data_NTC_2k_3390[[#This Row],[Rpcb]]+INDIRECT(RefCell_R77)),data_NTC_2k_3390[[#This Row],[Rpcb]])</f>
        <v>4223.5203870891601</v>
      </c>
      <c r="N6" s="35" t="s">
        <v>131</v>
      </c>
      <c r="O6">
        <f t="shared" ref="O6" si="0">O14 - O11*O7 - O11^3*O8</f>
        <v>1.1418340078996087E-3</v>
      </c>
    </row>
    <row r="7" spans="1:16" x14ac:dyDescent="0.25">
      <c r="A7" t="s">
        <v>44</v>
      </c>
      <c r="B7" s="8">
        <v>-9</v>
      </c>
      <c r="C7" s="9">
        <v>8341</v>
      </c>
      <c r="D7" s="9" cm="1">
        <f t="array" aca="1" ref="D7" ca="1">INDIRECT(RefCell_Rpot)+SUM(G7:G$34)</f>
        <v>8327</v>
      </c>
      <c r="E7" s="9">
        <f ca="1">data_NTC_2k_3390[[#This Row],[Rpcb]]-data_NTC_2k_3390[[#This Row],[Rsonde]]</f>
        <v>-14</v>
      </c>
      <c r="F7" s="4">
        <f ca="1">data_NTC_2k_3390[[#This Row],[Diff R]]/data_NTC_2k_3390[[#This Row],[Rsonde]]</f>
        <v>-1.6784558206450065E-3</v>
      </c>
      <c r="G7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560</v>
      </c>
      <c r="H7" s="9" cm="1">
        <f t="array" aca="1" ref="H7" ca="1">MAX(IF(ResValuesR24&lt;=ROUND(data_NTC_2k_3390[[#This Row],[Rsonde]],2)-IF(data_NTC_2k_3390[[#This Row],[Rsonde]]=MIN(data_NTC_2k_3390[Rsonde]),100,$D8),ResValuesR24))</f>
        <v>560</v>
      </c>
      <c r="I7" s="9">
        <f ca="1">ROUND(data_NTC_2k_3390[[#This Row],[RaddLow]]+(IF(data_NTC_2k_3390[[#This Row],[Rsonde]]=MIN(data_NTC_2k_3390[Rsonde]),0,$D8)-data_NTC_2k_3390[[#This Row],[Rsonde]]),2)</f>
        <v>-14</v>
      </c>
      <c r="J7" s="9" cm="1">
        <f t="array" aca="1" ref="J7" ca="1">MIN(IF(ResValuesR24&gt;=ROUND(data_NTC_2k_3390[[#This Row],[Rsonde]],2)-IF(data_NTC_2k_3390[[#This Row],[Rsonde]]=MIN(data_NTC_2k_3390[Rsonde]),100,$D8),ResValuesR24))</f>
        <v>620</v>
      </c>
      <c r="K7" s="9">
        <f ca="1">ROUND(data_NTC_2k_3390[[#This Row],[RaddHigh]]+(IF(data_NTC_2k_3390[[#This Row],[Rsonde]]=MIN(data_NTC_2k_3390[Rsonde]),0,$D8)-data_NTC_2k_3390[[#This Row],[Rsonde]]),2)</f>
        <v>46</v>
      </c>
      <c r="L7" s="2" cm="1">
        <f t="array" aca="1" ref="L7" ca="1">IF(INDIRECT(RefCell_R77),(data_NTC_2k_3390[[#This Row],[Rpcb]]*INDIRECT(RefCell_R77))/(data_NTC_2k_3390[[#This Row],[Rpcb]]+INDIRECT(RefCell_R77)),data_NTC_2k_3390[[#This Row],[Rpcb]])</f>
        <v>4080.112696759968</v>
      </c>
      <c r="N7" s="35" t="s">
        <v>130</v>
      </c>
      <c r="O7">
        <f t="shared" ref="O7" si="1">(1/(O11-O12)) * (O14-O15-(O11^3-O12^3)*O8)</f>
        <v>2.8672327291616077E-4</v>
      </c>
    </row>
    <row r="8" spans="1:16" x14ac:dyDescent="0.25">
      <c r="A8" t="s">
        <v>43</v>
      </c>
      <c r="B8" s="8">
        <v>-7.5</v>
      </c>
      <c r="C8" s="9">
        <v>7777</v>
      </c>
      <c r="D8" s="9" cm="1">
        <f t="array" aca="1" ref="D8" ca="1">INDIRECT(RefCell_Rpot)+SUM(G8:G$34)</f>
        <v>7767</v>
      </c>
      <c r="E8" s="9">
        <f ca="1">data_NTC_2k_3390[[#This Row],[Rpcb]]-data_NTC_2k_3390[[#This Row],[Rsonde]]</f>
        <v>-10</v>
      </c>
      <c r="F8" s="4">
        <f ca="1">data_NTC_2k_3390[[#This Row],[Diff R]]/data_NTC_2k_3390[[#This Row],[Rsonde]]</f>
        <v>-1.2858428700012858E-3</v>
      </c>
      <c r="G8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509.99999999999994</v>
      </c>
      <c r="H8" s="9" cm="1">
        <f t="array" aca="1" ref="H8" ca="1">MAX(IF(ResValuesR24&lt;=ROUND(data_NTC_2k_3390[[#This Row],[Rsonde]],2)-IF(data_NTC_2k_3390[[#This Row],[Rsonde]]=MIN(data_NTC_2k_3390[Rsonde]),100,$D9),ResValuesR24))</f>
        <v>509.99999999999994</v>
      </c>
      <c r="I8" s="9">
        <f ca="1">ROUND(data_NTC_2k_3390[[#This Row],[RaddLow]]+(IF(data_NTC_2k_3390[[#This Row],[Rsonde]]=MIN(data_NTC_2k_3390[Rsonde]),0,$D9)-data_NTC_2k_3390[[#This Row],[Rsonde]]),2)</f>
        <v>-10</v>
      </c>
      <c r="J8" s="9" cm="1">
        <f t="array" aca="1" ref="J8" ca="1">MIN(IF(ResValuesR24&gt;=ROUND(data_NTC_2k_3390[[#This Row],[Rsonde]],2)-IF(data_NTC_2k_3390[[#This Row],[Rsonde]]=MIN(data_NTC_2k_3390[Rsonde]),100,$D9),ResValuesR24))</f>
        <v>560</v>
      </c>
      <c r="K8" s="9">
        <f ca="1">ROUND(data_NTC_2k_3390[[#This Row],[RaddHigh]]+(IF(data_NTC_2k_3390[[#This Row],[Rsonde]]=MIN(data_NTC_2k_3390[Rsonde]),0,$D9)-data_NTC_2k_3390[[#This Row],[Rsonde]]),2)</f>
        <v>40</v>
      </c>
      <c r="L8" s="2" cm="1">
        <f t="array" aca="1" ref="L8" ca="1">IF(INDIRECT(RefCell_R77),(data_NTC_2k_3390[[#This Row],[Rpcb]]*INDIRECT(RefCell_R77))/(data_NTC_2k_3390[[#This Row],[Rpcb]]+INDIRECT(RefCell_R77)),data_NTC_2k_3390[[#This Row],[Rpcb]])</f>
        <v>3940.8891989598528</v>
      </c>
      <c r="N8" s="35" t="s">
        <v>129</v>
      </c>
      <c r="O8">
        <f t="shared" ref="O8" si="2">O10/O9</f>
        <v>7.4835169400519144E-8</v>
      </c>
    </row>
    <row r="9" spans="1:16" x14ac:dyDescent="0.25">
      <c r="A9" t="s">
        <v>42</v>
      </c>
      <c r="B9" s="8">
        <v>-6</v>
      </c>
      <c r="C9" s="9">
        <v>7255</v>
      </c>
      <c r="D9" s="9" cm="1">
        <f t="array" aca="1" ref="D9" ca="1">INDIRECT(RefCell_Rpot)+SUM(G9:G$34)</f>
        <v>7257</v>
      </c>
      <c r="E9" s="9">
        <f ca="1">data_NTC_2k_3390[[#This Row],[Rpcb]]-data_NTC_2k_3390[[#This Row],[Rsonde]]</f>
        <v>2</v>
      </c>
      <c r="F9" s="4">
        <f ca="1">data_NTC_2k_3390[[#This Row],[Diff R]]/data_NTC_2k_3390[[#This Row],[Rsonde]]</f>
        <v>2.7567195037904891E-4</v>
      </c>
      <c r="G9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470</v>
      </c>
      <c r="H9" s="9" cm="1">
        <f t="array" aca="1" ref="H9" ca="1">MAX(IF(ResValuesR24&lt;=ROUND(data_NTC_2k_3390[[#This Row],[Rsonde]],2)-IF(data_NTC_2k_3390[[#This Row],[Rsonde]]=MIN(data_NTC_2k_3390[Rsonde]),100,$D10),ResValuesR24))</f>
        <v>430</v>
      </c>
      <c r="I9" s="9">
        <f ca="1">ROUND(data_NTC_2k_3390[[#This Row],[RaddLow]]+(IF(data_NTC_2k_3390[[#This Row],[Rsonde]]=MIN(data_NTC_2k_3390[Rsonde]),0,$D10)-data_NTC_2k_3390[[#This Row],[Rsonde]]),2)</f>
        <v>-38</v>
      </c>
      <c r="J9" s="9" cm="1">
        <f t="array" aca="1" ref="J9" ca="1">MIN(IF(ResValuesR24&gt;=ROUND(data_NTC_2k_3390[[#This Row],[Rsonde]],2)-IF(data_NTC_2k_3390[[#This Row],[Rsonde]]=MIN(data_NTC_2k_3390[Rsonde]),100,$D10),ResValuesR24))</f>
        <v>470</v>
      </c>
      <c r="K9" s="9">
        <f ca="1">ROUND(data_NTC_2k_3390[[#This Row],[RaddHigh]]+(IF(data_NTC_2k_3390[[#This Row],[Rsonde]]=MIN(data_NTC_2k_3390[Rsonde]),0,$D10)-data_NTC_2k_3390[[#This Row],[Rsonde]]),2)</f>
        <v>2</v>
      </c>
      <c r="L9" s="2" cm="1">
        <f t="array" aca="1" ref="L9" ca="1">IF(INDIRECT(RefCell_R77),(data_NTC_2k_3390[[#This Row],[Rpcb]]*INDIRECT(RefCell_R77))/(data_NTC_2k_3390[[#This Row],[Rpcb]]+INDIRECT(RefCell_R77)),data_NTC_2k_3390[[#This Row],[Rpcb]])</f>
        <v>3805.2041685783574</v>
      </c>
      <c r="N9" s="3" t="s">
        <v>181</v>
      </c>
      <c r="O9">
        <f t="shared" ref="O9" si="3">(O12-O13)/(O11-O12) * (O12^3-O11^3) + (O12^3-O13^3)</f>
        <v>-37.590521583642925</v>
      </c>
      <c r="P9" s="37"/>
    </row>
    <row r="10" spans="1:16" x14ac:dyDescent="0.25">
      <c r="A10" t="s">
        <v>41</v>
      </c>
      <c r="B10" s="8">
        <v>-4.5</v>
      </c>
      <c r="C10" s="9">
        <v>6774</v>
      </c>
      <c r="D10" s="9" cm="1">
        <f t="array" aca="1" ref="D10" ca="1">INDIRECT(RefCell_Rpot)+SUM(G10:G$34)</f>
        <v>6787</v>
      </c>
      <c r="E10" s="9">
        <f ca="1">data_NTC_2k_3390[[#This Row],[Rpcb]]-data_NTC_2k_3390[[#This Row],[Rsonde]]</f>
        <v>13</v>
      </c>
      <c r="F10" s="4">
        <f ca="1">data_NTC_2k_3390[[#This Row],[Diff R]]/data_NTC_2k_3390[[#This Row],[Rsonde]]</f>
        <v>1.919102450546206E-3</v>
      </c>
      <c r="G10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470</v>
      </c>
      <c r="H10" s="9" cm="1">
        <f t="array" aca="1" ref="H10" ca="1">MAX(IF(ResValuesR24&lt;=ROUND(data_NTC_2k_3390[[#This Row],[Rsonde]],2)-IF(data_NTC_2k_3390[[#This Row],[Rsonde]]=MIN(data_NTC_2k_3390[Rsonde]),100,$D11),ResValuesR24))</f>
        <v>430</v>
      </c>
      <c r="I10" s="9">
        <f ca="1">ROUND(data_NTC_2k_3390[[#This Row],[RaddLow]]+(IF(data_NTC_2k_3390[[#This Row],[Rsonde]]=MIN(data_NTC_2k_3390[Rsonde]),0,$D11)-data_NTC_2k_3390[[#This Row],[Rsonde]]),2)</f>
        <v>-27</v>
      </c>
      <c r="J10" s="9" cm="1">
        <f t="array" aca="1" ref="J10" ca="1">MIN(IF(ResValuesR24&gt;=ROUND(data_NTC_2k_3390[[#This Row],[Rsonde]],2)-IF(data_NTC_2k_3390[[#This Row],[Rsonde]]=MIN(data_NTC_2k_3390[Rsonde]),100,$D11),ResValuesR24))</f>
        <v>470</v>
      </c>
      <c r="K10" s="9">
        <f ca="1">ROUND(data_NTC_2k_3390[[#This Row],[RaddHigh]]+(IF(data_NTC_2k_3390[[#This Row],[Rsonde]]=MIN(data_NTC_2k_3390[Rsonde]),0,$D11)-data_NTC_2k_3390[[#This Row],[Rsonde]]),2)</f>
        <v>13</v>
      </c>
      <c r="L10" s="2" cm="1">
        <f t="array" aca="1" ref="L10" ca="1">IF(INDIRECT(RefCell_R77),(data_NTC_2k_3390[[#This Row],[Rpcb]]*INDIRECT(RefCell_R77))/(data_NTC_2k_3390[[#This Row],[Rpcb]]+INDIRECT(RefCell_R77)),data_NTC_2k_3390[[#This Row],[Rpcb]])</f>
        <v>3671.8739433285996</v>
      </c>
      <c r="N10" s="3" t="s">
        <v>182</v>
      </c>
      <c r="O10">
        <f t="shared" ref="O10" si="4">O15 - O16 - ( (O12-O13)/(O11-O12) ) * (O14-O15)</f>
        <v>-2.8130930505657894E-6</v>
      </c>
      <c r="P10" s="37"/>
    </row>
    <row r="11" spans="1:16" x14ac:dyDescent="0.25">
      <c r="A11" t="s">
        <v>40</v>
      </c>
      <c r="B11" s="8">
        <v>-3</v>
      </c>
      <c r="C11" s="9">
        <v>6329</v>
      </c>
      <c r="D11" s="9" cm="1">
        <f t="array" aca="1" ref="D11" ca="1">INDIRECT(RefCell_Rpot)+SUM(G11:G$34)</f>
        <v>6317</v>
      </c>
      <c r="E11" s="9">
        <f ca="1">data_NTC_2k_3390[[#This Row],[Rpcb]]-data_NTC_2k_3390[[#This Row],[Rsonde]]</f>
        <v>-12</v>
      </c>
      <c r="F11" s="4">
        <f ca="1">data_NTC_2k_3390[[#This Row],[Diff R]]/data_NTC_2k_3390[[#This Row],[Rsonde]]</f>
        <v>-1.8960341286143152E-3</v>
      </c>
      <c r="G11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390</v>
      </c>
      <c r="H11" s="9" cm="1">
        <f t="array" aca="1" ref="H11" ca="1">MAX(IF(ResValuesR24&lt;=ROUND(data_NTC_2k_3390[[#This Row],[Rsonde]],2)-IF(data_NTC_2k_3390[[#This Row],[Rsonde]]=MIN(data_NTC_2k_3390[Rsonde]),100,$D12),ResValuesR24))</f>
        <v>390</v>
      </c>
      <c r="I11" s="9">
        <f ca="1">ROUND(data_NTC_2k_3390[[#This Row],[RaddLow]]+(IF(data_NTC_2k_3390[[#This Row],[Rsonde]]=MIN(data_NTC_2k_3390[Rsonde]),0,$D12)-data_NTC_2k_3390[[#This Row],[Rsonde]]),2)</f>
        <v>-12</v>
      </c>
      <c r="J11" s="9" cm="1">
        <f t="array" aca="1" ref="J11" ca="1">MIN(IF(ResValuesR24&gt;=ROUND(data_NTC_2k_3390[[#This Row],[Rsonde]],2)-IF(data_NTC_2k_3390[[#This Row],[Rsonde]]=MIN(data_NTC_2k_3390[Rsonde]),100,$D12),ResValuesR24))</f>
        <v>430</v>
      </c>
      <c r="K11" s="9">
        <f ca="1">ROUND(data_NTC_2k_3390[[#This Row],[RaddHigh]]+(IF(data_NTC_2k_3390[[#This Row],[Rsonde]]=MIN(data_NTC_2k_3390[Rsonde]),0,$D12)-data_NTC_2k_3390[[#This Row],[Rsonde]]),2)</f>
        <v>28</v>
      </c>
      <c r="L11" s="2" cm="1">
        <f t="array" aca="1" ref="L11" ca="1">IF(INDIRECT(RefCell_R77),(data_NTC_2k_3390[[#This Row],[Rpcb]]*INDIRECT(RefCell_R77))/(data_NTC_2k_3390[[#This Row],[Rpcb]]+INDIRECT(RefCell_R77)),data_NTC_2k_3390[[#This Row],[Rpcb]])</f>
        <v>3529.78976042467</v>
      </c>
      <c r="N11" s="3" t="s">
        <v>178</v>
      </c>
      <c r="O11">
        <f>LN(C3)</f>
        <v>9.3168602153538558</v>
      </c>
      <c r="P11" s="37"/>
    </row>
    <row r="12" spans="1:16" x14ac:dyDescent="0.25">
      <c r="A12" t="s">
        <v>39</v>
      </c>
      <c r="B12" s="8">
        <v>-1.5</v>
      </c>
      <c r="C12" s="9">
        <v>5917</v>
      </c>
      <c r="D12" s="9" cm="1">
        <f t="array" aca="1" ref="D12" ca="1">INDIRECT(RefCell_Rpot)+SUM(G12:G$34)</f>
        <v>5927</v>
      </c>
      <c r="E12" s="9">
        <f ca="1">data_NTC_2k_3390[[#This Row],[Rpcb]]-data_NTC_2k_3390[[#This Row],[Rsonde]]</f>
        <v>10</v>
      </c>
      <c r="F12" s="4">
        <f ca="1">data_NTC_2k_3390[[#This Row],[Diff R]]/data_NTC_2k_3390[[#This Row],[Rsonde]]</f>
        <v>1.6900456312320432E-3</v>
      </c>
      <c r="G12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390</v>
      </c>
      <c r="H12" s="9" cm="1">
        <f t="array" aca="1" ref="H12" ca="1">MAX(IF(ResValuesR24&lt;=ROUND(data_NTC_2k_3390[[#This Row],[Rsonde]],2)-IF(data_NTC_2k_3390[[#This Row],[Rsonde]]=MIN(data_NTC_2k_3390[Rsonde]),100,$D13),ResValuesR24))</f>
        <v>360</v>
      </c>
      <c r="I12" s="9">
        <f ca="1">ROUND(data_NTC_2k_3390[[#This Row],[RaddLow]]+(IF(data_NTC_2k_3390[[#This Row],[Rsonde]]=MIN(data_NTC_2k_3390[Rsonde]),0,$D13)-data_NTC_2k_3390[[#This Row],[Rsonde]]),2)</f>
        <v>-20</v>
      </c>
      <c r="J12" s="9" cm="1">
        <f t="array" aca="1" ref="J12" ca="1">MIN(IF(ResValuesR24&gt;=ROUND(data_NTC_2k_3390[[#This Row],[Rsonde]],2)-IF(data_NTC_2k_3390[[#This Row],[Rsonde]]=MIN(data_NTC_2k_3390[Rsonde]),100,$D13),ResValuesR24))</f>
        <v>390</v>
      </c>
      <c r="K12" s="9">
        <f ca="1">ROUND(data_NTC_2k_3390[[#This Row],[RaddHigh]]+(IF(data_NTC_2k_3390[[#This Row],[Rsonde]]=MIN(data_NTC_2k_3390[Rsonde]),0,$D13)-data_NTC_2k_3390[[#This Row],[Rsonde]]),2)</f>
        <v>10</v>
      </c>
      <c r="L12" s="2" cm="1">
        <f t="array" aca="1" ref="L12" ca="1">IF(INDIRECT(RefCell_R77),(data_NTC_2k_3390[[#This Row],[Rpcb]]*INDIRECT(RefCell_R77))/(data_NTC_2k_3390[[#This Row],[Rpcb]]+INDIRECT(RefCell_R77)),data_NTC_2k_3390[[#This Row],[Rpcb]])</f>
        <v>3404.6097508436851</v>
      </c>
      <c r="N12" s="3" t="s">
        <v>179</v>
      </c>
      <c r="O12">
        <f>LN(C17)</f>
        <v>8.3591348867579622</v>
      </c>
      <c r="P12" s="37"/>
    </row>
    <row r="13" spans="1:16" x14ac:dyDescent="0.25">
      <c r="A13" t="s">
        <v>38</v>
      </c>
      <c r="B13" s="8">
        <v>0</v>
      </c>
      <c r="C13" s="9">
        <v>5536</v>
      </c>
      <c r="D13" s="9" cm="1">
        <f t="array" aca="1" ref="D13" ca="1">INDIRECT(RefCell_Rpot)+SUM(G13:G$34)</f>
        <v>5537</v>
      </c>
      <c r="E13" s="9">
        <f ca="1">data_NTC_2k_3390[[#This Row],[Rpcb]]-data_NTC_2k_3390[[#This Row],[Rsonde]]</f>
        <v>1</v>
      </c>
      <c r="F13" s="4">
        <f ca="1">data_NTC_2k_3390[[#This Row],[Diff R]]/data_NTC_2k_3390[[#This Row],[Rsonde]]</f>
        <v>1.8063583815028901E-4</v>
      </c>
      <c r="G13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360</v>
      </c>
      <c r="H13" s="9" cm="1">
        <f t="array" aca="1" ref="H13" ca="1">MAX(IF(ResValuesR24&lt;=ROUND(data_NTC_2k_3390[[#This Row],[Rsonde]],2)-IF(data_NTC_2k_3390[[#This Row],[Rsonde]]=MIN(data_NTC_2k_3390[Rsonde]),100,$D14),ResValuesR24))</f>
        <v>330</v>
      </c>
      <c r="I13" s="9">
        <f ca="1">ROUND(data_NTC_2k_3390[[#This Row],[RaddLow]]+(IF(data_NTC_2k_3390[[#This Row],[Rsonde]]=MIN(data_NTC_2k_3390[Rsonde]),0,$D14)-data_NTC_2k_3390[[#This Row],[Rsonde]]),2)</f>
        <v>-29</v>
      </c>
      <c r="J13" s="9" cm="1">
        <f t="array" aca="1" ref="J13" ca="1">MIN(IF(ResValuesR24&gt;=ROUND(data_NTC_2k_3390[[#This Row],[Rsonde]],2)-IF(data_NTC_2k_3390[[#This Row],[Rsonde]]=MIN(data_NTC_2k_3390[Rsonde]),100,$D14),ResValuesR24))</f>
        <v>360</v>
      </c>
      <c r="K13" s="9">
        <f ca="1">ROUND(data_NTC_2k_3390[[#This Row],[RaddHigh]]+(IF(data_NTC_2k_3390[[#This Row],[Rsonde]]=MIN(data_NTC_2k_3390[Rsonde]),0,$D14)-data_NTC_2k_3390[[#This Row],[Rsonde]]),2)</f>
        <v>1</v>
      </c>
      <c r="L13" s="2" cm="1">
        <f t="array" aca="1" ref="L13" ca="1">IF(INDIRECT(RefCell_R77),(data_NTC_2k_3390[[#This Row],[Rpcb]]*INDIRECT(RefCell_R77))/(data_NTC_2k_3390[[#This Row],[Rpcb]]+INDIRECT(RefCell_R77)),data_NTC_2k_3390[[#This Row],[Rpcb]])</f>
        <v>3272.2168870503065</v>
      </c>
      <c r="N13" s="3" t="s">
        <v>180</v>
      </c>
      <c r="O13">
        <f>LN(C31)</f>
        <v>7.5261789133461461</v>
      </c>
      <c r="P13" s="37"/>
    </row>
    <row r="14" spans="1:16" x14ac:dyDescent="0.25">
      <c r="A14" t="s">
        <v>37</v>
      </c>
      <c r="B14" s="8">
        <v>1.5</v>
      </c>
      <c r="C14" s="9">
        <v>5183</v>
      </c>
      <c r="D14" s="9" cm="1">
        <f t="array" aca="1" ref="D14" ca="1">INDIRECT(RefCell_Rpot)+SUM(G14:G$34)</f>
        <v>5177</v>
      </c>
      <c r="E14" s="9">
        <f ca="1">data_NTC_2k_3390[[#This Row],[Rpcb]]-data_NTC_2k_3390[[#This Row],[Rsonde]]</f>
        <v>-6</v>
      </c>
      <c r="F14" s="4">
        <f ca="1">data_NTC_2k_3390[[#This Row],[Diff R]]/data_NTC_2k_3390[[#This Row],[Rsonde]]</f>
        <v>-1.1576307158016593E-3</v>
      </c>
      <c r="G14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330</v>
      </c>
      <c r="H14" s="9" cm="1">
        <f t="array" aca="1" ref="H14" ca="1">MAX(IF(ResValuesR24&lt;=ROUND(data_NTC_2k_3390[[#This Row],[Rsonde]],2)-IF(data_NTC_2k_3390[[#This Row],[Rsonde]]=MIN(data_NTC_2k_3390[Rsonde]),100,$D15),ResValuesR24))</f>
        <v>330</v>
      </c>
      <c r="I14" s="9">
        <f ca="1">ROUND(data_NTC_2k_3390[[#This Row],[RaddLow]]+(IF(data_NTC_2k_3390[[#This Row],[Rsonde]]=MIN(data_NTC_2k_3390[Rsonde]),0,$D15)-data_NTC_2k_3390[[#This Row],[Rsonde]]),2)</f>
        <v>-6</v>
      </c>
      <c r="J14" s="9" cm="1">
        <f t="array" aca="1" ref="J14" ca="1">MIN(IF(ResValuesR24&gt;=ROUND(data_NTC_2k_3390[[#This Row],[Rsonde]],2)-IF(data_NTC_2k_3390[[#This Row],[Rsonde]]=MIN(data_NTC_2k_3390[Rsonde]),100,$D15),ResValuesR24))</f>
        <v>360</v>
      </c>
      <c r="K14" s="9">
        <f ca="1">ROUND(data_NTC_2k_3390[[#This Row],[RaddHigh]]+(IF(data_NTC_2k_3390[[#This Row],[Rsonde]]=MIN(data_NTC_2k_3390[Rsonde]),0,$D15)-data_NTC_2k_3390[[#This Row],[Rsonde]]),2)</f>
        <v>24</v>
      </c>
      <c r="L14" s="2" cm="1">
        <f t="array" aca="1" ref="L14" ca="1">IF(INDIRECT(RefCell_R77),(data_NTC_2k_3390[[#This Row],[Rpcb]]*INDIRECT(RefCell_R77))/(data_NTC_2k_3390[[#This Row],[Rpcb]]+INDIRECT(RefCell_R77)),data_NTC_2k_3390[[#This Row],[Rpcb]])</f>
        <v>3143.0522880777112</v>
      </c>
      <c r="N14" s="3" t="s">
        <v>175</v>
      </c>
      <c r="O14">
        <f>1/(B3+273.15)</f>
        <v>3.8737168312996321E-3</v>
      </c>
      <c r="P14" s="37"/>
    </row>
    <row r="15" spans="1:16" x14ac:dyDescent="0.25">
      <c r="A15" t="s">
        <v>36</v>
      </c>
      <c r="B15" s="8">
        <v>3</v>
      </c>
      <c r="C15" s="9">
        <v>4855</v>
      </c>
      <c r="D15" s="9" cm="1">
        <f t="array" aca="1" ref="D15" ca="1">INDIRECT(RefCell_Rpot)+SUM(G15:G$34)</f>
        <v>4847</v>
      </c>
      <c r="E15" s="9">
        <f ca="1">data_NTC_2k_3390[[#This Row],[Rpcb]]-data_NTC_2k_3390[[#This Row],[Rsonde]]</f>
        <v>-8</v>
      </c>
      <c r="F15" s="4">
        <f ca="1">data_NTC_2k_3390[[#This Row],[Diff R]]/data_NTC_2k_3390[[#This Row],[Rsonde]]</f>
        <v>-1.6477857878475798E-3</v>
      </c>
      <c r="G15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300</v>
      </c>
      <c r="H15" s="9" cm="1">
        <f t="array" aca="1" ref="H15" ca="1">MAX(IF(ResValuesR24&lt;=ROUND(data_NTC_2k_3390[[#This Row],[Rsonde]],2)-IF(data_NTC_2k_3390[[#This Row],[Rsonde]]=MIN(data_NTC_2k_3390[Rsonde]),100,$D16),ResValuesR24))</f>
        <v>300</v>
      </c>
      <c r="I15" s="9">
        <f ca="1">ROUND(data_NTC_2k_3390[[#This Row],[RaddLow]]+(IF(data_NTC_2k_3390[[#This Row],[Rsonde]]=MIN(data_NTC_2k_3390[Rsonde]),0,$D16)-data_NTC_2k_3390[[#This Row],[Rsonde]]),2)</f>
        <v>-8</v>
      </c>
      <c r="J15" s="9" cm="1">
        <f t="array" aca="1" ref="J15" ca="1">MIN(IF(ResValuesR24&gt;=ROUND(data_NTC_2k_3390[[#This Row],[Rsonde]],2)-IF(data_NTC_2k_3390[[#This Row],[Rsonde]]=MIN(data_NTC_2k_3390[Rsonde]),100,$D16),ResValuesR24))</f>
        <v>330</v>
      </c>
      <c r="K15" s="9">
        <f ca="1">ROUND(data_NTC_2k_3390[[#This Row],[RaddHigh]]+(IF(data_NTC_2k_3390[[#This Row],[Rsonde]]=MIN(data_NTC_2k_3390[Rsonde]),0,$D16)-data_NTC_2k_3390[[#This Row],[Rsonde]]),2)</f>
        <v>22</v>
      </c>
      <c r="L15" s="2" cm="1">
        <f t="array" aca="1" ref="L15" ca="1">IF(INDIRECT(RefCell_R77),(data_NTC_2k_3390[[#This Row],[Rpcb]]*INDIRECT(RefCell_R77))/(data_NTC_2k_3390[[#This Row],[Rpcb]]+INDIRECT(RefCell_R77)),data_NTC_2k_3390[[#This Row],[Rpcb]])</f>
        <v>3018.292208297657</v>
      </c>
      <c r="N15" s="3" t="s">
        <v>176</v>
      </c>
      <c r="O15">
        <f>1/(B17+273.15)</f>
        <v>3.5823034210997673E-3</v>
      </c>
      <c r="P15" s="37"/>
    </row>
    <row r="16" spans="1:16" x14ac:dyDescent="0.25">
      <c r="A16" t="s">
        <v>35</v>
      </c>
      <c r="B16" s="8">
        <v>4.5</v>
      </c>
      <c r="C16" s="9">
        <v>4551</v>
      </c>
      <c r="D16" s="9" cm="1">
        <f t="array" aca="1" ref="D16" ca="1">INDIRECT(RefCell_Rpot)+SUM(G16:G$34)</f>
        <v>4547</v>
      </c>
      <c r="E16" s="9">
        <f ca="1">data_NTC_2k_3390[[#This Row],[Rpcb]]-data_NTC_2k_3390[[#This Row],[Rsonde]]</f>
        <v>-4</v>
      </c>
      <c r="F16" s="4">
        <f ca="1">data_NTC_2k_3390[[#This Row],[Diff R]]/data_NTC_2k_3390[[#This Row],[Rsonde]]</f>
        <v>-8.7892770819600092E-4</v>
      </c>
      <c r="G16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270</v>
      </c>
      <c r="H16" s="9" cm="1">
        <f t="array" aca="1" ref="H16" ca="1">MAX(IF(ResValuesR24&lt;=ROUND(data_NTC_2k_3390[[#This Row],[Rsonde]],2)-IF(data_NTC_2k_3390[[#This Row],[Rsonde]]=MIN(data_NTC_2k_3390[Rsonde]),100,$D17),ResValuesR24))</f>
        <v>270</v>
      </c>
      <c r="I16" s="9">
        <f ca="1">ROUND(data_NTC_2k_3390[[#This Row],[RaddLow]]+(IF(data_NTC_2k_3390[[#This Row],[Rsonde]]=MIN(data_NTC_2k_3390[Rsonde]),0,$D17)-data_NTC_2k_3390[[#This Row],[Rsonde]]),2)</f>
        <v>-4</v>
      </c>
      <c r="J16" s="9" cm="1">
        <f t="array" aca="1" ref="J16" ca="1">MIN(IF(ResValuesR24&gt;=ROUND(data_NTC_2k_3390[[#This Row],[Rsonde]],2)-IF(data_NTC_2k_3390[[#This Row],[Rsonde]]=MIN(data_NTC_2k_3390[Rsonde]),100,$D17),ResValuesR24))</f>
        <v>300</v>
      </c>
      <c r="K16" s="9">
        <f ca="1">ROUND(data_NTC_2k_3390[[#This Row],[RaddHigh]]+(IF(data_NTC_2k_3390[[#This Row],[Rsonde]]=MIN(data_NTC_2k_3390[Rsonde]),0,$D17)-data_NTC_2k_3390[[#This Row],[Rsonde]]),2)</f>
        <v>26</v>
      </c>
      <c r="L16" s="2" cm="1">
        <f t="array" aca="1" ref="L16" ca="1">IF(INDIRECT(RefCell_R77),(data_NTC_2k_3390[[#This Row],[Rpcb]]*INDIRECT(RefCell_R77))/(data_NTC_2k_3390[[#This Row],[Rpcb]]+INDIRECT(RefCell_R77)),data_NTC_2k_3390[[#This Row],[Rpcb]])</f>
        <v>2899.1790866342553</v>
      </c>
      <c r="N16" s="3" t="s">
        <v>177</v>
      </c>
      <c r="O16">
        <f>1/(B31+273.15)</f>
        <v>3.331667499583542E-3</v>
      </c>
      <c r="P16" s="37"/>
    </row>
    <row r="17" spans="1:16" x14ac:dyDescent="0.25">
      <c r="A17" t="s">
        <v>34</v>
      </c>
      <c r="B17" s="8">
        <v>6</v>
      </c>
      <c r="C17" s="9">
        <v>4269</v>
      </c>
      <c r="D17" s="9" cm="1">
        <f t="array" aca="1" ref="D17" ca="1">INDIRECT(RefCell_Rpot)+SUM(G17:G$34)</f>
        <v>4277</v>
      </c>
      <c r="E17" s="9">
        <f ca="1">data_NTC_2k_3390[[#This Row],[Rpcb]]-data_NTC_2k_3390[[#This Row],[Rsonde]]</f>
        <v>8</v>
      </c>
      <c r="F17" s="4">
        <f ca="1">data_NTC_2k_3390[[#This Row],[Diff R]]/data_NTC_2k_3390[[#This Row],[Rsonde]]</f>
        <v>1.8739751698289998E-3</v>
      </c>
      <c r="G17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270</v>
      </c>
      <c r="H17" s="9" cm="1">
        <f t="array" aca="1" ref="H17" ca="1">MAX(IF(ResValuesR24&lt;=ROUND(data_NTC_2k_3390[[#This Row],[Rsonde]],2)-IF(data_NTC_2k_3390[[#This Row],[Rsonde]]=MIN(data_NTC_2k_3390[Rsonde]),100,$D18),ResValuesR24))</f>
        <v>240</v>
      </c>
      <c r="I17" s="9">
        <f ca="1">ROUND(data_NTC_2k_3390[[#This Row],[RaddLow]]+(IF(data_NTC_2k_3390[[#This Row],[Rsonde]]=MIN(data_NTC_2k_3390[Rsonde]),0,$D18)-data_NTC_2k_3390[[#This Row],[Rsonde]]),2)</f>
        <v>-22</v>
      </c>
      <c r="J17" s="9" cm="1">
        <f t="array" aca="1" ref="J17" ca="1">MIN(IF(ResValuesR24&gt;=ROUND(data_NTC_2k_3390[[#This Row],[Rsonde]],2)-IF(data_NTC_2k_3390[[#This Row],[Rsonde]]=MIN(data_NTC_2k_3390[Rsonde]),100,$D18),ResValuesR24))</f>
        <v>270</v>
      </c>
      <c r="K17" s="9">
        <f ca="1">ROUND(data_NTC_2k_3390[[#This Row],[RaddHigh]]+(IF(data_NTC_2k_3390[[#This Row],[Rsonde]]=MIN(data_NTC_2k_3390[Rsonde]),0,$D18)-data_NTC_2k_3390[[#This Row],[Rsonde]]),2)</f>
        <v>8</v>
      </c>
      <c r="L17" s="2" cm="1">
        <f t="array" aca="1" ref="L17" ca="1">IF(INDIRECT(RefCell_R77),(data_NTC_2k_3390[[#This Row],[Rpcb]]*INDIRECT(RefCell_R77))/(data_NTC_2k_3390[[#This Row],[Rpcb]]+INDIRECT(RefCell_R77)),data_NTC_2k_3390[[#This Row],[Rpcb]])</f>
        <v>2787.0000814531236</v>
      </c>
      <c r="N17" s="37"/>
      <c r="O17" s="37"/>
      <c r="P17" s="37"/>
    </row>
    <row r="18" spans="1:16" x14ac:dyDescent="0.25">
      <c r="A18" t="s">
        <v>33</v>
      </c>
      <c r="B18" s="8">
        <v>7.5</v>
      </c>
      <c r="C18" s="9">
        <v>4007</v>
      </c>
      <c r="D18" s="9" cm="1">
        <f t="array" aca="1" ref="D18" ca="1">INDIRECT(RefCell_Rpot)+SUM(G18:G$34)</f>
        <v>4007</v>
      </c>
      <c r="E18" s="9">
        <f ca="1">data_NTC_2k_3390[[#This Row],[Rpcb]]-data_NTC_2k_3390[[#This Row],[Rsonde]]</f>
        <v>0</v>
      </c>
      <c r="F18" s="4">
        <f ca="1">data_NTC_2k_3390[[#This Row],[Diff R]]/data_NTC_2k_3390[[#This Row],[Rsonde]]</f>
        <v>0</v>
      </c>
      <c r="G18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240</v>
      </c>
      <c r="H18" s="9" cm="1">
        <f t="array" aca="1" ref="H18" ca="1">MAX(IF(ResValuesR24&lt;=ROUND(data_NTC_2k_3390[[#This Row],[Rsonde]],2)-IF(data_NTC_2k_3390[[#This Row],[Rsonde]]=MIN(data_NTC_2k_3390[Rsonde]),100,$D19),ResValuesR24))</f>
        <v>240</v>
      </c>
      <c r="I18" s="9">
        <f ca="1">ROUND(data_NTC_2k_3390[[#This Row],[RaddLow]]+(IF(data_NTC_2k_3390[[#This Row],[Rsonde]]=MIN(data_NTC_2k_3390[Rsonde]),0,$D19)-data_NTC_2k_3390[[#This Row],[Rsonde]]),2)</f>
        <v>0</v>
      </c>
      <c r="J18" s="9" cm="1">
        <f t="array" aca="1" ref="J18" ca="1">MIN(IF(ResValuesR24&gt;=ROUND(data_NTC_2k_3390[[#This Row],[Rsonde]],2)-IF(data_NTC_2k_3390[[#This Row],[Rsonde]]=MIN(data_NTC_2k_3390[Rsonde]),100,$D19),ResValuesR24))</f>
        <v>240</v>
      </c>
      <c r="K18" s="9">
        <f ca="1">ROUND(data_NTC_2k_3390[[#This Row],[RaddHigh]]+(IF(data_NTC_2k_3390[[#This Row],[Rsonde]]=MIN(data_NTC_2k_3390[Rsonde]),0,$D19)-data_NTC_2k_3390[[#This Row],[Rsonde]]),2)</f>
        <v>0</v>
      </c>
      <c r="L18" s="2" cm="1">
        <f t="array" aca="1" ref="L18" ca="1">IF(INDIRECT(RefCell_R77),(data_NTC_2k_3390[[#This Row],[Rpcb]]*INDIRECT(RefCell_R77))/(data_NTC_2k_3390[[#This Row],[Rpcb]]+INDIRECT(RefCell_R77)),data_NTC_2k_3390[[#This Row],[Rpcb]])</f>
        <v>2669.7759640209879</v>
      </c>
      <c r="N18" s="37"/>
      <c r="O18" s="37"/>
      <c r="P18" s="37"/>
    </row>
    <row r="19" spans="1:16" x14ac:dyDescent="0.25">
      <c r="A19" t="s">
        <v>32</v>
      </c>
      <c r="B19" s="8">
        <v>9</v>
      </c>
      <c r="C19" s="9">
        <v>3764</v>
      </c>
      <c r="D19" s="9" cm="1">
        <f t="array" aca="1" ref="D19" ca="1">INDIRECT(RefCell_Rpot)+SUM(G19:G$34)</f>
        <v>3767</v>
      </c>
      <c r="E19" s="9">
        <f ca="1">data_NTC_2k_3390[[#This Row],[Rpcb]]-data_NTC_2k_3390[[#This Row],[Rsonde]]</f>
        <v>3</v>
      </c>
      <c r="F19" s="4">
        <f ca="1">data_NTC_2k_3390[[#This Row],[Diff R]]/data_NTC_2k_3390[[#This Row],[Rsonde]]</f>
        <v>7.970244420828905E-4</v>
      </c>
      <c r="G19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240</v>
      </c>
      <c r="H19" s="9" cm="1">
        <f t="array" aca="1" ref="H19" ca="1">MAX(IF(ResValuesR24&lt;=ROUND(data_NTC_2k_3390[[#This Row],[Rsonde]],2)-IF(data_NTC_2k_3390[[#This Row],[Rsonde]]=MIN(data_NTC_2k_3390[Rsonde]),100,$D20),ResValuesR24))</f>
        <v>220.00000000000003</v>
      </c>
      <c r="I19" s="9">
        <f ca="1">ROUND(data_NTC_2k_3390[[#This Row],[RaddLow]]+(IF(data_NTC_2k_3390[[#This Row],[Rsonde]]=MIN(data_NTC_2k_3390[Rsonde]),0,$D20)-data_NTC_2k_3390[[#This Row],[Rsonde]]),2)</f>
        <v>-17</v>
      </c>
      <c r="J19" s="9" cm="1">
        <f t="array" aca="1" ref="J19" ca="1">MIN(IF(ResValuesR24&gt;=ROUND(data_NTC_2k_3390[[#This Row],[Rsonde]],2)-IF(data_NTC_2k_3390[[#This Row],[Rsonde]]=MIN(data_NTC_2k_3390[Rsonde]),100,$D20),ResValuesR24))</f>
        <v>240</v>
      </c>
      <c r="K19" s="9">
        <f ca="1">ROUND(data_NTC_2k_3390[[#This Row],[RaddHigh]]+(IF(data_NTC_2k_3390[[#This Row],[Rsonde]]=MIN(data_NTC_2k_3390[Rsonde]),0,$D20)-data_NTC_2k_3390[[#This Row],[Rsonde]]),2)</f>
        <v>3</v>
      </c>
      <c r="L19" s="2" cm="1">
        <f t="array" aca="1" ref="L19" ca="1">IF(INDIRECT(RefCell_R77),(data_NTC_2k_3390[[#This Row],[Rpcb]]*INDIRECT(RefCell_R77))/(data_NTC_2k_3390[[#This Row],[Rpcb]]+INDIRECT(RefCell_R77)),data_NTC_2k_3390[[#This Row],[Rpcb]])</f>
        <v>2561.0605931843293</v>
      </c>
      <c r="N19" s="38" t="s">
        <v>221</v>
      </c>
      <c r="O19" s="37"/>
      <c r="P19" s="37"/>
    </row>
    <row r="20" spans="1:16" x14ac:dyDescent="0.25">
      <c r="A20" t="s">
        <v>31</v>
      </c>
      <c r="B20" s="8">
        <v>10.5</v>
      </c>
      <c r="C20" s="9">
        <v>3537</v>
      </c>
      <c r="D20" s="9" cm="1">
        <f t="array" aca="1" ref="D20" ca="1">INDIRECT(RefCell_Rpot)+SUM(G20:G$34)</f>
        <v>3527</v>
      </c>
      <c r="E20" s="9">
        <f ca="1">data_NTC_2k_3390[[#This Row],[Rpcb]]-data_NTC_2k_3390[[#This Row],[Rsonde]]</f>
        <v>-10</v>
      </c>
      <c r="F20" s="4">
        <f ca="1">data_NTC_2k_3390[[#This Row],[Diff R]]/data_NTC_2k_3390[[#This Row],[Rsonde]]</f>
        <v>-2.8272547356516823E-3</v>
      </c>
      <c r="G20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200</v>
      </c>
      <c r="H20" s="9" cm="1">
        <f t="array" aca="1" ref="H20" ca="1">MAX(IF(ResValuesR24&lt;=ROUND(data_NTC_2k_3390[[#This Row],[Rsonde]],2)-IF(data_NTC_2k_3390[[#This Row],[Rsonde]]=MIN(data_NTC_2k_3390[Rsonde]),100,$D21),ResValuesR24))</f>
        <v>200</v>
      </c>
      <c r="I20" s="9">
        <f ca="1">ROUND(data_NTC_2k_3390[[#This Row],[RaddLow]]+(IF(data_NTC_2k_3390[[#This Row],[Rsonde]]=MIN(data_NTC_2k_3390[Rsonde]),0,$D21)-data_NTC_2k_3390[[#This Row],[Rsonde]]),2)</f>
        <v>-10</v>
      </c>
      <c r="J20" s="9" cm="1">
        <f t="array" aca="1" ref="J20" ca="1">MIN(IF(ResValuesR24&gt;=ROUND(data_NTC_2k_3390[[#This Row],[Rsonde]],2)-IF(data_NTC_2k_3390[[#This Row],[Rsonde]]=MIN(data_NTC_2k_3390[Rsonde]),100,$D21),ResValuesR24))</f>
        <v>220.00000000000003</v>
      </c>
      <c r="K20" s="9">
        <f ca="1">ROUND(data_NTC_2k_3390[[#This Row],[RaddHigh]]+(IF(data_NTC_2k_3390[[#This Row],[Rsonde]]=MIN(data_NTC_2k_3390[Rsonde]),0,$D21)-data_NTC_2k_3390[[#This Row],[Rsonde]]),2)</f>
        <v>10</v>
      </c>
      <c r="L20" s="2" cm="1">
        <f t="array" aca="1" ref="L20" ca="1">IF(INDIRECT(RefCell_R77),(data_NTC_2k_3390[[#This Row],[Rpcb]]*INDIRECT(RefCell_R77))/(data_NTC_2k_3390[[#This Row],[Rpcb]]+INDIRECT(RefCell_R77)),data_NTC_2k_3390[[#This Row],[Rpcb]])</f>
        <v>2447.8181660449382</v>
      </c>
      <c r="N20" s="37"/>
      <c r="O20" s="37"/>
      <c r="P20" s="37"/>
    </row>
    <row r="21" spans="1:16" x14ac:dyDescent="0.25">
      <c r="A21" t="s">
        <v>30</v>
      </c>
      <c r="B21" s="8">
        <v>12</v>
      </c>
      <c r="C21" s="9">
        <v>3326</v>
      </c>
      <c r="D21" s="9" cm="1">
        <f t="array" aca="1" ref="D21" ca="1">INDIRECT(RefCell_Rpot)+SUM(G21:G$34)</f>
        <v>3327</v>
      </c>
      <c r="E21" s="9">
        <f ca="1">data_NTC_2k_3390[[#This Row],[Rpcb]]-data_NTC_2k_3390[[#This Row],[Rsonde]]</f>
        <v>1</v>
      </c>
      <c r="F21" s="4">
        <f ca="1">data_NTC_2k_3390[[#This Row],[Diff R]]/data_NTC_2k_3390[[#This Row],[Rsonde]]</f>
        <v>3.0066145520144319E-4</v>
      </c>
      <c r="G21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200</v>
      </c>
      <c r="H21" s="9" cm="1">
        <f t="array" aca="1" ref="H21" ca="1">MAX(IF(ResValuesR24&lt;=ROUND(data_NTC_2k_3390[[#This Row],[Rsonde]],2)-IF(data_NTC_2k_3390[[#This Row],[Rsonde]]=MIN(data_NTC_2k_3390[Rsonde]),100,$D22),ResValuesR24))</f>
        <v>180</v>
      </c>
      <c r="I21" s="9">
        <f ca="1">ROUND(data_NTC_2k_3390[[#This Row],[RaddLow]]+(IF(data_NTC_2k_3390[[#This Row],[Rsonde]]=MIN(data_NTC_2k_3390[Rsonde]),0,$D22)-data_NTC_2k_3390[[#This Row],[Rsonde]]),2)</f>
        <v>-19</v>
      </c>
      <c r="J21" s="9" cm="1">
        <f t="array" aca="1" ref="J21" ca="1">MIN(IF(ResValuesR24&gt;=ROUND(data_NTC_2k_3390[[#This Row],[Rsonde]],2)-IF(data_NTC_2k_3390[[#This Row],[Rsonde]]=MIN(data_NTC_2k_3390[Rsonde]),100,$D22),ResValuesR24))</f>
        <v>200</v>
      </c>
      <c r="K21" s="9">
        <f ca="1">ROUND(data_NTC_2k_3390[[#This Row],[RaddHigh]]+(IF(data_NTC_2k_3390[[#This Row],[Rsonde]]=MIN(data_NTC_2k_3390[Rsonde]),0,$D22)-data_NTC_2k_3390[[#This Row],[Rsonde]]),2)</f>
        <v>1</v>
      </c>
      <c r="L21" s="2" cm="1">
        <f t="array" aca="1" ref="L21" ca="1">IF(INDIRECT(RefCell_R77),(data_NTC_2k_3390[[#This Row],[Rpcb]]*INDIRECT(RefCell_R77))/(data_NTC_2k_3390[[#This Row],[Rpcb]]+INDIRECT(RefCell_R77)),data_NTC_2k_3390[[#This Row],[Rpcb]])</f>
        <v>2349.7837026573675</v>
      </c>
      <c r="N21" s="37"/>
      <c r="O21" s="37"/>
      <c r="P21" s="37"/>
    </row>
    <row r="22" spans="1:16" x14ac:dyDescent="0.25">
      <c r="A22" t="s">
        <v>29</v>
      </c>
      <c r="B22" s="8">
        <v>13.5</v>
      </c>
      <c r="C22" s="9">
        <v>3130</v>
      </c>
      <c r="D22" s="9" cm="1">
        <f t="array" aca="1" ref="D22" ca="1">INDIRECT(RefCell_Rpot)+SUM(G22:G$34)</f>
        <v>3127</v>
      </c>
      <c r="E22" s="9">
        <f ca="1">data_NTC_2k_3390[[#This Row],[Rpcb]]-data_NTC_2k_3390[[#This Row],[Rsonde]]</f>
        <v>-3</v>
      </c>
      <c r="F22" s="4">
        <f ca="1">data_NTC_2k_3390[[#This Row],[Diff R]]/data_NTC_2k_3390[[#This Row],[Rsonde]]</f>
        <v>-9.5846645367412143E-4</v>
      </c>
      <c r="G22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180</v>
      </c>
      <c r="H22" s="9" cm="1">
        <f t="array" aca="1" ref="H22" ca="1">MAX(IF(ResValuesR24&lt;=ROUND(data_NTC_2k_3390[[#This Row],[Rsonde]],2)-IF(data_NTC_2k_3390[[#This Row],[Rsonde]]=MIN(data_NTC_2k_3390[Rsonde]),100,$D23),ResValuesR24))</f>
        <v>180</v>
      </c>
      <c r="I22" s="9">
        <f ca="1">ROUND(data_NTC_2k_3390[[#This Row],[RaddLow]]+(IF(data_NTC_2k_3390[[#This Row],[Rsonde]]=MIN(data_NTC_2k_3390[Rsonde]),0,$D23)-data_NTC_2k_3390[[#This Row],[Rsonde]]),2)</f>
        <v>-3</v>
      </c>
      <c r="J22" s="9" cm="1">
        <f t="array" aca="1" ref="J22" ca="1">MIN(IF(ResValuesR24&gt;=ROUND(data_NTC_2k_3390[[#This Row],[Rsonde]],2)-IF(data_NTC_2k_3390[[#This Row],[Rsonde]]=MIN(data_NTC_2k_3390[Rsonde]),100,$D23),ResValuesR24))</f>
        <v>200</v>
      </c>
      <c r="K22" s="9">
        <f ca="1">ROUND(data_NTC_2k_3390[[#This Row],[RaddHigh]]+(IF(data_NTC_2k_3390[[#This Row],[Rsonde]]=MIN(data_NTC_2k_3390[Rsonde]),0,$D23)-data_NTC_2k_3390[[#This Row],[Rsonde]]),2)</f>
        <v>17</v>
      </c>
      <c r="L22" s="2" cm="1">
        <f t="array" aca="1" ref="L22" ca="1">IF(INDIRECT(RefCell_R77),(data_NTC_2k_3390[[#This Row],[Rpcb]]*INDIRECT(RefCell_R77))/(data_NTC_2k_3390[[#This Row],[Rpcb]]+INDIRECT(RefCell_R77)),data_NTC_2k_3390[[#This Row],[Rpcb]])</f>
        <v>2248.2250381953804</v>
      </c>
      <c r="N22" s="37"/>
      <c r="O22" s="37"/>
      <c r="P22" s="37"/>
    </row>
    <row r="23" spans="1:16" x14ac:dyDescent="0.25">
      <c r="A23" t="s">
        <v>28</v>
      </c>
      <c r="B23" s="8">
        <v>15</v>
      </c>
      <c r="C23" s="9">
        <v>2947</v>
      </c>
      <c r="D23" s="9" cm="1">
        <f t="array" aca="1" ref="D23" ca="1">INDIRECT(RefCell_Rpot)+SUM(G23:G$34)</f>
        <v>2947</v>
      </c>
      <c r="E23" s="9">
        <f ca="1">data_NTC_2k_3390[[#This Row],[Rpcb]]-data_NTC_2k_3390[[#This Row],[Rsonde]]</f>
        <v>0</v>
      </c>
      <c r="F23" s="4">
        <f ca="1">data_NTC_2k_3390[[#This Row],[Diff R]]/data_NTC_2k_3390[[#This Row],[Rsonde]]</f>
        <v>0</v>
      </c>
      <c r="G23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180</v>
      </c>
      <c r="H23" s="9" cm="1">
        <f t="array" aca="1" ref="H23" ca="1">MAX(IF(ResValuesR24&lt;=ROUND(data_NTC_2k_3390[[#This Row],[Rsonde]],2)-IF(data_NTC_2k_3390[[#This Row],[Rsonde]]=MIN(data_NTC_2k_3390[Rsonde]),100,$D24),ResValuesR24))</f>
        <v>180</v>
      </c>
      <c r="I23" s="9">
        <f ca="1">ROUND(data_NTC_2k_3390[[#This Row],[RaddLow]]+(IF(data_NTC_2k_3390[[#This Row],[Rsonde]]=MIN(data_NTC_2k_3390[Rsonde]),0,$D24)-data_NTC_2k_3390[[#This Row],[Rsonde]]),2)</f>
        <v>0</v>
      </c>
      <c r="J23" s="9" cm="1">
        <f t="array" aca="1" ref="J23" ca="1">MIN(IF(ResValuesR24&gt;=ROUND(data_NTC_2k_3390[[#This Row],[Rsonde]],2)-IF(data_NTC_2k_3390[[#This Row],[Rsonde]]=MIN(data_NTC_2k_3390[Rsonde]),100,$D24),ResValuesR24))</f>
        <v>180</v>
      </c>
      <c r="K23" s="9">
        <f ca="1">ROUND(data_NTC_2k_3390[[#This Row],[RaddHigh]]+(IF(data_NTC_2k_3390[[#This Row],[Rsonde]]=MIN(data_NTC_2k_3390[Rsonde]),0,$D24)-data_NTC_2k_3390[[#This Row],[Rsonde]]),2)</f>
        <v>0</v>
      </c>
      <c r="L23" s="2" cm="1">
        <f t="array" aca="1" ref="L23" ca="1">IF(INDIRECT(RefCell_R77),(data_NTC_2k_3390[[#This Row],[Rpcb]]*INDIRECT(RefCell_R77))/(data_NTC_2k_3390[[#This Row],[Rpcb]]+INDIRECT(RefCell_R77)),data_NTC_2k_3390[[#This Row],[Rpcb]])</f>
        <v>2153.6494016625561</v>
      </c>
      <c r="N23" s="37"/>
      <c r="O23" s="37"/>
      <c r="P23" s="37"/>
    </row>
    <row r="24" spans="1:16" x14ac:dyDescent="0.25">
      <c r="A24" t="s">
        <v>27</v>
      </c>
      <c r="B24" s="8">
        <v>16.5</v>
      </c>
      <c r="C24" s="9">
        <v>2776</v>
      </c>
      <c r="D24" s="9" cm="1">
        <f t="array" aca="1" ref="D24" ca="1">INDIRECT(RefCell_Rpot)+SUM(G24:G$34)</f>
        <v>2767</v>
      </c>
      <c r="E24" s="9">
        <f ca="1">data_NTC_2k_3390[[#This Row],[Rpcb]]-data_NTC_2k_3390[[#This Row],[Rsonde]]</f>
        <v>-9</v>
      </c>
      <c r="F24" s="4">
        <f ca="1">data_NTC_2k_3390[[#This Row],[Diff R]]/data_NTC_2k_3390[[#This Row],[Rsonde]]</f>
        <v>-3.2420749279538905E-3</v>
      </c>
      <c r="G24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160</v>
      </c>
      <c r="H24" s="9" cm="1">
        <f t="array" aca="1" ref="H24" ca="1">MAX(IF(ResValuesR24&lt;=ROUND(data_NTC_2k_3390[[#This Row],[Rsonde]],2)-IF(data_NTC_2k_3390[[#This Row],[Rsonde]]=MIN(data_NTC_2k_3390[Rsonde]),100,$D25),ResValuesR24))</f>
        <v>160</v>
      </c>
      <c r="I24" s="9">
        <f ca="1">ROUND(data_NTC_2k_3390[[#This Row],[RaddLow]]+(IF(data_NTC_2k_3390[[#This Row],[Rsonde]]=MIN(data_NTC_2k_3390[Rsonde]),0,$D25)-data_NTC_2k_3390[[#This Row],[Rsonde]]),2)</f>
        <v>-9</v>
      </c>
      <c r="J24" s="9" cm="1">
        <f t="array" aca="1" ref="J24" ca="1">MIN(IF(ResValuesR24&gt;=ROUND(data_NTC_2k_3390[[#This Row],[Rsonde]],2)-IF(data_NTC_2k_3390[[#This Row],[Rsonde]]=MIN(data_NTC_2k_3390[Rsonde]),100,$D25),ResValuesR24))</f>
        <v>180</v>
      </c>
      <c r="K24" s="9">
        <f ca="1">ROUND(data_NTC_2k_3390[[#This Row],[RaddHigh]]+(IF(data_NTC_2k_3390[[#This Row],[Rsonde]]=MIN(data_NTC_2k_3390[Rsonde]),0,$D25)-data_NTC_2k_3390[[#This Row],[Rsonde]]),2)</f>
        <v>11</v>
      </c>
      <c r="L24" s="2" cm="1">
        <f t="array" aca="1" ref="L24" ca="1">IF(INDIRECT(RefCell_R77),(data_NTC_2k_3390[[#This Row],[Rpcb]]*INDIRECT(RefCell_R77))/(data_NTC_2k_3390[[#This Row],[Rpcb]]+INDIRECT(RefCell_R77)),data_NTC_2k_3390[[#This Row],[Rpcb]])</f>
        <v>2055.9115816847775</v>
      </c>
      <c r="P24" s="37"/>
    </row>
    <row r="25" spans="1:16" x14ac:dyDescent="0.25">
      <c r="A25" t="s">
        <v>26</v>
      </c>
      <c r="B25" s="8">
        <v>18</v>
      </c>
      <c r="C25" s="9">
        <v>2616</v>
      </c>
      <c r="D25" s="9" cm="1">
        <f t="array" aca="1" ref="D25" ca="1">INDIRECT(RefCell_Rpot)+SUM(G25:G$34)</f>
        <v>2607</v>
      </c>
      <c r="E25" s="9">
        <f ca="1">data_NTC_2k_3390[[#This Row],[Rpcb]]-data_NTC_2k_3390[[#This Row],[Rsonde]]</f>
        <v>-9</v>
      </c>
      <c r="F25" s="4">
        <f ca="1">data_NTC_2k_3390[[#This Row],[Diff R]]/data_NTC_2k_3390[[#This Row],[Rsonde]]</f>
        <v>-3.4403669724770644E-3</v>
      </c>
      <c r="G25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130</v>
      </c>
      <c r="H25" s="9" cm="1">
        <f t="array" aca="1" ref="H25" ca="1">MAX(IF(ResValuesR24&lt;=ROUND(data_NTC_2k_3390[[#This Row],[Rsonde]],2)-IF(data_NTC_2k_3390[[#This Row],[Rsonde]]=MIN(data_NTC_2k_3390[Rsonde]),100,$D26),ResValuesR24))</f>
        <v>130</v>
      </c>
      <c r="I25" s="9">
        <f ca="1">ROUND(data_NTC_2k_3390[[#This Row],[RaddLow]]+(IF(data_NTC_2k_3390[[#This Row],[Rsonde]]=MIN(data_NTC_2k_3390[Rsonde]),0,$D26)-data_NTC_2k_3390[[#This Row],[Rsonde]]),2)</f>
        <v>-9</v>
      </c>
      <c r="J25" s="9" cm="1">
        <f t="array" aca="1" ref="J25" ca="1">MIN(IF(ResValuesR24&gt;=ROUND(data_NTC_2k_3390[[#This Row],[Rsonde]],2)-IF(data_NTC_2k_3390[[#This Row],[Rsonde]]=MIN(data_NTC_2k_3390[Rsonde]),100,$D26),ResValuesR24))</f>
        <v>150</v>
      </c>
      <c r="K25" s="9">
        <f ca="1">ROUND(data_NTC_2k_3390[[#This Row],[RaddHigh]]+(IF(data_NTC_2k_3390[[#This Row],[Rsonde]]=MIN(data_NTC_2k_3390[Rsonde]),0,$D26)-data_NTC_2k_3390[[#This Row],[Rsonde]]),2)</f>
        <v>11</v>
      </c>
      <c r="L25" s="2" cm="1">
        <f t="array" aca="1" ref="L25" ca="1">IF(INDIRECT(RefCell_R77),(data_NTC_2k_3390[[#This Row],[Rpcb]]*INDIRECT(RefCell_R77))/(data_NTC_2k_3390[[#This Row],[Rpcb]]+INDIRECT(RefCell_R77)),data_NTC_2k_3390[[#This Row],[Rpcb]])</f>
        <v>1966.2487036862449</v>
      </c>
    </row>
    <row r="26" spans="1:16" x14ac:dyDescent="0.25">
      <c r="A26" t="s">
        <v>25</v>
      </c>
      <c r="B26" s="8">
        <v>19.5</v>
      </c>
      <c r="C26" s="9">
        <v>2468</v>
      </c>
      <c r="D26" s="9" cm="1">
        <f t="array" aca="1" ref="D26" ca="1">INDIRECT(RefCell_Rpot)+SUM(G26:G$34)</f>
        <v>2477</v>
      </c>
      <c r="E26" s="9">
        <f ca="1">data_NTC_2k_3390[[#This Row],[Rpcb]]-data_NTC_2k_3390[[#This Row],[Rsonde]]</f>
        <v>9</v>
      </c>
      <c r="F26" s="4">
        <f ca="1">data_NTC_2k_3390[[#This Row],[Diff R]]/data_NTC_2k_3390[[#This Row],[Rsonde]]</f>
        <v>3.6466774716369531E-3</v>
      </c>
      <c r="G26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150</v>
      </c>
      <c r="H26" s="9" cm="1">
        <f t="array" aca="1" ref="H26" ca="1">MAX(IF(ResValuesR24&lt;=ROUND(data_NTC_2k_3390[[#This Row],[Rsonde]],2)-IF(data_NTC_2k_3390[[#This Row],[Rsonde]]=MIN(data_NTC_2k_3390[Rsonde]),100,$D27),ResValuesR24))</f>
        <v>130</v>
      </c>
      <c r="I26" s="9">
        <f ca="1">ROUND(data_NTC_2k_3390[[#This Row],[RaddLow]]+(IF(data_NTC_2k_3390[[#This Row],[Rsonde]]=MIN(data_NTC_2k_3390[Rsonde]),0,$D27)-data_NTC_2k_3390[[#This Row],[Rsonde]]),2)</f>
        <v>-11</v>
      </c>
      <c r="J26" s="9" cm="1">
        <f t="array" aca="1" ref="J26" ca="1">MIN(IF(ResValuesR24&gt;=ROUND(data_NTC_2k_3390[[#This Row],[Rsonde]],2)-IF(data_NTC_2k_3390[[#This Row],[Rsonde]]=MIN(data_NTC_2k_3390[Rsonde]),100,$D27),ResValuesR24))</f>
        <v>150</v>
      </c>
      <c r="K26" s="9">
        <f ca="1">ROUND(data_NTC_2k_3390[[#This Row],[RaddHigh]]+(IF(data_NTC_2k_3390[[#This Row],[Rsonde]]=MIN(data_NTC_2k_3390[Rsonde]),0,$D27)-data_NTC_2k_3390[[#This Row],[Rsonde]]),2)</f>
        <v>9</v>
      </c>
      <c r="L26" s="2" cm="1">
        <f t="array" aca="1" ref="L26" ca="1">IF(INDIRECT(RefCell_R77),(data_NTC_2k_3390[[#This Row],[Rpcb]]*INDIRECT(RefCell_R77))/(data_NTC_2k_3390[[#This Row],[Rpcb]]+INDIRECT(RefCell_R77)),data_NTC_2k_3390[[#This Row],[Rpcb]])</f>
        <v>1891.3811205497757</v>
      </c>
    </row>
    <row r="27" spans="1:16" x14ac:dyDescent="0.25">
      <c r="A27" t="s">
        <v>24</v>
      </c>
      <c r="B27" s="8">
        <v>21</v>
      </c>
      <c r="C27" s="9">
        <v>2328</v>
      </c>
      <c r="D27" s="9" cm="1">
        <f t="array" aca="1" ref="D27" ca="1">INDIRECT(RefCell_Rpot)+SUM(G27:G$34)</f>
        <v>2327</v>
      </c>
      <c r="E27" s="9">
        <f ca="1">data_NTC_2k_3390[[#This Row],[Rpcb]]-data_NTC_2k_3390[[#This Row],[Rsonde]]</f>
        <v>-1</v>
      </c>
      <c r="F27" s="4">
        <f ca="1">data_NTC_2k_3390[[#This Row],[Diff R]]/data_NTC_2k_3390[[#This Row],[Rsonde]]</f>
        <v>-4.2955326460481099E-4</v>
      </c>
      <c r="G27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130</v>
      </c>
      <c r="H27" s="9" cm="1">
        <f t="array" aca="1" ref="H27" ca="1">MAX(IF(ResValuesR24&lt;=ROUND(data_NTC_2k_3390[[#This Row],[Rsonde]],2)-IF(data_NTC_2k_3390[[#This Row],[Rsonde]]=MIN(data_NTC_2k_3390[Rsonde]),100,$D28),ResValuesR24))</f>
        <v>130</v>
      </c>
      <c r="I27" s="9">
        <f ca="1">ROUND(data_NTC_2k_3390[[#This Row],[RaddLow]]+(IF(data_NTC_2k_3390[[#This Row],[Rsonde]]=MIN(data_NTC_2k_3390[Rsonde]),0,$D28)-data_NTC_2k_3390[[#This Row],[Rsonde]]),2)</f>
        <v>-1</v>
      </c>
      <c r="J27" s="9" cm="1">
        <f t="array" aca="1" ref="J27" ca="1">MIN(IF(ResValuesR24&gt;=ROUND(data_NTC_2k_3390[[#This Row],[Rsonde]],2)-IF(data_NTC_2k_3390[[#This Row],[Rsonde]]=MIN(data_NTC_2k_3390[Rsonde]),100,$D28),ResValuesR24))</f>
        <v>150</v>
      </c>
      <c r="K27" s="9">
        <f ca="1">ROUND(data_NTC_2k_3390[[#This Row],[RaddHigh]]+(IF(data_NTC_2k_3390[[#This Row],[Rsonde]]=MIN(data_NTC_2k_3390[Rsonde]),0,$D28)-data_NTC_2k_3390[[#This Row],[Rsonde]]),2)</f>
        <v>19</v>
      </c>
      <c r="L27" s="2" cm="1">
        <f t="array" aca="1" ref="L27" ca="1">IF(INDIRECT(RefCell_R77),(data_NTC_2k_3390[[#This Row],[Rpcb]]*INDIRECT(RefCell_R77))/(data_NTC_2k_3390[[#This Row],[Rpcb]]+INDIRECT(RefCell_R77)),data_NTC_2k_3390[[#This Row],[Rpcb]])</f>
        <v>1802.653239082018</v>
      </c>
    </row>
    <row r="28" spans="1:16" x14ac:dyDescent="0.25">
      <c r="A28" t="s">
        <v>23</v>
      </c>
      <c r="B28" s="8">
        <v>22.5</v>
      </c>
      <c r="C28" s="9">
        <v>2198</v>
      </c>
      <c r="D28" s="9" cm="1">
        <f t="array" aca="1" ref="D28" ca="1">INDIRECT(RefCell_Rpot)+SUM(G28:G$34)</f>
        <v>2197</v>
      </c>
      <c r="E28" s="9">
        <f ca="1">data_NTC_2k_3390[[#This Row],[Rpcb]]-data_NTC_2k_3390[[#This Row],[Rsonde]]</f>
        <v>-1</v>
      </c>
      <c r="F28" s="4">
        <f ca="1">data_NTC_2k_3390[[#This Row],[Diff R]]/data_NTC_2k_3390[[#This Row],[Rsonde]]</f>
        <v>-4.5495905368516835E-4</v>
      </c>
      <c r="G28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120</v>
      </c>
      <c r="H28" s="9" cm="1">
        <f t="array" aca="1" ref="H28" ca="1">MAX(IF(ResValuesR24&lt;=ROUND(data_NTC_2k_3390[[#This Row],[Rsonde]],2)-IF(data_NTC_2k_3390[[#This Row],[Rsonde]]=MIN(data_NTC_2k_3390[Rsonde]),100,$D29),ResValuesR24))</f>
        <v>120</v>
      </c>
      <c r="I28" s="9">
        <f ca="1">ROUND(data_NTC_2k_3390[[#This Row],[RaddLow]]+(IF(data_NTC_2k_3390[[#This Row],[Rsonde]]=MIN(data_NTC_2k_3390[Rsonde]),0,$D29)-data_NTC_2k_3390[[#This Row],[Rsonde]]),2)</f>
        <v>-1</v>
      </c>
      <c r="J28" s="9" cm="1">
        <f t="array" aca="1" ref="J28" ca="1">MIN(IF(ResValuesR24&gt;=ROUND(data_NTC_2k_3390[[#This Row],[Rsonde]],2)-IF(data_NTC_2k_3390[[#This Row],[Rsonde]]=MIN(data_NTC_2k_3390[Rsonde]),100,$D29),ResValuesR24))</f>
        <v>130</v>
      </c>
      <c r="K28" s="9">
        <f ca="1">ROUND(data_NTC_2k_3390[[#This Row],[RaddHigh]]+(IF(data_NTC_2k_3390[[#This Row],[Rsonde]]=MIN(data_NTC_2k_3390[Rsonde]),0,$D29)-data_NTC_2k_3390[[#This Row],[Rsonde]]),2)</f>
        <v>9</v>
      </c>
      <c r="L28" s="2" cm="1">
        <f t="array" aca="1" ref="L28" ca="1">IF(INDIRECT(RefCell_R77),(data_NTC_2k_3390[[#This Row],[Rpcb]]*INDIRECT(RefCell_R77))/(data_NTC_2k_3390[[#This Row],[Rpcb]]+INDIRECT(RefCell_R77)),data_NTC_2k_3390[[#This Row],[Rpcb]])</f>
        <v>1723.6442090811022</v>
      </c>
    </row>
    <row r="29" spans="1:16" x14ac:dyDescent="0.25">
      <c r="A29" t="s">
        <v>22</v>
      </c>
      <c r="B29" s="8">
        <v>24</v>
      </c>
      <c r="C29" s="9">
        <v>2077</v>
      </c>
      <c r="D29" s="9" cm="1">
        <f t="array" aca="1" ref="D29" ca="1">INDIRECT(RefCell_Rpot)+SUM(G29:G$34)</f>
        <v>2077</v>
      </c>
      <c r="E29" s="9">
        <f ca="1">data_NTC_2k_3390[[#This Row],[Rpcb]]-data_NTC_2k_3390[[#This Row],[Rsonde]]</f>
        <v>0</v>
      </c>
      <c r="F29" s="4">
        <f ca="1">data_NTC_2k_3390[[#This Row],[Diff R]]/data_NTC_2k_3390[[#This Row],[Rsonde]]</f>
        <v>0</v>
      </c>
      <c r="G29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110.00000000000001</v>
      </c>
      <c r="H29" s="9" cm="1">
        <f t="array" aca="1" ref="H29" ca="1">MAX(IF(ResValuesR24&lt;=ROUND(data_NTC_2k_3390[[#This Row],[Rsonde]],2)-IF(data_NTC_2k_3390[[#This Row],[Rsonde]]=MIN(data_NTC_2k_3390[Rsonde]),100,$D30),ResValuesR24))</f>
        <v>110.00000000000001</v>
      </c>
      <c r="I29" s="9">
        <f ca="1">ROUND(data_NTC_2k_3390[[#This Row],[RaddLow]]+(IF(data_NTC_2k_3390[[#This Row],[Rsonde]]=MIN(data_NTC_2k_3390[Rsonde]),0,$D30)-data_NTC_2k_3390[[#This Row],[Rsonde]]),2)</f>
        <v>0</v>
      </c>
      <c r="J29" s="9" cm="1">
        <f t="array" aca="1" ref="J29" ca="1">MIN(IF(ResValuesR24&gt;=ROUND(data_NTC_2k_3390[[#This Row],[Rsonde]],2)-IF(data_NTC_2k_3390[[#This Row],[Rsonde]]=MIN(data_NTC_2k_3390[Rsonde]),100,$D30),ResValuesR24))</f>
        <v>110.00000000000001</v>
      </c>
      <c r="K29" s="9">
        <f ca="1">ROUND(data_NTC_2k_3390[[#This Row],[RaddHigh]]+(IF(data_NTC_2k_3390[[#This Row],[Rsonde]]=MIN(data_NTC_2k_3390[Rsonde]),0,$D30)-data_NTC_2k_3390[[#This Row],[Rsonde]]),2)</f>
        <v>0</v>
      </c>
      <c r="L29" s="2" cm="1">
        <f t="array" aca="1" ref="L29" ca="1">IF(INDIRECT(RefCell_R77),(data_NTC_2k_3390[[#This Row],[Rpcb]]*INDIRECT(RefCell_R77))/(data_NTC_2k_3390[[#This Row],[Rpcb]]+INDIRECT(RefCell_R77)),data_NTC_2k_3390[[#This Row],[Rpcb]])</f>
        <v>1648.9034434851642</v>
      </c>
    </row>
    <row r="30" spans="1:16" x14ac:dyDescent="0.25">
      <c r="A30" t="s">
        <v>21</v>
      </c>
      <c r="B30" s="8">
        <v>25.5</v>
      </c>
      <c r="C30" s="9">
        <v>1963</v>
      </c>
      <c r="D30" s="9" cm="1">
        <f t="array" aca="1" ref="D30" ca="1">INDIRECT(RefCell_Rpot)+SUM(G30:G$34)</f>
        <v>1967</v>
      </c>
      <c r="E30" s="9">
        <f ca="1">data_NTC_2k_3390[[#This Row],[Rpcb]]-data_NTC_2k_3390[[#This Row],[Rsonde]]</f>
        <v>4</v>
      </c>
      <c r="F30" s="4">
        <f ca="1">data_NTC_2k_3390[[#This Row],[Diff R]]/data_NTC_2k_3390[[#This Row],[Rsonde]]</f>
        <v>2.0376974019358125E-3</v>
      </c>
      <c r="G30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110.00000000000001</v>
      </c>
      <c r="H30" s="9" cm="1">
        <f t="array" aca="1" ref="H30" ca="1">MAX(IF(ResValuesR24&lt;=ROUND(data_NTC_2k_3390[[#This Row],[Rsonde]],2)-IF(data_NTC_2k_3390[[#This Row],[Rsonde]]=MIN(data_NTC_2k_3390[Rsonde]),100,$D31),ResValuesR24))</f>
        <v>100</v>
      </c>
      <c r="I30" s="9">
        <f ca="1">ROUND(data_NTC_2k_3390[[#This Row],[RaddLow]]+(IF(data_NTC_2k_3390[[#This Row],[Rsonde]]=MIN(data_NTC_2k_3390[Rsonde]),0,$D31)-data_NTC_2k_3390[[#This Row],[Rsonde]]),2)</f>
        <v>-6</v>
      </c>
      <c r="J30" s="9" cm="1">
        <f t="array" aca="1" ref="J30" ca="1">MIN(IF(ResValuesR24&gt;=ROUND(data_NTC_2k_3390[[#This Row],[Rsonde]],2)-IF(data_NTC_2k_3390[[#This Row],[Rsonde]]=MIN(data_NTC_2k_3390[Rsonde]),100,$D31),ResValuesR24))</f>
        <v>110.00000000000001</v>
      </c>
      <c r="K30" s="9">
        <f ca="1">ROUND(data_NTC_2k_3390[[#This Row],[RaddHigh]]+(IF(data_NTC_2k_3390[[#This Row],[Rsonde]]=MIN(data_NTC_2k_3390[Rsonde]),0,$D31)-data_NTC_2k_3390[[#This Row],[Rsonde]]),2)</f>
        <v>4</v>
      </c>
      <c r="L30" s="2" cm="1">
        <f t="array" aca="1" ref="L30" ca="1">IF(INDIRECT(RefCell_R77),(data_NTC_2k_3390[[#This Row],[Rpcb]]*INDIRECT(RefCell_R77))/(data_NTC_2k_3390[[#This Row],[Rpcb]]+INDIRECT(RefCell_R77)),data_NTC_2k_3390[[#This Row],[Rpcb]])</f>
        <v>1578.8100732416976</v>
      </c>
    </row>
    <row r="31" spans="1:16" x14ac:dyDescent="0.25">
      <c r="A31" t="s">
        <v>20</v>
      </c>
      <c r="B31" s="8">
        <v>27</v>
      </c>
      <c r="C31" s="9">
        <v>1856</v>
      </c>
      <c r="D31" s="9" cm="1">
        <f t="array" aca="1" ref="D31" ca="1">INDIRECT(RefCell_Rpot)+SUM(G31:G$34)</f>
        <v>1857</v>
      </c>
      <c r="E31" s="9">
        <f ca="1">data_NTC_2k_3390[[#This Row],[Rpcb]]-data_NTC_2k_3390[[#This Row],[Rsonde]]</f>
        <v>1</v>
      </c>
      <c r="F31" s="4">
        <f ca="1">data_NTC_2k_3390[[#This Row],[Diff R]]/data_NTC_2k_3390[[#This Row],[Rsonde]]</f>
        <v>5.3879310344827585E-4</v>
      </c>
      <c r="G31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100</v>
      </c>
      <c r="H31" s="9" cm="1">
        <f t="array" aca="1" ref="H31" ca="1">MAX(IF(ResValuesR24&lt;=ROUND(data_NTC_2k_3390[[#This Row],[Rsonde]],2)-IF(data_NTC_2k_3390[[#This Row],[Rsonde]]=MIN(data_NTC_2k_3390[Rsonde]),100,$D32),ResValuesR24))</f>
        <v>91</v>
      </c>
      <c r="I31" s="9">
        <f ca="1">ROUND(data_NTC_2k_3390[[#This Row],[RaddLow]]+(IF(data_NTC_2k_3390[[#This Row],[Rsonde]]=MIN(data_NTC_2k_3390[Rsonde]),0,$D32)-data_NTC_2k_3390[[#This Row],[Rsonde]]),2)</f>
        <v>-8</v>
      </c>
      <c r="J31" s="9" cm="1">
        <f t="array" aca="1" ref="J31" ca="1">MIN(IF(ResValuesR24&gt;=ROUND(data_NTC_2k_3390[[#This Row],[Rsonde]],2)-IF(data_NTC_2k_3390[[#This Row],[Rsonde]]=MIN(data_NTC_2k_3390[Rsonde]),100,$D32),ResValuesR24))</f>
        <v>100</v>
      </c>
      <c r="K31" s="9">
        <f ca="1">ROUND(data_NTC_2k_3390[[#This Row],[RaddHigh]]+(IF(data_NTC_2k_3390[[#This Row],[Rsonde]]=MIN(data_NTC_2k_3390[Rsonde]),0,$D32)-data_NTC_2k_3390[[#This Row],[Rsonde]]),2)</f>
        <v>1</v>
      </c>
      <c r="L31" s="2" cm="1">
        <f t="array" aca="1" ref="L31" ca="1">IF(INDIRECT(RefCell_R77),(data_NTC_2k_3390[[#This Row],[Rpcb]]*INDIRECT(RefCell_R77))/(data_NTC_2k_3390[[#This Row],[Rpcb]]+INDIRECT(RefCell_R77)),data_NTC_2k_3390[[#This Row],[Rpcb]])</f>
        <v>1507.1522775692401</v>
      </c>
    </row>
    <row r="32" spans="1:16" x14ac:dyDescent="0.25">
      <c r="A32" t="s">
        <v>19</v>
      </c>
      <c r="B32" s="8">
        <v>28.5</v>
      </c>
      <c r="C32" s="9">
        <v>1756</v>
      </c>
      <c r="D32" s="9" cm="1">
        <f t="array" aca="1" ref="D32" ca="1">INDIRECT(RefCell_Rpot)+SUM(G32:G$34)</f>
        <v>1757</v>
      </c>
      <c r="E32" s="9">
        <f ca="1">data_NTC_2k_3390[[#This Row],[Rpcb]]-data_NTC_2k_3390[[#This Row],[Rsonde]]</f>
        <v>1</v>
      </c>
      <c r="F32" s="4">
        <f ca="1">data_NTC_2k_3390[[#This Row],[Diff R]]/data_NTC_2k_3390[[#This Row],[Rsonde]]</f>
        <v>5.6947608200455578E-4</v>
      </c>
      <c r="G32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91</v>
      </c>
      <c r="H32" s="9" cm="1">
        <f t="array" aca="1" ref="H32" ca="1">MAX(IF(ResValuesR24&lt;=ROUND(data_NTC_2k_3390[[#This Row],[Rsonde]],2)-IF(data_NTC_2k_3390[[#This Row],[Rsonde]]=MIN(data_NTC_2k_3390[Rsonde]),100,$D33),ResValuesR24))</f>
        <v>82</v>
      </c>
      <c r="I32" s="9">
        <f ca="1">ROUND(data_NTC_2k_3390[[#This Row],[RaddLow]]+(IF(data_NTC_2k_3390[[#This Row],[Rsonde]]=MIN(data_NTC_2k_3390[Rsonde]),0,$D33)-data_NTC_2k_3390[[#This Row],[Rsonde]]),2)</f>
        <v>-8</v>
      </c>
      <c r="J32" s="9" cm="1">
        <f t="array" aca="1" ref="J32" ca="1">MIN(IF(ResValuesR24&gt;=ROUND(data_NTC_2k_3390[[#This Row],[Rsonde]],2)-IF(data_NTC_2k_3390[[#This Row],[Rsonde]]=MIN(data_NTC_2k_3390[Rsonde]),100,$D33),ResValuesR24))</f>
        <v>91</v>
      </c>
      <c r="K32" s="9">
        <f ca="1">ROUND(data_NTC_2k_3390[[#This Row],[RaddHigh]]+(IF(data_NTC_2k_3390[[#This Row],[Rsonde]]=MIN(data_NTC_2k_3390[Rsonde]),0,$D33)-data_NTC_2k_3390[[#This Row],[Rsonde]]),2)</f>
        <v>1</v>
      </c>
      <c r="L32" s="2" cm="1">
        <f t="array" aca="1" ref="L32" ca="1">IF(INDIRECT(RefCell_R77),(data_NTC_2k_3390[[#This Row],[Rpcb]]*INDIRECT(RefCell_R77))/(data_NTC_2k_3390[[#This Row],[Rpcb]]+INDIRECT(RefCell_R77)),data_NTC_2k_3390[[#This Row],[Rpcb]])</f>
        <v>1440.6067438761916</v>
      </c>
    </row>
    <row r="33" spans="1:12" x14ac:dyDescent="0.25">
      <c r="A33" t="s">
        <v>18</v>
      </c>
      <c r="B33" s="8">
        <v>30</v>
      </c>
      <c r="C33" s="9">
        <v>1663</v>
      </c>
      <c r="D33" s="9" cm="1">
        <f t="array" aca="1" ref="D33" ca="1">INDIRECT(RefCell_Rpot)+SUM(G33:G$34)</f>
        <v>1666</v>
      </c>
      <c r="E33" s="9">
        <f ca="1">data_NTC_2k_3390[[#This Row],[Rpcb]]-data_NTC_2k_3390[[#This Row],[Rsonde]]</f>
        <v>3</v>
      </c>
      <c r="F33" s="4">
        <f ca="1">data_NTC_2k_3390[[#This Row],[Diff R]]/data_NTC_2k_3390[[#This Row],[Rsonde]]</f>
        <v>1.8039687312086591E-3</v>
      </c>
      <c r="G33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91</v>
      </c>
      <c r="H33" s="9" cm="1">
        <f t="array" aca="1" ref="H33" ca="1">MAX(IF(ResValuesR24&lt;=ROUND(data_NTC_2k_3390[[#This Row],[Rsonde]],2)-IF(data_NTC_2k_3390[[#This Row],[Rsonde]]=MIN(data_NTC_2k_3390[Rsonde]),100,$D34),ResValuesR24))</f>
        <v>82</v>
      </c>
      <c r="I33" s="9">
        <f ca="1">ROUND(data_NTC_2k_3390[[#This Row],[RaddLow]]+(IF(data_NTC_2k_3390[[#This Row],[Rsonde]]=MIN(data_NTC_2k_3390[Rsonde]),0,$D34)-data_NTC_2k_3390[[#This Row],[Rsonde]]),2)</f>
        <v>-6</v>
      </c>
      <c r="J33" s="9" cm="1">
        <f t="array" aca="1" ref="J33" ca="1">MIN(IF(ResValuesR24&gt;=ROUND(data_NTC_2k_3390[[#This Row],[Rsonde]],2)-IF(data_NTC_2k_3390[[#This Row],[Rsonde]]=MIN(data_NTC_2k_3390[Rsonde]),100,$D34),ResValuesR24))</f>
        <v>91</v>
      </c>
      <c r="K33" s="9">
        <f ca="1">ROUND(data_NTC_2k_3390[[#This Row],[RaddHigh]]+(IF(data_NTC_2k_3390[[#This Row],[Rsonde]]=MIN(data_NTC_2k_3390[Rsonde]),0,$D34)-data_NTC_2k_3390[[#This Row],[Rsonde]]),2)</f>
        <v>3</v>
      </c>
      <c r="L33" s="2" cm="1">
        <f t="array" aca="1" ref="L33" ca="1">IF(INDIRECT(RefCell_R77),(data_NTC_2k_3390[[#This Row],[Rpcb]]*INDIRECT(RefCell_R77))/(data_NTC_2k_3390[[#This Row],[Rpcb]]+INDIRECT(RefCell_R77)),data_NTC_2k_3390[[#This Row],[Rpcb]])</f>
        <v>1378.8537140492447</v>
      </c>
    </row>
    <row r="34" spans="1:12" x14ac:dyDescent="0.25">
      <c r="A34" t="s">
        <v>17</v>
      </c>
      <c r="B34" s="8">
        <v>31.5</v>
      </c>
      <c r="C34" s="9">
        <v>1575</v>
      </c>
      <c r="D34" s="9" cm="1">
        <f t="array" aca="1" ref="D34" ca="1">INDIRECT(RefCell_Rpot)+SUM(G34:G$34)</f>
        <v>1575</v>
      </c>
      <c r="E34" s="9">
        <f ca="1">data_NTC_2k_3390[[#This Row],[Rpcb]]-data_NTC_2k_3390[[#This Row],[Rsonde]]</f>
        <v>0</v>
      </c>
      <c r="F34" s="4">
        <f ca="1">data_NTC_2k_3390[[#This Row],[Diff R]]/data_NTC_2k_3390[[#This Row],[Rsonde]]</f>
        <v>0</v>
      </c>
      <c r="G34" s="9">
        <f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1500</v>
      </c>
      <c r="H34" s="9" cm="1">
        <f t="array" ref="H34">MAX(IF(ResValuesR24&lt;=ROUND(data_NTC_2k_3390[[#This Row],[Rsonde]],2)-IF(data_NTC_2k_3390[[#This Row],[Rsonde]]=MIN(data_NTC_2k_3390[Rsonde]),100,$D35),ResValuesR24))</f>
        <v>1300</v>
      </c>
      <c r="I34" s="9">
        <f>ROUND(data_NTC_2k_3390[[#This Row],[RaddLow]]+(IF(data_NTC_2k_3390[[#This Row],[Rsonde]]=MIN(data_NTC_2k_3390[Rsonde]),0,$D35)-data_NTC_2k_3390[[#This Row],[Rsonde]]),2)</f>
        <v>-275</v>
      </c>
      <c r="J34" s="9" cm="1">
        <f t="array" ref="J34">MIN(IF(ResValuesR24&gt;=ROUND(data_NTC_2k_3390[[#This Row],[Rsonde]],2)-IF(data_NTC_2k_3390[[#This Row],[Rsonde]]=MIN(data_NTC_2k_3390[Rsonde]),100,$D35),ResValuesR24))</f>
        <v>1500</v>
      </c>
      <c r="K34" s="9">
        <f>ROUND(data_NTC_2k_3390[[#This Row],[RaddHigh]]+(IF(data_NTC_2k_3390[[#This Row],[Rsonde]]=MIN(data_NTC_2k_3390[Rsonde]),0,$D35)-data_NTC_2k_3390[[#This Row],[Rsonde]]),2)</f>
        <v>-75</v>
      </c>
      <c r="L34" s="2" cm="1">
        <f t="array" aca="1" ref="L34" ca="1">IF(INDIRECT(RefCell_R77),(data_NTC_2k_3390[[#This Row],[Rpcb]]*INDIRECT(RefCell_R77))/(data_NTC_2k_3390[[#This Row],[Rpcb]]+INDIRECT(RefCell_R77)),data_NTC_2k_3390[[#This Row],[Rpcb]])</f>
        <v>1315.9268929503917</v>
      </c>
    </row>
  </sheetData>
  <mergeCells count="1">
    <mergeCell ref="A1:L1"/>
  </mergeCells>
  <conditionalFormatting sqref="F3:F34">
    <cfRule type="cellIs" dxfId="111" priority="1" operator="between">
      <formula>-0.005</formula>
      <formula>0.005</formula>
    </cfRule>
  </conditionalFormatting>
  <dataValidations count="1">
    <dataValidation type="list" allowBlank="1" showInputMessage="1" showErrorMessage="1" sqref="O3" xr:uid="{55297FC3-4C80-4FEB-A76C-8003D5B4DBA8}">
      <formula1>INDIRECT("TableR77[R]")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6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7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8" r:id="rId11" name="Button 8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AE495-D8CB-4E4C-82BC-735E05C3BD50}">
  <sheetPr codeName="Feuil8"/>
  <dimension ref="A1:Q40"/>
  <sheetViews>
    <sheetView workbookViewId="0">
      <selection activeCell="O8" sqref="O8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7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7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89</v>
      </c>
      <c r="P2" s="7" t="s">
        <v>113</v>
      </c>
    </row>
    <row r="3" spans="1:17" x14ac:dyDescent="0.25">
      <c r="A3" t="s">
        <v>48</v>
      </c>
      <c r="B3" s="8">
        <v>-15</v>
      </c>
      <c r="C3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11444.062500000002</v>
      </c>
      <c r="D3" s="9" cm="1">
        <f t="array" aca="1" ref="D3" ca="1">INDIRECT(RefCell_Rpot)+SUM(G3:G$34)</f>
        <v>11419</v>
      </c>
      <c r="E3" s="9">
        <f ca="1">data_NTC_2k_Xavier[[#This Row],[Rpcb]]-data_NTC_2k_Xavier[[#This Row],[Rsonde]]</f>
        <v>-25.062500000001819</v>
      </c>
      <c r="F3" s="4">
        <f ca="1">data_NTC_2k_Xavier[[#This Row],[Diff R]]/data_NTC_2k_Xavier[[#This Row],[Rsonde]]</f>
        <v>-2.1900002730675244E-3</v>
      </c>
      <c r="G3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750</v>
      </c>
      <c r="H3" s="9" cm="1">
        <f t="array" aca="1" ref="H3" ca="1">MAX(IF(ResValuesR24&lt;=ROUND(data_NTC_2k_Xavier[[#This Row],[Rsonde]],2)-IF(data_NTC_2k_Xavier[[#This Row],[Rsonde]]=MIN(data_NTC_2k_Xavier[Rsonde]),100,$D4),ResValuesR24))</f>
        <v>750</v>
      </c>
      <c r="I3" s="9">
        <f ca="1">ROUND(data_NTC_2k_Xavier[[#This Row],[RaddLow]]+(IF(data_NTC_2k_Xavier[[#This Row],[Rsonde]]=MIN(data_NTC_2k_Xavier[Rsonde]),0,$D4)-data_NTC_2k_Xavier[[#This Row],[Rsonde]]),2)</f>
        <v>-25.06</v>
      </c>
      <c r="J3" s="9" cm="1">
        <f t="array" aca="1" ref="J3" ca="1">MIN(IF(ResValuesR24&gt;=ROUND(data_NTC_2k_Xavier[[#This Row],[Rsonde]],2)-IF(data_NTC_2k_Xavier[[#This Row],[Rsonde]]=MIN(data_NTC_2k_Xavier[Rsonde]),100,$D4),ResValuesR24))</f>
        <v>819.99999999999989</v>
      </c>
      <c r="K3" s="9">
        <f ca="1">ROUND(data_NTC_2k_Xavier[[#This Row],[RaddHigh]]+(IF(data_NTC_2k_Xavier[[#This Row],[Rsonde]]=MIN(data_NTC_2k_Xavier[Rsonde]),0,$D4)-data_NTC_2k_Xavier[[#This Row],[Rsonde]]),2)</f>
        <v>44.94</v>
      </c>
      <c r="L3" s="2" cm="1">
        <f t="array" aca="1" ref="L3" ca="1">IF(INDIRECT(RefCell_R77),(data_NTC_2k_Xavier[[#This Row],[Rpcb]]*INDIRECT(RefCell_R77))/(data_NTC_2k_Xavier[[#This Row],[Rpcb]]+INDIRECT(RefCell_R77)),data_NTC_2k_Xavier[[#This Row],[Rpcb]])</f>
        <v>4704.2587156908185</v>
      </c>
      <c r="N3" t="s">
        <v>112</v>
      </c>
      <c r="O3">
        <v>8000</v>
      </c>
      <c r="P3" s="7" t="s">
        <v>113</v>
      </c>
      <c r="Q3" s="11" t="s">
        <v>157</v>
      </c>
    </row>
    <row r="4" spans="1:17" x14ac:dyDescent="0.25">
      <c r="A4" t="s">
        <v>47</v>
      </c>
      <c r="B4" s="8">
        <v>-13.5</v>
      </c>
      <c r="C4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10664.841281249999</v>
      </c>
      <c r="D4" s="9" cm="1">
        <f t="array" aca="1" ref="D4" ca="1">INDIRECT(RefCell_Rpot)+SUM(G4:G$34)</f>
        <v>10669</v>
      </c>
      <c r="E4" s="9">
        <f ca="1">data_NTC_2k_Xavier[[#This Row],[Rpcb]]-data_NTC_2k_Xavier[[#This Row],[Rsonde]]</f>
        <v>4.158718750000844</v>
      </c>
      <c r="F4" s="4">
        <f ca="1">data_NTC_2k_Xavier[[#This Row],[Diff R]]/data_NTC_2k_Xavier[[#This Row],[Rsonde]]</f>
        <v>3.8994661433099277E-4</v>
      </c>
      <c r="G4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750</v>
      </c>
      <c r="H4" s="9" cm="1">
        <f t="array" aca="1" ref="H4" ca="1">MAX(IF(ResValuesR24&lt;=ROUND(data_NTC_2k_Xavier[[#This Row],[Rsonde]],2)-IF(data_NTC_2k_Xavier[[#This Row],[Rsonde]]=MIN(data_NTC_2k_Xavier[Rsonde]),100,$D5),ResValuesR24))</f>
        <v>680</v>
      </c>
      <c r="I4" s="9">
        <f ca="1">ROUND(data_NTC_2k_Xavier[[#This Row],[RaddLow]]+(IF(data_NTC_2k_Xavier[[#This Row],[Rsonde]]=MIN(data_NTC_2k_Xavier[Rsonde]),0,$D5)-data_NTC_2k_Xavier[[#This Row],[Rsonde]]),2)</f>
        <v>-65.84</v>
      </c>
      <c r="J4" s="9" cm="1">
        <f t="array" aca="1" ref="J4" ca="1">MIN(IF(ResValuesR24&gt;=ROUND(data_NTC_2k_Xavier[[#This Row],[Rsonde]],2)-IF(data_NTC_2k_Xavier[[#This Row],[Rsonde]]=MIN(data_NTC_2k_Xavier[Rsonde]),100,$D5),ResValuesR24))</f>
        <v>750</v>
      </c>
      <c r="K4" s="9">
        <f ca="1">ROUND(data_NTC_2k_Xavier[[#This Row],[RaddHigh]]+(IF(data_NTC_2k_Xavier[[#This Row],[Rsonde]]=MIN(data_NTC_2k_Xavier[Rsonde]),0,$D5)-data_NTC_2k_Xavier[[#This Row],[Rsonde]]),2)</f>
        <v>4.16</v>
      </c>
      <c r="L4" s="2" cm="1">
        <f t="array" aca="1" ref="L4" ca="1">IF(INDIRECT(RefCell_R77),(data_NTC_2k_Xavier[[#This Row],[Rpcb]]*INDIRECT(RefCell_R77))/(data_NTC_2k_Xavier[[#This Row],[Rpcb]]+INDIRECT(RefCell_R77)),data_NTC_2k_Xavier[[#This Row],[Rpcb]])</f>
        <v>4571.8570892924099</v>
      </c>
    </row>
    <row r="5" spans="1:17" x14ac:dyDescent="0.25">
      <c r="A5" t="s">
        <v>46</v>
      </c>
      <c r="B5" s="8">
        <v>-12</v>
      </c>
      <c r="C5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9935.0879999999997</v>
      </c>
      <c r="D5" s="9" cm="1">
        <f t="array" aca="1" ref="D5" ca="1">INDIRECT(RefCell_Rpot)+SUM(G5:G$34)</f>
        <v>9919</v>
      </c>
      <c r="E5" s="9">
        <f ca="1">data_NTC_2k_Xavier[[#This Row],[Rpcb]]-data_NTC_2k_Xavier[[#This Row],[Rsonde]]</f>
        <v>-16.087999999999738</v>
      </c>
      <c r="F5" s="4">
        <f ca="1">data_NTC_2k_Xavier[[#This Row],[Diff R]]/data_NTC_2k_Xavier[[#This Row],[Rsonde]]</f>
        <v>-1.6193112733374621E-3</v>
      </c>
      <c r="G5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680</v>
      </c>
      <c r="H5" s="9" cm="1">
        <f t="array" aca="1" ref="H5" ca="1">MAX(IF(ResValuesR24&lt;=ROUND(data_NTC_2k_Xavier[[#This Row],[Rsonde]],2)-IF(data_NTC_2k_Xavier[[#This Row],[Rsonde]]=MIN(data_NTC_2k_Xavier[Rsonde]),100,$D6),ResValuesR24))</f>
        <v>680</v>
      </c>
      <c r="I5" s="9">
        <f ca="1">ROUND(data_NTC_2k_Xavier[[#This Row],[RaddLow]]+(IF(data_NTC_2k_Xavier[[#This Row],[Rsonde]]=MIN(data_NTC_2k_Xavier[Rsonde]),0,$D6)-data_NTC_2k_Xavier[[#This Row],[Rsonde]]),2)</f>
        <v>-16.09</v>
      </c>
      <c r="J5" s="9" cm="1">
        <f t="array" aca="1" ref="J5" ca="1">MIN(IF(ResValuesR24&gt;=ROUND(data_NTC_2k_Xavier[[#This Row],[Rsonde]],2)-IF(data_NTC_2k_Xavier[[#This Row],[Rsonde]]=MIN(data_NTC_2k_Xavier[Rsonde]),100,$D6),ResValuesR24))</f>
        <v>750</v>
      </c>
      <c r="K5" s="9">
        <f ca="1">ROUND(data_NTC_2k_Xavier[[#This Row],[RaddHigh]]+(IF(data_NTC_2k_Xavier[[#This Row],[Rsonde]]=MIN(data_NTC_2k_Xavier[Rsonde]),0,$D6)-data_NTC_2k_Xavier[[#This Row],[Rsonde]]),2)</f>
        <v>53.91</v>
      </c>
      <c r="L5" s="2" cm="1">
        <f t="array" aca="1" ref="L5" ca="1">IF(INDIRECT(RefCell_R77),(data_NTC_2k_Xavier[[#This Row],[Rpcb]]*INDIRECT(RefCell_R77))/(data_NTC_2k_Xavier[[#This Row],[Rpcb]]+INDIRECT(RefCell_R77)),data_NTC_2k_Xavier[[#This Row],[Rpcb]])</f>
        <v>4428.3721189798534</v>
      </c>
      <c r="N5" s="1" t="s">
        <v>215</v>
      </c>
    </row>
    <row r="6" spans="1:17" x14ac:dyDescent="0.25">
      <c r="A6" t="s">
        <v>45</v>
      </c>
      <c r="B6" s="8">
        <v>-10.5</v>
      </c>
      <c r="C6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9252.4637812500005</v>
      </c>
      <c r="D6" s="9" cm="1">
        <f t="array" aca="1" ref="D6" ca="1">INDIRECT(RefCell_Rpot)+SUM(G6:G$34)</f>
        <v>9239</v>
      </c>
      <c r="E6" s="9">
        <f ca="1">data_NTC_2k_Xavier[[#This Row],[Rpcb]]-data_NTC_2k_Xavier[[#This Row],[Rsonde]]</f>
        <v>-13.463781250000466</v>
      </c>
      <c r="F6" s="4">
        <f ca="1">data_NTC_2k_Xavier[[#This Row],[Diff R]]/data_NTC_2k_Xavier[[#This Row],[Rsonde]]</f>
        <v>-1.4551563311476718E-3</v>
      </c>
      <c r="G6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620</v>
      </c>
      <c r="H6" s="9" cm="1">
        <f t="array" aca="1" ref="H6" ca="1">MAX(IF(ResValuesR24&lt;=ROUND(data_NTC_2k_Xavier[[#This Row],[Rsonde]],2)-IF(data_NTC_2k_Xavier[[#This Row],[Rsonde]]=MIN(data_NTC_2k_Xavier[Rsonde]),100,$D7),ResValuesR24))</f>
        <v>620</v>
      </c>
      <c r="I6" s="9">
        <f ca="1">ROUND(data_NTC_2k_Xavier[[#This Row],[RaddLow]]+(IF(data_NTC_2k_Xavier[[#This Row],[Rsonde]]=MIN(data_NTC_2k_Xavier[Rsonde]),0,$D7)-data_NTC_2k_Xavier[[#This Row],[Rsonde]]),2)</f>
        <v>-13.46</v>
      </c>
      <c r="J6" s="9" cm="1">
        <f t="array" aca="1" ref="J6" ca="1">MIN(IF(ResValuesR24&gt;=ROUND(data_NTC_2k_Xavier[[#This Row],[Rsonde]],2)-IF(data_NTC_2k_Xavier[[#This Row],[Rsonde]]=MIN(data_NTC_2k_Xavier[Rsonde]),100,$D7),ResValuesR24))</f>
        <v>680</v>
      </c>
      <c r="K6" s="9">
        <f ca="1">ROUND(data_NTC_2k_Xavier[[#This Row],[RaddHigh]]+(IF(data_NTC_2k_Xavier[[#This Row],[Rsonde]]=MIN(data_NTC_2k_Xavier[Rsonde]),0,$D7)-data_NTC_2k_Xavier[[#This Row],[Rsonde]]),2)</f>
        <v>46.54</v>
      </c>
      <c r="L6" s="2" cm="1">
        <f t="array" aca="1" ref="L6" ca="1">IF(INDIRECT(RefCell_R77),(data_NTC_2k_Xavier[[#This Row],[Rpcb]]*INDIRECT(RefCell_R77))/(data_NTC_2k_Xavier[[#This Row],[Rpcb]]+INDIRECT(RefCell_R77)),data_NTC_2k_Xavier[[#This Row],[Rpcb]])</f>
        <v>4287.4876732989151</v>
      </c>
      <c r="N6" s="35" t="s">
        <v>131</v>
      </c>
      <c r="O6">
        <f t="shared" ref="O6" si="0">O14 - O11*O7 - O11^3*O8</f>
        <v>5.4411574753136533E-4</v>
      </c>
    </row>
    <row r="7" spans="1:17" x14ac:dyDescent="0.25">
      <c r="A7" t="s">
        <v>44</v>
      </c>
      <c r="B7" s="8">
        <v>-9</v>
      </c>
      <c r="C7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8614.6905000000024</v>
      </c>
      <c r="D7" s="9" cm="1">
        <f t="array" aca="1" ref="D7" ca="1">INDIRECT(RefCell_Rpot)+SUM(G7:G$34)</f>
        <v>8619</v>
      </c>
      <c r="E7" s="9">
        <f ca="1">data_NTC_2k_Xavier[[#This Row],[Rpcb]]-data_NTC_2k_Xavier[[#This Row],[Rsonde]]</f>
        <v>4.3094999999975698</v>
      </c>
      <c r="F7" s="4">
        <f ca="1">data_NTC_2k_Xavier[[#This Row],[Diff R]]/data_NTC_2k_Xavier[[#This Row],[Rsonde]]</f>
        <v>5.0025012506224901E-4</v>
      </c>
      <c r="G7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620</v>
      </c>
      <c r="H7" s="9" cm="1">
        <f t="array" aca="1" ref="H7" ca="1">MAX(IF(ResValuesR24&lt;=ROUND(data_NTC_2k_Xavier[[#This Row],[Rsonde]],2)-IF(data_NTC_2k_Xavier[[#This Row],[Rsonde]]=MIN(data_NTC_2k_Xavier[Rsonde]),100,$D8),ResValuesR24))</f>
        <v>560</v>
      </c>
      <c r="I7" s="9">
        <f ca="1">ROUND(data_NTC_2k_Xavier[[#This Row],[RaddLow]]+(IF(data_NTC_2k_Xavier[[#This Row],[Rsonde]]=MIN(data_NTC_2k_Xavier[Rsonde]),0,$D8)-data_NTC_2k_Xavier[[#This Row],[Rsonde]]),2)</f>
        <v>-55.69</v>
      </c>
      <c r="J7" s="9" cm="1">
        <f t="array" aca="1" ref="J7" ca="1">MIN(IF(ResValuesR24&gt;=ROUND(data_NTC_2k_Xavier[[#This Row],[Rsonde]],2)-IF(data_NTC_2k_Xavier[[#This Row],[Rsonde]]=MIN(data_NTC_2k_Xavier[Rsonde]),100,$D8),ResValuesR24))</f>
        <v>620</v>
      </c>
      <c r="K7" s="9">
        <f ca="1">ROUND(data_NTC_2k_Xavier[[#This Row],[RaddHigh]]+(IF(data_NTC_2k_Xavier[[#This Row],[Rsonde]]=MIN(data_NTC_2k_Xavier[Rsonde]),0,$D8)-data_NTC_2k_Xavier[[#This Row],[Rsonde]]),2)</f>
        <v>4.3099999999999996</v>
      </c>
      <c r="L7" s="2" cm="1">
        <f t="array" aca="1" ref="L7" ca="1">IF(INDIRECT(RefCell_R77),(data_NTC_2k_Xavier[[#This Row],[Rpcb]]*INDIRECT(RefCell_R77))/(data_NTC_2k_Xavier[[#This Row],[Rpcb]]+INDIRECT(RefCell_R77)),data_NTC_2k_Xavier[[#This Row],[Rpcb]])</f>
        <v>4148.986100246706</v>
      </c>
      <c r="N7" s="35" t="s">
        <v>130</v>
      </c>
      <c r="O7">
        <f t="shared" ref="O7" si="1">(1/(O11-O12)) * (O14-O15-(O11^3-O12^3)*O8)</f>
        <v>3.9313247676504875E-4</v>
      </c>
    </row>
    <row r="8" spans="1:17" x14ac:dyDescent="0.25">
      <c r="A8" t="s">
        <v>43</v>
      </c>
      <c r="B8" s="8">
        <v>-7.5</v>
      </c>
      <c r="C8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8019.55078125</v>
      </c>
      <c r="D8" s="9" cm="1">
        <f t="array" aca="1" ref="D8" ca="1">INDIRECT(RefCell_Rpot)+SUM(G8:G$34)</f>
        <v>7999</v>
      </c>
      <c r="E8" s="9">
        <f ca="1">data_NTC_2k_Xavier[[#This Row],[Rpcb]]-data_NTC_2k_Xavier[[#This Row],[Rsonde]]</f>
        <v>-20.55078125</v>
      </c>
      <c r="F8" s="4">
        <f ca="1">data_NTC_2k_Xavier[[#This Row],[Diff R]]/data_NTC_2k_Xavier[[#This Row],[Rsonde]]</f>
        <v>-2.5625850886870707E-3</v>
      </c>
      <c r="G8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509.99999999999994</v>
      </c>
      <c r="H8" s="9" cm="1">
        <f t="array" aca="1" ref="H8" ca="1">MAX(IF(ResValuesR24&lt;=ROUND(data_NTC_2k_Xavier[[#This Row],[Rsonde]],2)-IF(data_NTC_2k_Xavier[[#This Row],[Rsonde]]=MIN(data_NTC_2k_Xavier[Rsonde]),100,$D9),ResValuesR24))</f>
        <v>509.99999999999994</v>
      </c>
      <c r="I8" s="9">
        <f ca="1">ROUND(data_NTC_2k_Xavier[[#This Row],[RaddLow]]+(IF(data_NTC_2k_Xavier[[#This Row],[Rsonde]]=MIN(data_NTC_2k_Xavier[Rsonde]),0,$D9)-data_NTC_2k_Xavier[[#This Row],[Rsonde]]),2)</f>
        <v>-20.55</v>
      </c>
      <c r="J8" s="9" cm="1">
        <f t="array" aca="1" ref="J8" ca="1">MIN(IF(ResValuesR24&gt;=ROUND(data_NTC_2k_Xavier[[#This Row],[Rsonde]],2)-IF(data_NTC_2k_Xavier[[#This Row],[Rsonde]]=MIN(data_NTC_2k_Xavier[Rsonde]),100,$D9),ResValuesR24))</f>
        <v>560</v>
      </c>
      <c r="K8" s="9">
        <f ca="1">ROUND(data_NTC_2k_Xavier[[#This Row],[RaddHigh]]+(IF(data_NTC_2k_Xavier[[#This Row],[Rsonde]]=MIN(data_NTC_2k_Xavier[Rsonde]),0,$D9)-data_NTC_2k_Xavier[[#This Row],[Rsonde]]),2)</f>
        <v>29.45</v>
      </c>
      <c r="L8" s="2" cm="1">
        <f t="array" aca="1" ref="L8" ca="1">IF(INDIRECT(RefCell_R77),(data_NTC_2k_Xavier[[#This Row],[Rpcb]]*INDIRECT(RefCell_R77))/(data_NTC_2k_Xavier[[#This Row],[Rpcb]]+INDIRECT(RefCell_R77)),data_NTC_2k_Xavier[[#This Row],[Rpcb]])</f>
        <v>3999.7499843740234</v>
      </c>
      <c r="N8" s="35" t="s">
        <v>129</v>
      </c>
      <c r="O8">
        <f t="shared" ref="O8" si="2">O10/O9</f>
        <v>-4.2187256269268156E-7</v>
      </c>
    </row>
    <row r="9" spans="1:17" x14ac:dyDescent="0.25">
      <c r="A9" t="s">
        <v>42</v>
      </c>
      <c r="B9" s="8">
        <v>-6</v>
      </c>
      <c r="C9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7464.8879999999999</v>
      </c>
      <c r="D9" s="9" cm="1">
        <f t="array" aca="1" ref="D9" ca="1">INDIRECT(RefCell_Rpot)+SUM(G9:G$34)</f>
        <v>7489</v>
      </c>
      <c r="E9" s="9">
        <f ca="1">data_NTC_2k_Xavier[[#This Row],[Rpcb]]-data_NTC_2k_Xavier[[#This Row],[Rsonde]]</f>
        <v>24.11200000000008</v>
      </c>
      <c r="F9" s="4">
        <f ca="1">data_NTC_2k_Xavier[[#This Row],[Diff R]]/data_NTC_2k_Xavier[[#This Row],[Rsonde]]</f>
        <v>3.2300551595683792E-3</v>
      </c>
      <c r="G9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560</v>
      </c>
      <c r="H9" s="9" cm="1">
        <f t="array" aca="1" ref="H9" ca="1">MAX(IF(ResValuesR24&lt;=ROUND(data_NTC_2k_Xavier[[#This Row],[Rsonde]],2)-IF(data_NTC_2k_Xavier[[#This Row],[Rsonde]]=MIN(data_NTC_2k_Xavier[Rsonde]),100,$D10),ResValuesR24))</f>
        <v>509.99999999999994</v>
      </c>
      <c r="I9" s="9">
        <f ca="1">ROUND(data_NTC_2k_Xavier[[#This Row],[RaddLow]]+(IF(data_NTC_2k_Xavier[[#This Row],[Rsonde]]=MIN(data_NTC_2k_Xavier[Rsonde]),0,$D10)-data_NTC_2k_Xavier[[#This Row],[Rsonde]]),2)</f>
        <v>-25.89</v>
      </c>
      <c r="J9" s="9" cm="1">
        <f t="array" aca="1" ref="J9" ca="1">MIN(IF(ResValuesR24&gt;=ROUND(data_NTC_2k_Xavier[[#This Row],[Rsonde]],2)-IF(data_NTC_2k_Xavier[[#This Row],[Rsonde]]=MIN(data_NTC_2k_Xavier[Rsonde]),100,$D10),ResValuesR24))</f>
        <v>560</v>
      </c>
      <c r="K9" s="9">
        <f ca="1">ROUND(data_NTC_2k_Xavier[[#This Row],[RaddHigh]]+(IF(data_NTC_2k_Xavier[[#This Row],[Rsonde]]=MIN(data_NTC_2k_Xavier[Rsonde]),0,$D10)-data_NTC_2k_Xavier[[#This Row],[Rsonde]]),2)</f>
        <v>24.11</v>
      </c>
      <c r="L9" s="2" cm="1">
        <f t="array" aca="1" ref="L9" ca="1">IF(INDIRECT(RefCell_R77),(data_NTC_2k_Xavier[[#This Row],[Rpcb]]*INDIRECT(RefCell_R77))/(data_NTC_2k_Xavier[[#This Row],[Rpcb]]+INDIRECT(RefCell_R77)),data_NTC_2k_Xavier[[#This Row],[Rpcb]])</f>
        <v>3868.035379947059</v>
      </c>
      <c r="N9" s="3" t="s">
        <v>181</v>
      </c>
      <c r="O9">
        <f t="shared" ref="O9" si="3">(O12-O13)/(O11-O12) * (O12^3-O11^3) + (O12^3-O13^3)</f>
        <v>-36.239127117736444</v>
      </c>
    </row>
    <row r="10" spans="1:17" x14ac:dyDescent="0.25">
      <c r="A10" t="s">
        <v>41</v>
      </c>
      <c r="B10" s="8">
        <v>-4.5</v>
      </c>
      <c r="C10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6948.6062812500004</v>
      </c>
      <c r="D10" s="9" cm="1">
        <f t="array" aca="1" ref="D10" ca="1">INDIRECT(RefCell_Rpot)+SUM(G10:G$34)</f>
        <v>6929</v>
      </c>
      <c r="E10" s="9">
        <f ca="1">data_NTC_2k_Xavier[[#This Row],[Rpcb]]-data_NTC_2k_Xavier[[#This Row],[Rsonde]]</f>
        <v>-19.606281250000393</v>
      </c>
      <c r="F10" s="4">
        <f ca="1">data_NTC_2k_Xavier[[#This Row],[Diff R]]/data_NTC_2k_Xavier[[#This Row],[Rsonde]]</f>
        <v>-2.8216134943356403E-3</v>
      </c>
      <c r="G10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470</v>
      </c>
      <c r="H10" s="9" cm="1">
        <f t="array" aca="1" ref="H10" ca="1">MAX(IF(ResValuesR24&lt;=ROUND(data_NTC_2k_Xavier[[#This Row],[Rsonde]],2)-IF(data_NTC_2k_Xavier[[#This Row],[Rsonde]]=MIN(data_NTC_2k_Xavier[Rsonde]),100,$D11),ResValuesR24))</f>
        <v>470</v>
      </c>
      <c r="I10" s="9">
        <f ca="1">ROUND(data_NTC_2k_Xavier[[#This Row],[RaddLow]]+(IF(data_NTC_2k_Xavier[[#This Row],[Rsonde]]=MIN(data_NTC_2k_Xavier[Rsonde]),0,$D11)-data_NTC_2k_Xavier[[#This Row],[Rsonde]]),2)</f>
        <v>-19.61</v>
      </c>
      <c r="J10" s="9" cm="1">
        <f t="array" aca="1" ref="J10" ca="1">MIN(IF(ResValuesR24&gt;=ROUND(data_NTC_2k_Xavier[[#This Row],[Rsonde]],2)-IF(data_NTC_2k_Xavier[[#This Row],[Rsonde]]=MIN(data_NTC_2k_Xavier[Rsonde]),100,$D11),ResValuesR24))</f>
        <v>509.99999999999994</v>
      </c>
      <c r="K10" s="9">
        <f ca="1">ROUND(data_NTC_2k_Xavier[[#This Row],[RaddHigh]]+(IF(data_NTC_2k_Xavier[[#This Row],[Rsonde]]=MIN(data_NTC_2k_Xavier[Rsonde]),0,$D11)-data_NTC_2k_Xavier[[#This Row],[Rsonde]]),2)</f>
        <v>20.39</v>
      </c>
      <c r="L10" s="2" cm="1">
        <f t="array" aca="1" ref="L10" ca="1">IF(INDIRECT(RefCell_R77),(data_NTC_2k_Xavier[[#This Row],[Rpcb]]*INDIRECT(RefCell_R77))/(data_NTC_2k_Xavier[[#This Row],[Rpcb]]+INDIRECT(RefCell_R77)),data_NTC_2k_Xavier[[#This Row],[Rpcb]])</f>
        <v>3713.041730859401</v>
      </c>
      <c r="N10" s="3" t="s">
        <v>182</v>
      </c>
      <c r="O10">
        <f t="shared" ref="O10" si="4">O15 - O16 - ( (O12-O13)/(O11-O12) ) * (O14-O15)</f>
        <v>1.5288293426905325E-5</v>
      </c>
    </row>
    <row r="11" spans="1:17" x14ac:dyDescent="0.25">
      <c r="A11" t="s">
        <v>40</v>
      </c>
      <c r="B11" s="8">
        <v>-3</v>
      </c>
      <c r="C11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6468.6705000000011</v>
      </c>
      <c r="D11" s="9" cm="1">
        <f t="array" aca="1" ref="D11" ca="1">INDIRECT(RefCell_Rpot)+SUM(G11:G$34)</f>
        <v>6459</v>
      </c>
      <c r="E11" s="9">
        <f ca="1">data_NTC_2k_Xavier[[#This Row],[Rpcb]]-data_NTC_2k_Xavier[[#This Row],[Rsonde]]</f>
        <v>-9.6705000000010841</v>
      </c>
      <c r="F11" s="4">
        <f ca="1">data_NTC_2k_Xavier[[#This Row],[Diff R]]/data_NTC_2k_Xavier[[#This Row],[Rsonde]]</f>
        <v>-1.4949748947640914E-3</v>
      </c>
      <c r="G11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430</v>
      </c>
      <c r="H11" s="9" cm="1">
        <f t="array" aca="1" ref="H11" ca="1">MAX(IF(ResValuesR24&lt;=ROUND(data_NTC_2k_Xavier[[#This Row],[Rsonde]],2)-IF(data_NTC_2k_Xavier[[#This Row],[Rsonde]]=MIN(data_NTC_2k_Xavier[Rsonde]),100,$D12),ResValuesR24))</f>
        <v>430</v>
      </c>
      <c r="I11" s="9">
        <f ca="1">ROUND(data_NTC_2k_Xavier[[#This Row],[RaddLow]]+(IF(data_NTC_2k_Xavier[[#This Row],[Rsonde]]=MIN(data_NTC_2k_Xavier[Rsonde]),0,$D12)-data_NTC_2k_Xavier[[#This Row],[Rsonde]]),2)</f>
        <v>-9.67</v>
      </c>
      <c r="J11" s="9" cm="1">
        <f t="array" aca="1" ref="J11" ca="1">MIN(IF(ResValuesR24&gt;=ROUND(data_NTC_2k_Xavier[[#This Row],[Rsonde]],2)-IF(data_NTC_2k_Xavier[[#This Row],[Rsonde]]=MIN(data_NTC_2k_Xavier[Rsonde]),100,$D12),ResValuesR24))</f>
        <v>470</v>
      </c>
      <c r="K11" s="9">
        <f ca="1">ROUND(data_NTC_2k_Xavier[[#This Row],[RaddHigh]]+(IF(data_NTC_2k_Xavier[[#This Row],[Rsonde]]=MIN(data_NTC_2k_Xavier[Rsonde]),0,$D12)-data_NTC_2k_Xavier[[#This Row],[Rsonde]]),2)</f>
        <v>30.33</v>
      </c>
      <c r="L11" s="2" cm="1">
        <f t="array" aca="1" ref="L11" ca="1">IF(INDIRECT(RefCell_R77),(data_NTC_2k_Xavier[[#This Row],[Rpcb]]*INDIRECT(RefCell_R77))/(data_NTC_2k_Xavier[[#This Row],[Rpcb]]+INDIRECT(RefCell_R77)),data_NTC_2k_Xavier[[#This Row],[Rpcb]])</f>
        <v>3573.6911266339303</v>
      </c>
      <c r="N11" s="3" t="s">
        <v>178</v>
      </c>
      <c r="O11">
        <f>LN(C3)</f>
        <v>9.3452263155322282</v>
      </c>
    </row>
    <row r="12" spans="1:17" x14ac:dyDescent="0.25">
      <c r="A12" t="s">
        <v>39</v>
      </c>
      <c r="B12" s="8">
        <v>-1.5</v>
      </c>
      <c r="C12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6023.1062812499995</v>
      </c>
      <c r="D12" s="9" cm="1">
        <f t="array" aca="1" ref="D12" ca="1">INDIRECT(RefCell_Rpot)+SUM(G12:G$34)</f>
        <v>6029</v>
      </c>
      <c r="E12" s="9">
        <f ca="1">data_NTC_2k_Xavier[[#This Row],[Rpcb]]-data_NTC_2k_Xavier[[#This Row],[Rsonde]]</f>
        <v>5.8937187500005166</v>
      </c>
      <c r="F12" s="4">
        <f ca="1">data_NTC_2k_Xavier[[#This Row],[Diff R]]/data_NTC_2k_Xavier[[#This Row],[Rsonde]]</f>
        <v>9.7851813911166278E-4</v>
      </c>
      <c r="G12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430</v>
      </c>
      <c r="H12" s="9" cm="1">
        <f t="array" aca="1" ref="H12" ca="1">MAX(IF(ResValuesR24&lt;=ROUND(data_NTC_2k_Xavier[[#This Row],[Rsonde]],2)-IF(data_NTC_2k_Xavier[[#This Row],[Rsonde]]=MIN(data_NTC_2k_Xavier[Rsonde]),100,$D13),ResValuesR24))</f>
        <v>390</v>
      </c>
      <c r="I12" s="9">
        <f ca="1">ROUND(data_NTC_2k_Xavier[[#This Row],[RaddLow]]+(IF(data_NTC_2k_Xavier[[#This Row],[Rsonde]]=MIN(data_NTC_2k_Xavier[Rsonde]),0,$D13)-data_NTC_2k_Xavier[[#This Row],[Rsonde]]),2)</f>
        <v>-34.11</v>
      </c>
      <c r="J12" s="9" cm="1">
        <f t="array" aca="1" ref="J12" ca="1">MIN(IF(ResValuesR24&gt;=ROUND(data_NTC_2k_Xavier[[#This Row],[Rsonde]],2)-IF(data_NTC_2k_Xavier[[#This Row],[Rsonde]]=MIN(data_NTC_2k_Xavier[Rsonde]),100,$D13),ResValuesR24))</f>
        <v>430</v>
      </c>
      <c r="K12" s="9">
        <f ca="1">ROUND(data_NTC_2k_Xavier[[#This Row],[RaddHigh]]+(IF(data_NTC_2k_Xavier[[#This Row],[Rsonde]]=MIN(data_NTC_2k_Xavier[Rsonde]),0,$D13)-data_NTC_2k_Xavier[[#This Row],[Rsonde]]),2)</f>
        <v>5.89</v>
      </c>
      <c r="L12" s="2" cm="1">
        <f t="array" aca="1" ref="L12" ca="1">IF(INDIRECT(RefCell_R77),(data_NTC_2k_Xavier[[#This Row],[Rpcb]]*INDIRECT(RefCell_R77))/(data_NTC_2k_Xavier[[#This Row],[Rpcb]]+INDIRECT(RefCell_R77)),data_NTC_2k_Xavier[[#This Row],[Rpcb]])</f>
        <v>3438.0212417135931</v>
      </c>
      <c r="N12" s="3" t="s">
        <v>179</v>
      </c>
      <c r="O12">
        <f>LN(C17)</f>
        <v>8.3537345263876635</v>
      </c>
    </row>
    <row r="13" spans="1:17" x14ac:dyDescent="0.25">
      <c r="A13" t="s">
        <v>38</v>
      </c>
      <c r="B13" s="8">
        <v>0</v>
      </c>
      <c r="C13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5610</v>
      </c>
      <c r="D13" s="9" cm="1">
        <f t="array" aca="1" ref="D13" ca="1">INDIRECT(RefCell_Rpot)+SUM(G13:G$34)</f>
        <v>5599</v>
      </c>
      <c r="E13" s="9">
        <f ca="1">data_NTC_2k_Xavier[[#This Row],[Rpcb]]-data_NTC_2k_Xavier[[#This Row],[Rsonde]]</f>
        <v>-11</v>
      </c>
      <c r="F13" s="4">
        <f ca="1">data_NTC_2k_Xavier[[#This Row],[Diff R]]/data_NTC_2k_Xavier[[#This Row],[Rsonde]]</f>
        <v>-1.9607843137254902E-3</v>
      </c>
      <c r="G13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360</v>
      </c>
      <c r="H13" s="9" cm="1">
        <f t="array" aca="1" ref="H13" ca="1">MAX(IF(ResValuesR24&lt;=ROUND(data_NTC_2k_Xavier[[#This Row],[Rsonde]],2)-IF(data_NTC_2k_Xavier[[#This Row],[Rsonde]]=MIN(data_NTC_2k_Xavier[Rsonde]),100,$D14),ResValuesR24))</f>
        <v>360</v>
      </c>
      <c r="I13" s="9">
        <f ca="1">ROUND(data_NTC_2k_Xavier[[#This Row],[RaddLow]]+(IF(data_NTC_2k_Xavier[[#This Row],[Rsonde]]=MIN(data_NTC_2k_Xavier[Rsonde]),0,$D14)-data_NTC_2k_Xavier[[#This Row],[Rsonde]]),2)</f>
        <v>-11</v>
      </c>
      <c r="J13" s="9" cm="1">
        <f t="array" aca="1" ref="J13" ca="1">MIN(IF(ResValuesR24&gt;=ROUND(data_NTC_2k_Xavier[[#This Row],[Rsonde]],2)-IF(data_NTC_2k_Xavier[[#This Row],[Rsonde]]=MIN(data_NTC_2k_Xavier[Rsonde]),100,$D14),ResValuesR24))</f>
        <v>390</v>
      </c>
      <c r="K13" s="9">
        <f ca="1">ROUND(data_NTC_2k_Xavier[[#This Row],[RaddHigh]]+(IF(data_NTC_2k_Xavier[[#This Row],[Rsonde]]=MIN(data_NTC_2k_Xavier[Rsonde]),0,$D14)-data_NTC_2k_Xavier[[#This Row],[Rsonde]]),2)</f>
        <v>19</v>
      </c>
      <c r="L13" s="2" cm="1">
        <f t="array" aca="1" ref="L13" ca="1">IF(INDIRECT(RefCell_R77),(data_NTC_2k_Xavier[[#This Row],[Rpcb]]*INDIRECT(RefCell_R77))/(data_NTC_2k_Xavier[[#This Row],[Rpcb]]+INDIRECT(RefCell_R77)),data_NTC_2k_Xavier[[#This Row],[Rpcb]])</f>
        <v>3293.7716008530037</v>
      </c>
      <c r="N13" s="3" t="s">
        <v>180</v>
      </c>
      <c r="O13">
        <f>LN(C31)</f>
        <v>7.5529984151525271</v>
      </c>
    </row>
    <row r="14" spans="1:17" x14ac:dyDescent="0.25">
      <c r="A14" t="s">
        <v>37</v>
      </c>
      <c r="B14" s="8">
        <v>1.5</v>
      </c>
      <c r="C14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5227.4987812500003</v>
      </c>
      <c r="D14" s="9" cm="1">
        <f t="array" aca="1" ref="D14" ca="1">INDIRECT(RefCell_Rpot)+SUM(G14:G$34)</f>
        <v>5239</v>
      </c>
      <c r="E14" s="9">
        <f ca="1">data_NTC_2k_Xavier[[#This Row],[Rpcb]]-data_NTC_2k_Xavier[[#This Row],[Rsonde]]</f>
        <v>11.50121874999968</v>
      </c>
      <c r="F14" s="4">
        <f ca="1">data_NTC_2k_Xavier[[#This Row],[Diff R]]/data_NTC_2k_Xavier[[#This Row],[Rsonde]]</f>
        <v>2.2001380069665948E-3</v>
      </c>
      <c r="G14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360</v>
      </c>
      <c r="H14" s="9" cm="1">
        <f t="array" aca="1" ref="H14" ca="1">MAX(IF(ResValuesR24&lt;=ROUND(data_NTC_2k_Xavier[[#This Row],[Rsonde]],2)-IF(data_NTC_2k_Xavier[[#This Row],[Rsonde]]=MIN(data_NTC_2k_Xavier[Rsonde]),100,$D15),ResValuesR24))</f>
        <v>330</v>
      </c>
      <c r="I14" s="9">
        <f ca="1">ROUND(data_NTC_2k_Xavier[[#This Row],[RaddLow]]+(IF(data_NTC_2k_Xavier[[#This Row],[Rsonde]]=MIN(data_NTC_2k_Xavier[Rsonde]),0,$D15)-data_NTC_2k_Xavier[[#This Row],[Rsonde]]),2)</f>
        <v>-18.5</v>
      </c>
      <c r="J14" s="9" cm="1">
        <f t="array" aca="1" ref="J14" ca="1">MIN(IF(ResValuesR24&gt;=ROUND(data_NTC_2k_Xavier[[#This Row],[Rsonde]],2)-IF(data_NTC_2k_Xavier[[#This Row],[Rsonde]]=MIN(data_NTC_2k_Xavier[Rsonde]),100,$D15),ResValuesR24))</f>
        <v>360</v>
      </c>
      <c r="K14" s="9">
        <f ca="1">ROUND(data_NTC_2k_Xavier[[#This Row],[RaddHigh]]+(IF(data_NTC_2k_Xavier[[#This Row],[Rsonde]]=MIN(data_NTC_2k_Xavier[Rsonde]),0,$D15)-data_NTC_2k_Xavier[[#This Row],[Rsonde]]),2)</f>
        <v>11.5</v>
      </c>
      <c r="L14" s="2" cm="1">
        <f t="array" aca="1" ref="L14" ca="1">IF(INDIRECT(RefCell_R77),(data_NTC_2k_Xavier[[#This Row],[Rpcb]]*INDIRECT(RefCell_R77))/(data_NTC_2k_Xavier[[#This Row],[Rpcb]]+INDIRECT(RefCell_R77)),data_NTC_2k_Xavier[[#This Row],[Rpcb]])</f>
        <v>3165.7980209985649</v>
      </c>
      <c r="N14" s="3" t="s">
        <v>175</v>
      </c>
      <c r="O14">
        <f>1/(B3+273.15)</f>
        <v>3.8737168312996321E-3</v>
      </c>
    </row>
    <row r="15" spans="1:17" x14ac:dyDescent="0.25">
      <c r="A15" t="s">
        <v>36</v>
      </c>
      <c r="B15" s="8">
        <v>3</v>
      </c>
      <c r="C15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4873.8105000000005</v>
      </c>
      <c r="D15" s="9" cm="1">
        <f t="array" aca="1" ref="D15" ca="1">INDIRECT(RefCell_Rpot)+SUM(G15:G$34)</f>
        <v>4879</v>
      </c>
      <c r="E15" s="9">
        <f ca="1">data_NTC_2k_Xavier[[#This Row],[Rpcb]]-data_NTC_2k_Xavier[[#This Row],[Rsonde]]</f>
        <v>5.189499999999498</v>
      </c>
      <c r="F15" s="4">
        <f ca="1">data_NTC_2k_Xavier[[#This Row],[Diff R]]/data_NTC_2k_Xavier[[#This Row],[Rsonde]]</f>
        <v>1.0647726250332256E-3</v>
      </c>
      <c r="G15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330</v>
      </c>
      <c r="H15" s="9" cm="1">
        <f t="array" aca="1" ref="H15" ca="1">MAX(IF(ResValuesR24&lt;=ROUND(data_NTC_2k_Xavier[[#This Row],[Rsonde]],2)-IF(data_NTC_2k_Xavier[[#This Row],[Rsonde]]=MIN(data_NTC_2k_Xavier[Rsonde]),100,$D16),ResValuesR24))</f>
        <v>300</v>
      </c>
      <c r="I15" s="9">
        <f ca="1">ROUND(data_NTC_2k_Xavier[[#This Row],[RaddLow]]+(IF(data_NTC_2k_Xavier[[#This Row],[Rsonde]]=MIN(data_NTC_2k_Xavier[Rsonde]),0,$D16)-data_NTC_2k_Xavier[[#This Row],[Rsonde]]),2)</f>
        <v>-24.81</v>
      </c>
      <c r="J15" s="9" cm="1">
        <f t="array" aca="1" ref="J15" ca="1">MIN(IF(ResValuesR24&gt;=ROUND(data_NTC_2k_Xavier[[#This Row],[Rsonde]],2)-IF(data_NTC_2k_Xavier[[#This Row],[Rsonde]]=MIN(data_NTC_2k_Xavier[Rsonde]),100,$D16),ResValuesR24))</f>
        <v>330</v>
      </c>
      <c r="K15" s="9">
        <f ca="1">ROUND(data_NTC_2k_Xavier[[#This Row],[RaddHigh]]+(IF(data_NTC_2k_Xavier[[#This Row],[Rsonde]]=MIN(data_NTC_2k_Xavier[Rsonde]),0,$D16)-data_NTC_2k_Xavier[[#This Row],[Rsonde]]),2)</f>
        <v>5.19</v>
      </c>
      <c r="L15" s="2" cm="1">
        <f t="array" aca="1" ref="L15" ca="1">IF(INDIRECT(RefCell_R77),(data_NTC_2k_Xavier[[#This Row],[Rpcb]]*INDIRECT(RefCell_R77))/(data_NTC_2k_Xavier[[#This Row],[Rpcb]]+INDIRECT(RefCell_R77)),data_NTC_2k_Xavier[[#This Row],[Rpcb]])</f>
        <v>3030.6700830809846</v>
      </c>
      <c r="N15" s="3" t="s">
        <v>176</v>
      </c>
      <c r="O15">
        <f>1/(B17+273.15)</f>
        <v>3.5823034210997673E-3</v>
      </c>
    </row>
    <row r="16" spans="1:17" x14ac:dyDescent="0.25">
      <c r="A16" t="s">
        <v>35</v>
      </c>
      <c r="B16" s="8">
        <v>4.5</v>
      </c>
      <c r="C16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4547.2037812500002</v>
      </c>
      <c r="D16" s="9" cm="1">
        <f t="array" aca="1" ref="D16" ca="1">INDIRECT(RefCell_Rpot)+SUM(G16:G$34)</f>
        <v>4549</v>
      </c>
      <c r="E16" s="9">
        <f ca="1">data_NTC_2k_Xavier[[#This Row],[Rpcb]]-data_NTC_2k_Xavier[[#This Row],[Rsonde]]</f>
        <v>1.7962187499997526</v>
      </c>
      <c r="F16" s="4">
        <f ca="1">data_NTC_2k_Xavier[[#This Row],[Diff R]]/data_NTC_2k_Xavier[[#This Row],[Rsonde]]</f>
        <v>3.9501611020959838E-4</v>
      </c>
      <c r="G16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300</v>
      </c>
      <c r="H16" s="9" cm="1">
        <f t="array" aca="1" ref="H16" ca="1">MAX(IF(ResValuesR24&lt;=ROUND(data_NTC_2k_Xavier[[#This Row],[Rsonde]],2)-IF(data_NTC_2k_Xavier[[#This Row],[Rsonde]]=MIN(data_NTC_2k_Xavier[Rsonde]),100,$D17),ResValuesR24))</f>
        <v>270</v>
      </c>
      <c r="I16" s="9">
        <f ca="1">ROUND(data_NTC_2k_Xavier[[#This Row],[RaddLow]]+(IF(data_NTC_2k_Xavier[[#This Row],[Rsonde]]=MIN(data_NTC_2k_Xavier[Rsonde]),0,$D17)-data_NTC_2k_Xavier[[#This Row],[Rsonde]]),2)</f>
        <v>-28.2</v>
      </c>
      <c r="J16" s="9" cm="1">
        <f t="array" aca="1" ref="J16" ca="1">MIN(IF(ResValuesR24&gt;=ROUND(data_NTC_2k_Xavier[[#This Row],[Rsonde]],2)-IF(data_NTC_2k_Xavier[[#This Row],[Rsonde]]=MIN(data_NTC_2k_Xavier[Rsonde]),100,$D17),ResValuesR24))</f>
        <v>300</v>
      </c>
      <c r="K16" s="9">
        <f ca="1">ROUND(data_NTC_2k_Xavier[[#This Row],[RaddHigh]]+(IF(data_NTC_2k_Xavier[[#This Row],[Rsonde]]=MIN(data_NTC_2k_Xavier[Rsonde]),0,$D17)-data_NTC_2k_Xavier[[#This Row],[Rsonde]]),2)</f>
        <v>1.8</v>
      </c>
      <c r="L16" s="2" cm="1">
        <f t="array" aca="1" ref="L16" ca="1">IF(INDIRECT(RefCell_R77),(data_NTC_2k_Xavier[[#This Row],[Rpcb]]*INDIRECT(RefCell_R77))/(data_NTC_2k_Xavier[[#This Row],[Rpcb]]+INDIRECT(RefCell_R77)),data_NTC_2k_Xavier[[#This Row],[Rpcb]])</f>
        <v>2899.9920312375489</v>
      </c>
      <c r="N16" s="3" t="s">
        <v>177</v>
      </c>
      <c r="O16">
        <f>1/(B31+273.15)</f>
        <v>3.331667499583542E-3</v>
      </c>
    </row>
    <row r="17" spans="1:15" x14ac:dyDescent="0.25">
      <c r="A17" t="s">
        <v>34</v>
      </c>
      <c r="B17" s="8">
        <v>6</v>
      </c>
      <c r="C17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4246.0079999999998</v>
      </c>
      <c r="D17" s="9" cm="1">
        <f t="array" aca="1" ref="D17" ca="1">INDIRECT(RefCell_Rpot)+SUM(G17:G$34)</f>
        <v>4249</v>
      </c>
      <c r="E17" s="9">
        <f ca="1">data_NTC_2k_Xavier[[#This Row],[Rpcb]]-data_NTC_2k_Xavier[[#This Row],[Rsonde]]</f>
        <v>2.9920000000001892</v>
      </c>
      <c r="F17" s="4">
        <f ca="1">data_NTC_2k_Xavier[[#This Row],[Diff R]]/data_NTC_2k_Xavier[[#This Row],[Rsonde]]</f>
        <v>7.0466188476333278E-4</v>
      </c>
      <c r="G17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270</v>
      </c>
      <c r="H17" s="9" cm="1">
        <f t="array" aca="1" ref="H17" ca="1">MAX(IF(ResValuesR24&lt;=ROUND(data_NTC_2k_Xavier[[#This Row],[Rsonde]],2)-IF(data_NTC_2k_Xavier[[#This Row],[Rsonde]]=MIN(data_NTC_2k_Xavier[Rsonde]),100,$D18),ResValuesR24))</f>
        <v>240</v>
      </c>
      <c r="I17" s="9">
        <f ca="1">ROUND(data_NTC_2k_Xavier[[#This Row],[RaddLow]]+(IF(data_NTC_2k_Xavier[[#This Row],[Rsonde]]=MIN(data_NTC_2k_Xavier[Rsonde]),0,$D18)-data_NTC_2k_Xavier[[#This Row],[Rsonde]]),2)</f>
        <v>-27.01</v>
      </c>
      <c r="J17" s="9" cm="1">
        <f t="array" aca="1" ref="J17" ca="1">MIN(IF(ResValuesR24&gt;=ROUND(data_NTC_2k_Xavier[[#This Row],[Rsonde]],2)-IF(data_NTC_2k_Xavier[[#This Row],[Rsonde]]=MIN(data_NTC_2k_Xavier[Rsonde]),100,$D18),ResValuesR24))</f>
        <v>270</v>
      </c>
      <c r="K17" s="9">
        <f ca="1">ROUND(data_NTC_2k_Xavier[[#This Row],[RaddHigh]]+(IF(data_NTC_2k_Xavier[[#This Row],[Rsonde]]=MIN(data_NTC_2k_Xavier[Rsonde]),0,$D18)-data_NTC_2k_Xavier[[#This Row],[Rsonde]]),2)</f>
        <v>2.99</v>
      </c>
      <c r="L17" s="2" cm="1">
        <f t="array" aca="1" ref="L17" ca="1">IF(INDIRECT(RefCell_R77),(data_NTC_2k_Xavier[[#This Row],[Rpcb]]*INDIRECT(RefCell_R77))/(data_NTC_2k_Xavier[[#This Row],[Rpcb]]+INDIRECT(RefCell_R77)),data_NTC_2k_Xavier[[#This Row],[Rpcb]])</f>
        <v>2775.0836803004327</v>
      </c>
    </row>
    <row r="18" spans="1:15" x14ac:dyDescent="0.25">
      <c r="A18" t="s">
        <v>33</v>
      </c>
      <c r="B18" s="8">
        <v>7.5</v>
      </c>
      <c r="C18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3968.6132812500005</v>
      </c>
      <c r="D18" s="9" cm="1">
        <f t="array" aca="1" ref="D18" ca="1">INDIRECT(RefCell_Rpot)+SUM(G18:G$34)</f>
        <v>3979</v>
      </c>
      <c r="E18" s="9">
        <f ca="1">data_NTC_2k_Xavier[[#This Row],[Rpcb]]-data_NTC_2k_Xavier[[#This Row],[Rsonde]]</f>
        <v>10.386718749999545</v>
      </c>
      <c r="F18" s="4">
        <f ca="1">data_NTC_2k_Xavier[[#This Row],[Diff R]]/data_NTC_2k_Xavier[[#This Row],[Rsonde]]</f>
        <v>2.617216144256823E-3</v>
      </c>
      <c r="G18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270</v>
      </c>
      <c r="H18" s="9" cm="1">
        <f t="array" aca="1" ref="H18" ca="1">MAX(IF(ResValuesR24&lt;=ROUND(data_NTC_2k_Xavier[[#This Row],[Rsonde]],2)-IF(data_NTC_2k_Xavier[[#This Row],[Rsonde]]=MIN(data_NTC_2k_Xavier[Rsonde]),100,$D19),ResValuesR24))</f>
        <v>240</v>
      </c>
      <c r="I18" s="9">
        <f ca="1">ROUND(data_NTC_2k_Xavier[[#This Row],[RaddLow]]+(IF(data_NTC_2k_Xavier[[#This Row],[Rsonde]]=MIN(data_NTC_2k_Xavier[Rsonde]),0,$D19)-data_NTC_2k_Xavier[[#This Row],[Rsonde]]),2)</f>
        <v>-19.61</v>
      </c>
      <c r="J18" s="9" cm="1">
        <f t="array" aca="1" ref="J18" ca="1">MIN(IF(ResValuesR24&gt;=ROUND(data_NTC_2k_Xavier[[#This Row],[Rsonde]],2)-IF(data_NTC_2k_Xavier[[#This Row],[Rsonde]]=MIN(data_NTC_2k_Xavier[Rsonde]),100,$D19),ResValuesR24))</f>
        <v>270</v>
      </c>
      <c r="K18" s="9">
        <f ca="1">ROUND(data_NTC_2k_Xavier[[#This Row],[RaddHigh]]+(IF(data_NTC_2k_Xavier[[#This Row],[Rsonde]]=MIN(data_NTC_2k_Xavier[Rsonde]),0,$D19)-data_NTC_2k_Xavier[[#This Row],[Rsonde]]),2)</f>
        <v>10.39</v>
      </c>
      <c r="L18" s="2" cm="1">
        <f t="array" aca="1" ref="L18" ca="1">IF(INDIRECT(RefCell_R77),(data_NTC_2k_Xavier[[#This Row],[Rpcb]]*INDIRECT(RefCell_R77))/(data_NTC_2k_Xavier[[#This Row],[Rpcb]]+INDIRECT(RefCell_R77)),data_NTC_2k_Xavier[[#This Row],[Rpcb]])</f>
        <v>2657.3169713665579</v>
      </c>
    </row>
    <row r="19" spans="1:15" x14ac:dyDescent="0.25">
      <c r="A19" t="s">
        <v>32</v>
      </c>
      <c r="B19" s="8">
        <v>9</v>
      </c>
      <c r="C19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3713.4704999999999</v>
      </c>
      <c r="D19" s="9" cm="1">
        <f t="array" aca="1" ref="D19" ca="1">INDIRECT(RefCell_Rpot)+SUM(G19:G$34)</f>
        <v>3709</v>
      </c>
      <c r="E19" s="9">
        <f ca="1">data_NTC_2k_Xavier[[#This Row],[Rpcb]]-data_NTC_2k_Xavier[[#This Row],[Rsonde]]</f>
        <v>-4.4704999999999018</v>
      </c>
      <c r="F19" s="4">
        <f ca="1">data_NTC_2k_Xavier[[#This Row],[Diff R]]/data_NTC_2k_Xavier[[#This Row],[Rsonde]]</f>
        <v>-1.2038603780479479E-3</v>
      </c>
      <c r="G19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220.00000000000003</v>
      </c>
      <c r="H19" s="9" cm="1">
        <f t="array" aca="1" ref="H19" ca="1">MAX(IF(ResValuesR24&lt;=ROUND(data_NTC_2k_Xavier[[#This Row],[Rsonde]],2)-IF(data_NTC_2k_Xavier[[#This Row],[Rsonde]]=MIN(data_NTC_2k_Xavier[Rsonde]),100,$D20),ResValuesR24))</f>
        <v>220.00000000000003</v>
      </c>
      <c r="I19" s="9">
        <f ca="1">ROUND(data_NTC_2k_Xavier[[#This Row],[RaddLow]]+(IF(data_NTC_2k_Xavier[[#This Row],[Rsonde]]=MIN(data_NTC_2k_Xavier[Rsonde]),0,$D20)-data_NTC_2k_Xavier[[#This Row],[Rsonde]]),2)</f>
        <v>-4.47</v>
      </c>
      <c r="J19" s="9" cm="1">
        <f t="array" aca="1" ref="J19" ca="1">MIN(IF(ResValuesR24&gt;=ROUND(data_NTC_2k_Xavier[[#This Row],[Rsonde]],2)-IF(data_NTC_2k_Xavier[[#This Row],[Rsonde]]=MIN(data_NTC_2k_Xavier[Rsonde]),100,$D20),ResValuesR24))</f>
        <v>240</v>
      </c>
      <c r="K19" s="9">
        <f ca="1">ROUND(data_NTC_2k_Xavier[[#This Row],[RaddHigh]]+(IF(data_NTC_2k_Xavier[[#This Row],[Rsonde]]=MIN(data_NTC_2k_Xavier[Rsonde]),0,$D20)-data_NTC_2k_Xavier[[#This Row],[Rsonde]]),2)</f>
        <v>15.53</v>
      </c>
      <c r="L19" s="2" cm="1">
        <f t="array" aca="1" ref="L19" ca="1">IF(INDIRECT(RefCell_R77),(data_NTC_2k_Xavier[[#This Row],[Rpcb]]*INDIRECT(RefCell_R77))/(data_NTC_2k_Xavier[[#This Row],[Rpcb]]+INDIRECT(RefCell_R77)),data_NTC_2k_Xavier[[#This Row],[Rpcb]])</f>
        <v>2534.1190537193611</v>
      </c>
      <c r="N19" s="3" t="s">
        <v>49</v>
      </c>
      <c r="O19" s="5">
        <v>0</v>
      </c>
    </row>
    <row r="20" spans="1:15" x14ac:dyDescent="0.25">
      <c r="A20" t="s">
        <v>31</v>
      </c>
      <c r="B20" s="8">
        <v>10.5</v>
      </c>
      <c r="C20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3479.0912812499996</v>
      </c>
      <c r="D20" s="9" cm="1">
        <f t="array" aca="1" ref="D20" ca="1">INDIRECT(RefCell_Rpot)+SUM(G20:G$34)</f>
        <v>3489</v>
      </c>
      <c r="E20" s="9">
        <f ca="1">data_NTC_2k_Xavier[[#This Row],[Rpcb]]-data_NTC_2k_Xavier[[#This Row],[Rsonde]]</f>
        <v>9.9087187500003893</v>
      </c>
      <c r="F20" s="4">
        <f ca="1">data_NTC_2k_Xavier[[#This Row],[Diff R]]/data_NTC_2k_Xavier[[#This Row],[Rsonde]]</f>
        <v>2.8480766812304776E-3</v>
      </c>
      <c r="G20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220.00000000000003</v>
      </c>
      <c r="H20" s="9" cm="1">
        <f t="array" aca="1" ref="H20" ca="1">MAX(IF(ResValuesR24&lt;=ROUND(data_NTC_2k_Xavier[[#This Row],[Rsonde]],2)-IF(data_NTC_2k_Xavier[[#This Row],[Rsonde]]=MIN(data_NTC_2k_Xavier[Rsonde]),100,$D21),ResValuesR24))</f>
        <v>200</v>
      </c>
      <c r="I20" s="9">
        <f ca="1">ROUND(data_NTC_2k_Xavier[[#This Row],[RaddLow]]+(IF(data_NTC_2k_Xavier[[#This Row],[Rsonde]]=MIN(data_NTC_2k_Xavier[Rsonde]),0,$D21)-data_NTC_2k_Xavier[[#This Row],[Rsonde]]),2)</f>
        <v>-10.09</v>
      </c>
      <c r="J20" s="9" cm="1">
        <f t="array" aca="1" ref="J20" ca="1">MIN(IF(ResValuesR24&gt;=ROUND(data_NTC_2k_Xavier[[#This Row],[Rsonde]],2)-IF(data_NTC_2k_Xavier[[#This Row],[Rsonde]]=MIN(data_NTC_2k_Xavier[Rsonde]),100,$D21),ResValuesR24))</f>
        <v>220.00000000000003</v>
      </c>
      <c r="K20" s="9">
        <f ca="1">ROUND(data_NTC_2k_Xavier[[#This Row],[RaddHigh]]+(IF(data_NTC_2k_Xavier[[#This Row],[Rsonde]]=MIN(data_NTC_2k_Xavier[Rsonde]),0,$D21)-data_NTC_2k_Xavier[[#This Row],[Rsonde]]),2)</f>
        <v>9.91</v>
      </c>
      <c r="L20" s="2" cm="1">
        <f t="array" aca="1" ref="L20" ca="1">IF(INDIRECT(RefCell_R77),(data_NTC_2k_Xavier[[#This Row],[Rpcb]]*INDIRECT(RefCell_R77))/(data_NTC_2k_Xavier[[#This Row],[Rpcb]]+INDIRECT(RefCell_R77)),data_NTC_2k_Xavier[[#This Row],[Rpcb]])</f>
        <v>2429.4542605970928</v>
      </c>
      <c r="N20" s="3" t="s">
        <v>50</v>
      </c>
      <c r="O20" s="5">
        <v>0</v>
      </c>
    </row>
    <row r="21" spans="1:15" x14ac:dyDescent="0.25">
      <c r="A21" t="s">
        <v>30</v>
      </c>
      <c r="B21" s="8">
        <v>12</v>
      </c>
      <c r="C21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3264.0480000000002</v>
      </c>
      <c r="D21" s="9" cm="1">
        <f t="array" aca="1" ref="D21" ca="1">INDIRECT(RefCell_Rpot)+SUM(G21:G$34)</f>
        <v>3269</v>
      </c>
      <c r="E21" s="9">
        <f ca="1">data_NTC_2k_Xavier[[#This Row],[Rpcb]]-data_NTC_2k_Xavier[[#This Row],[Rsonde]]</f>
        <v>4.9519999999997708</v>
      </c>
      <c r="F21" s="4">
        <f ca="1">data_NTC_2k_Xavier[[#This Row],[Diff R]]/data_NTC_2k_Xavier[[#This Row],[Rsonde]]</f>
        <v>1.5171345519427932E-3</v>
      </c>
      <c r="G21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200</v>
      </c>
      <c r="H21" s="9" cm="1">
        <f t="array" aca="1" ref="H21" ca="1">MAX(IF(ResValuesR24&lt;=ROUND(data_NTC_2k_Xavier[[#This Row],[Rsonde]],2)-IF(data_NTC_2k_Xavier[[#This Row],[Rsonde]]=MIN(data_NTC_2k_Xavier[Rsonde]),100,$D22),ResValuesR24))</f>
        <v>180</v>
      </c>
      <c r="I21" s="9">
        <f ca="1">ROUND(data_NTC_2k_Xavier[[#This Row],[RaddLow]]+(IF(data_NTC_2k_Xavier[[#This Row],[Rsonde]]=MIN(data_NTC_2k_Xavier[Rsonde]),0,$D22)-data_NTC_2k_Xavier[[#This Row],[Rsonde]]),2)</f>
        <v>-15.05</v>
      </c>
      <c r="J21" s="9" cm="1">
        <f t="array" aca="1" ref="J21" ca="1">MIN(IF(ResValuesR24&gt;=ROUND(data_NTC_2k_Xavier[[#This Row],[Rsonde]],2)-IF(data_NTC_2k_Xavier[[#This Row],[Rsonde]]=MIN(data_NTC_2k_Xavier[Rsonde]),100,$D22),ResValuesR24))</f>
        <v>200</v>
      </c>
      <c r="K21" s="9">
        <f ca="1">ROUND(data_NTC_2k_Xavier[[#This Row],[RaddHigh]]+(IF(data_NTC_2k_Xavier[[#This Row],[Rsonde]]=MIN(data_NTC_2k_Xavier[Rsonde]),0,$D22)-data_NTC_2k_Xavier[[#This Row],[Rsonde]]),2)</f>
        <v>4.95</v>
      </c>
      <c r="L21" s="2" cm="1">
        <f t="array" aca="1" ref="L21" ca="1">IF(INDIRECT(RefCell_R77),(data_NTC_2k_Xavier[[#This Row],[Rpcb]]*INDIRECT(RefCell_R77))/(data_NTC_2k_Xavier[[#This Row],[Rpcb]]+INDIRECT(RefCell_R77)),data_NTC_2k_Xavier[[#This Row],[Rpcb]])</f>
        <v>2320.7028130268877</v>
      </c>
      <c r="N21" s="3" t="s">
        <v>51</v>
      </c>
      <c r="O21" s="5">
        <v>4.9999999999999998E-7</v>
      </c>
    </row>
    <row r="22" spans="1:15" x14ac:dyDescent="0.25">
      <c r="A22" t="s">
        <v>29</v>
      </c>
      <c r="B22" s="8">
        <v>13.5</v>
      </c>
      <c r="C22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3066.9737812499998</v>
      </c>
      <c r="D22" s="9" cm="1">
        <f t="array" aca="1" ref="D22" ca="1">INDIRECT(RefCell_Rpot)+SUM(G22:G$34)</f>
        <v>3069</v>
      </c>
      <c r="E22" s="9">
        <f ca="1">data_NTC_2k_Xavier[[#This Row],[Rpcb]]-data_NTC_2k_Xavier[[#This Row],[Rsonde]]</f>
        <v>2.0262187500002256</v>
      </c>
      <c r="F22" s="4">
        <f ca="1">data_NTC_2k_Xavier[[#This Row],[Diff R]]/data_NTC_2k_Xavier[[#This Row],[Rsonde]]</f>
        <v>6.6065734320506781E-4</v>
      </c>
      <c r="G22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180</v>
      </c>
      <c r="H22" s="9" cm="1">
        <f t="array" aca="1" ref="H22" ca="1">MAX(IF(ResValuesR24&lt;=ROUND(data_NTC_2k_Xavier[[#This Row],[Rsonde]],2)-IF(data_NTC_2k_Xavier[[#This Row],[Rsonde]]=MIN(data_NTC_2k_Xavier[Rsonde]),100,$D23),ResValuesR24))</f>
        <v>160</v>
      </c>
      <c r="I22" s="9">
        <f ca="1">ROUND(data_NTC_2k_Xavier[[#This Row],[RaddLow]]+(IF(data_NTC_2k_Xavier[[#This Row],[Rsonde]]=MIN(data_NTC_2k_Xavier[Rsonde]),0,$D23)-data_NTC_2k_Xavier[[#This Row],[Rsonde]]),2)</f>
        <v>-17.97</v>
      </c>
      <c r="J22" s="9" cm="1">
        <f t="array" aca="1" ref="J22" ca="1">MIN(IF(ResValuesR24&gt;=ROUND(data_NTC_2k_Xavier[[#This Row],[Rsonde]],2)-IF(data_NTC_2k_Xavier[[#This Row],[Rsonde]]=MIN(data_NTC_2k_Xavier[Rsonde]),100,$D23),ResValuesR24))</f>
        <v>180</v>
      </c>
      <c r="K22" s="9">
        <f ca="1">ROUND(data_NTC_2k_Xavier[[#This Row],[RaddHigh]]+(IF(data_NTC_2k_Xavier[[#This Row],[Rsonde]]=MIN(data_NTC_2k_Xavier[Rsonde]),0,$D23)-data_NTC_2k_Xavier[[#This Row],[Rsonde]]),2)</f>
        <v>2.0299999999999998</v>
      </c>
      <c r="L22" s="2" cm="1">
        <f t="array" aca="1" ref="L22" ca="1">IF(INDIRECT(RefCell_R77),(data_NTC_2k_Xavier[[#This Row],[Rpcb]]*INDIRECT(RefCell_R77))/(data_NTC_2k_Xavier[[#This Row],[Rpcb]]+INDIRECT(RefCell_R77)),data_NTC_2k_Xavier[[#This Row],[Rpcb]])</f>
        <v>2218.0865480169846</v>
      </c>
      <c r="N22" s="3" t="s">
        <v>52</v>
      </c>
      <c r="O22" s="5">
        <v>-9.0000000000000006E-5</v>
      </c>
    </row>
    <row r="23" spans="1:15" x14ac:dyDescent="0.25">
      <c r="A23" t="s">
        <v>28</v>
      </c>
      <c r="B23" s="8">
        <v>15</v>
      </c>
      <c r="C23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2886.5625</v>
      </c>
      <c r="D23" s="9" cm="1">
        <f t="array" aca="1" ref="D23" ca="1">INDIRECT(RefCell_Rpot)+SUM(G23:G$34)</f>
        <v>2889</v>
      </c>
      <c r="E23" s="9">
        <f ca="1">data_NTC_2k_Xavier[[#This Row],[Rpcb]]-data_NTC_2k_Xavier[[#This Row],[Rsonde]]</f>
        <v>2.4375</v>
      </c>
      <c r="F23" s="4">
        <f ca="1">data_NTC_2k_Xavier[[#This Row],[Diff R]]/data_NTC_2k_Xavier[[#This Row],[Rsonde]]</f>
        <v>8.4443000974342315E-4</v>
      </c>
      <c r="G23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160</v>
      </c>
      <c r="H23" s="9" cm="1">
        <f t="array" aca="1" ref="H23" ca="1">MAX(IF(ResValuesR24&lt;=ROUND(data_NTC_2k_Xavier[[#This Row],[Rsonde]],2)-IF(data_NTC_2k_Xavier[[#This Row],[Rsonde]]=MIN(data_NTC_2k_Xavier[Rsonde]),100,$D24),ResValuesR24))</f>
        <v>150</v>
      </c>
      <c r="I23" s="9">
        <f ca="1">ROUND(data_NTC_2k_Xavier[[#This Row],[RaddLow]]+(IF(data_NTC_2k_Xavier[[#This Row],[Rsonde]]=MIN(data_NTC_2k_Xavier[Rsonde]),0,$D24)-data_NTC_2k_Xavier[[#This Row],[Rsonde]]),2)</f>
        <v>-7.56</v>
      </c>
      <c r="J23" s="9" cm="1">
        <f t="array" aca="1" ref="J23" ca="1">MIN(IF(ResValuesR24&gt;=ROUND(data_NTC_2k_Xavier[[#This Row],[Rsonde]],2)-IF(data_NTC_2k_Xavier[[#This Row],[Rsonde]]=MIN(data_NTC_2k_Xavier[Rsonde]),100,$D24),ResValuesR24))</f>
        <v>160</v>
      </c>
      <c r="K23" s="9">
        <f ca="1">ROUND(data_NTC_2k_Xavier[[#This Row],[RaddHigh]]+(IF(data_NTC_2k_Xavier[[#This Row],[Rsonde]]=MIN(data_NTC_2k_Xavier[Rsonde]),0,$D24)-data_NTC_2k_Xavier[[#This Row],[Rsonde]]),2)</f>
        <v>2.44</v>
      </c>
      <c r="L23" s="2" cm="1">
        <f t="array" aca="1" ref="L23" ca="1">IF(INDIRECT(RefCell_R77),(data_NTC_2k_Xavier[[#This Row],[Rpcb]]*INDIRECT(RefCell_R77))/(data_NTC_2k_Xavier[[#This Row],[Rpcb]]+INDIRECT(RefCell_R77)),data_NTC_2k_Xavier[[#This Row],[Rpcb]])</f>
        <v>2122.5089539902656</v>
      </c>
      <c r="N23" s="3" t="s">
        <v>53</v>
      </c>
      <c r="O23" s="5">
        <v>6.7999999999999996E-3</v>
      </c>
    </row>
    <row r="24" spans="1:15" x14ac:dyDescent="0.25">
      <c r="A24" t="s">
        <v>27</v>
      </c>
      <c r="B24" s="8">
        <v>16.5</v>
      </c>
      <c r="C24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2721.5687812499996</v>
      </c>
      <c r="D24" s="9" cm="1">
        <f t="array" aca="1" ref="D24" ca="1">INDIRECT(RefCell_Rpot)+SUM(G24:G$34)</f>
        <v>2729</v>
      </c>
      <c r="E24" s="9">
        <f ca="1">data_NTC_2k_Xavier[[#This Row],[Rpcb]]-data_NTC_2k_Xavier[[#This Row],[Rsonde]]</f>
        <v>7.4312187500004256</v>
      </c>
      <c r="F24" s="4">
        <f ca="1">data_NTC_2k_Xavier[[#This Row],[Diff R]]/data_NTC_2k_Xavier[[#This Row],[Rsonde]]</f>
        <v>2.7304908849620597E-3</v>
      </c>
      <c r="G24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150</v>
      </c>
      <c r="H24" s="9" cm="1">
        <f t="array" aca="1" ref="H24" ca="1">MAX(IF(ResValuesR24&lt;=ROUND(data_NTC_2k_Xavier[[#This Row],[Rsonde]],2)-IF(data_NTC_2k_Xavier[[#This Row],[Rsonde]]=MIN(data_NTC_2k_Xavier[Rsonde]),100,$D25),ResValuesR24))</f>
        <v>130</v>
      </c>
      <c r="I24" s="9">
        <f ca="1">ROUND(data_NTC_2k_Xavier[[#This Row],[RaddLow]]+(IF(data_NTC_2k_Xavier[[#This Row],[Rsonde]]=MIN(data_NTC_2k_Xavier[Rsonde]),0,$D25)-data_NTC_2k_Xavier[[#This Row],[Rsonde]]),2)</f>
        <v>-12.57</v>
      </c>
      <c r="J24" s="9" cm="1">
        <f t="array" aca="1" ref="J24" ca="1">MIN(IF(ResValuesR24&gt;=ROUND(data_NTC_2k_Xavier[[#This Row],[Rsonde]],2)-IF(data_NTC_2k_Xavier[[#This Row],[Rsonde]]=MIN(data_NTC_2k_Xavier[Rsonde]),100,$D25),ResValuesR24))</f>
        <v>150</v>
      </c>
      <c r="K24" s="9">
        <f ca="1">ROUND(data_NTC_2k_Xavier[[#This Row],[RaddHigh]]+(IF(data_NTC_2k_Xavier[[#This Row],[Rsonde]]=MIN(data_NTC_2k_Xavier[Rsonde]),0,$D25)-data_NTC_2k_Xavier[[#This Row],[Rsonde]]),2)</f>
        <v>7.43</v>
      </c>
      <c r="L24" s="2" cm="1">
        <f t="array" aca="1" ref="L24" ca="1">IF(INDIRECT(RefCell_R77),(data_NTC_2k_Xavier[[#This Row],[Rpcb]]*INDIRECT(RefCell_R77))/(data_NTC_2k_Xavier[[#This Row],[Rpcb]]+INDIRECT(RefCell_R77)),data_NTC_2k_Xavier[[#This Row],[Rpcb]])</f>
        <v>2034.8587939230124</v>
      </c>
      <c r="N24" s="3" t="s">
        <v>54</v>
      </c>
      <c r="O24" s="5">
        <v>-0.26500000000000001</v>
      </c>
    </row>
    <row r="25" spans="1:15" x14ac:dyDescent="0.25">
      <c r="A25" t="s">
        <v>26</v>
      </c>
      <c r="B25" s="8">
        <v>18</v>
      </c>
      <c r="C25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2570.8079999999995</v>
      </c>
      <c r="D25" s="9" cm="1">
        <f t="array" aca="1" ref="D25" ca="1">INDIRECT(RefCell_Rpot)+SUM(G25:G$34)</f>
        <v>2579</v>
      </c>
      <c r="E25" s="9">
        <f ca="1">data_NTC_2k_Xavier[[#This Row],[Rpcb]]-data_NTC_2k_Xavier[[#This Row],[Rsonde]]</f>
        <v>8.192000000000462</v>
      </c>
      <c r="F25" s="4">
        <f ca="1">data_NTC_2k_Xavier[[#This Row],[Diff R]]/data_NTC_2k_Xavier[[#This Row],[Rsonde]]</f>
        <v>3.1865467977384787E-3</v>
      </c>
      <c r="G25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150</v>
      </c>
      <c r="H25" s="9" cm="1">
        <f t="array" aca="1" ref="H25" ca="1">MAX(IF(ResValuesR24&lt;=ROUND(data_NTC_2k_Xavier[[#This Row],[Rsonde]],2)-IF(data_NTC_2k_Xavier[[#This Row],[Rsonde]]=MIN(data_NTC_2k_Xavier[Rsonde]),100,$D26),ResValuesR24))</f>
        <v>130</v>
      </c>
      <c r="I25" s="9">
        <f ca="1">ROUND(data_NTC_2k_Xavier[[#This Row],[RaddLow]]+(IF(data_NTC_2k_Xavier[[#This Row],[Rsonde]]=MIN(data_NTC_2k_Xavier[Rsonde]),0,$D26)-data_NTC_2k_Xavier[[#This Row],[Rsonde]]),2)</f>
        <v>-11.81</v>
      </c>
      <c r="J25" s="9" cm="1">
        <f t="array" aca="1" ref="J25" ca="1">MIN(IF(ResValuesR24&gt;=ROUND(data_NTC_2k_Xavier[[#This Row],[Rsonde]],2)-IF(data_NTC_2k_Xavier[[#This Row],[Rsonde]]=MIN(data_NTC_2k_Xavier[Rsonde]),100,$D26),ResValuesR24))</f>
        <v>150</v>
      </c>
      <c r="K25" s="9">
        <f ca="1">ROUND(data_NTC_2k_Xavier[[#This Row],[RaddHigh]]+(IF(data_NTC_2k_Xavier[[#This Row],[Rsonde]]=MIN(data_NTC_2k_Xavier[Rsonde]),0,$D26)-data_NTC_2k_Xavier[[#This Row],[Rsonde]]),2)</f>
        <v>8.19</v>
      </c>
      <c r="L25" s="2" cm="1">
        <f t="array" aca="1" ref="L25" ca="1">IF(INDIRECT(RefCell_R77),(data_NTC_2k_Xavier[[#This Row],[Rpcb]]*INDIRECT(RefCell_R77))/(data_NTC_2k_Xavier[[#This Row],[Rpcb]]+INDIRECT(RefCell_R77)),data_NTC_2k_Xavier[[#This Row],[Rpcb]])</f>
        <v>1950.278854334058</v>
      </c>
      <c r="N25" s="3" t="s">
        <v>55</v>
      </c>
      <c r="O25" s="5">
        <v>5.61</v>
      </c>
    </row>
    <row r="26" spans="1:15" x14ac:dyDescent="0.25">
      <c r="A26" t="s">
        <v>25</v>
      </c>
      <c r="B26" s="8">
        <v>19.5</v>
      </c>
      <c r="C26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2433.1562812499992</v>
      </c>
      <c r="D26" s="9" cm="1">
        <f t="array" aca="1" ref="D26" ca="1">INDIRECT(RefCell_Rpot)+SUM(G26:G$34)</f>
        <v>2429</v>
      </c>
      <c r="E26" s="9">
        <f ca="1">data_NTC_2k_Xavier[[#This Row],[Rpcb]]-data_NTC_2k_Xavier[[#This Row],[Rsonde]]</f>
        <v>-4.1562812499992106</v>
      </c>
      <c r="F26" s="4">
        <f ca="1">data_NTC_2k_Xavier[[#This Row],[Diff R]]/data_NTC_2k_Xavier[[#This Row],[Rsonde]]</f>
        <v>-1.7081850771476054E-3</v>
      </c>
      <c r="G26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120</v>
      </c>
      <c r="H26" s="9" cm="1">
        <f t="array" aca="1" ref="H26" ca="1">MAX(IF(ResValuesR24&lt;=ROUND(data_NTC_2k_Xavier[[#This Row],[Rsonde]],2)-IF(data_NTC_2k_Xavier[[#This Row],[Rsonde]]=MIN(data_NTC_2k_Xavier[Rsonde]),100,$D27),ResValuesR24))</f>
        <v>120</v>
      </c>
      <c r="I26" s="9">
        <f ca="1">ROUND(data_NTC_2k_Xavier[[#This Row],[RaddLow]]+(IF(data_NTC_2k_Xavier[[#This Row],[Rsonde]]=MIN(data_NTC_2k_Xavier[Rsonde]),0,$D27)-data_NTC_2k_Xavier[[#This Row],[Rsonde]]),2)</f>
        <v>-4.16</v>
      </c>
      <c r="J26" s="9" cm="1">
        <f t="array" aca="1" ref="J26" ca="1">MIN(IF(ResValuesR24&gt;=ROUND(data_NTC_2k_Xavier[[#This Row],[Rsonde]],2)-IF(data_NTC_2k_Xavier[[#This Row],[Rsonde]]=MIN(data_NTC_2k_Xavier[Rsonde]),100,$D27),ResValuesR24))</f>
        <v>130</v>
      </c>
      <c r="K26" s="9">
        <f ca="1">ROUND(data_NTC_2k_Xavier[[#This Row],[RaddHigh]]+(IF(data_NTC_2k_Xavier[[#This Row],[Rsonde]]=MIN(data_NTC_2k_Xavier[Rsonde]),0,$D27)-data_NTC_2k_Xavier[[#This Row],[Rsonde]]),2)</f>
        <v>5.84</v>
      </c>
      <c r="L26" s="2" cm="1">
        <f t="array" aca="1" ref="L26" ca="1">IF(INDIRECT(RefCell_R77),(data_NTC_2k_Xavier[[#This Row],[Rpcb]]*INDIRECT(RefCell_R77))/(data_NTC_2k_Xavier[[#This Row],[Rpcb]]+INDIRECT(RefCell_R77)),data_NTC_2k_Xavier[[#This Row],[Rpcb]])</f>
        <v>1863.2658931824719</v>
      </c>
    </row>
    <row r="27" spans="1:15" x14ac:dyDescent="0.25">
      <c r="A27" t="s">
        <v>24</v>
      </c>
      <c r="B27" s="8">
        <v>21</v>
      </c>
      <c r="C27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2307.5504999999998</v>
      </c>
      <c r="D27" s="9" cm="1">
        <f t="array" aca="1" ref="D27" ca="1">INDIRECT(RefCell_Rpot)+SUM(G27:G$34)</f>
        <v>2309</v>
      </c>
      <c r="E27" s="9">
        <f ca="1">data_NTC_2k_Xavier[[#This Row],[Rpcb]]-data_NTC_2k_Xavier[[#This Row],[Rsonde]]</f>
        <v>1.449500000000171</v>
      </c>
      <c r="F27" s="4">
        <f ca="1">data_NTC_2k_Xavier[[#This Row],[Diff R]]/data_NTC_2k_Xavier[[#This Row],[Rsonde]]</f>
        <v>6.2815526680788615E-4</v>
      </c>
      <c r="G27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120</v>
      </c>
      <c r="H27" s="9" cm="1">
        <f t="array" aca="1" ref="H27" ca="1">MAX(IF(ResValuesR24&lt;=ROUND(data_NTC_2k_Xavier[[#This Row],[Rsonde]],2)-IF(data_NTC_2k_Xavier[[#This Row],[Rsonde]]=MIN(data_NTC_2k_Xavier[Rsonde]),100,$D28),ResValuesR24))</f>
        <v>110.00000000000001</v>
      </c>
      <c r="I27" s="9">
        <f ca="1">ROUND(data_NTC_2k_Xavier[[#This Row],[RaddLow]]+(IF(data_NTC_2k_Xavier[[#This Row],[Rsonde]]=MIN(data_NTC_2k_Xavier[Rsonde]),0,$D28)-data_NTC_2k_Xavier[[#This Row],[Rsonde]]),2)</f>
        <v>-8.5500000000000007</v>
      </c>
      <c r="J27" s="9" cm="1">
        <f t="array" aca="1" ref="J27" ca="1">MIN(IF(ResValuesR24&gt;=ROUND(data_NTC_2k_Xavier[[#This Row],[Rsonde]],2)-IF(data_NTC_2k_Xavier[[#This Row],[Rsonde]]=MIN(data_NTC_2k_Xavier[Rsonde]),100,$D28),ResValuesR24))</f>
        <v>120</v>
      </c>
      <c r="K27" s="9">
        <f ca="1">ROUND(data_NTC_2k_Xavier[[#This Row],[RaddHigh]]+(IF(data_NTC_2k_Xavier[[#This Row],[Rsonde]]=MIN(data_NTC_2k_Xavier[Rsonde]),0,$D28)-data_NTC_2k_Xavier[[#This Row],[Rsonde]]),2)</f>
        <v>1.45</v>
      </c>
      <c r="L27" s="2" cm="1">
        <f t="array" aca="1" ref="L27" ca="1">IF(INDIRECT(RefCell_R77),(data_NTC_2k_Xavier[[#This Row],[Rpcb]]*INDIRECT(RefCell_R77))/(data_NTC_2k_Xavier[[#This Row],[Rpcb]]+INDIRECT(RefCell_R77)),data_NTC_2k_Xavier[[#This Row],[Rpcb]])</f>
        <v>1791.8323794742457</v>
      </c>
    </row>
    <row r="28" spans="1:15" x14ac:dyDescent="0.25">
      <c r="A28" t="s">
        <v>23</v>
      </c>
      <c r="B28" s="8">
        <v>22.5</v>
      </c>
      <c r="C28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2192.9882812499995</v>
      </c>
      <c r="D28" s="9" cm="1">
        <f t="array" aca="1" ref="D28" ca="1">INDIRECT(RefCell_Rpot)+SUM(G28:G$34)</f>
        <v>2189</v>
      </c>
      <c r="E28" s="9">
        <f ca="1">data_NTC_2k_Xavier[[#This Row],[Rpcb]]-data_NTC_2k_Xavier[[#This Row],[Rsonde]]</f>
        <v>-3.9882812499995453</v>
      </c>
      <c r="F28" s="4">
        <f ca="1">data_NTC_2k_Xavier[[#This Row],[Diff R]]/data_NTC_2k_Xavier[[#This Row],[Rsonde]]</f>
        <v>-1.8186514192069607E-3</v>
      </c>
      <c r="G28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100</v>
      </c>
      <c r="H28" s="9" cm="1">
        <f t="array" aca="1" ref="H28" ca="1">MAX(IF(ResValuesR24&lt;=ROUND(data_NTC_2k_Xavier[[#This Row],[Rsonde]],2)-IF(data_NTC_2k_Xavier[[#This Row],[Rsonde]]=MIN(data_NTC_2k_Xavier[Rsonde]),100,$D29),ResValuesR24))</f>
        <v>100</v>
      </c>
      <c r="I28" s="9">
        <f ca="1">ROUND(data_NTC_2k_Xavier[[#This Row],[RaddLow]]+(IF(data_NTC_2k_Xavier[[#This Row],[Rsonde]]=MIN(data_NTC_2k_Xavier[Rsonde]),0,$D29)-data_NTC_2k_Xavier[[#This Row],[Rsonde]]),2)</f>
        <v>-3.99</v>
      </c>
      <c r="J28" s="9" cm="1">
        <f t="array" aca="1" ref="J28" ca="1">MIN(IF(ResValuesR24&gt;=ROUND(data_NTC_2k_Xavier[[#This Row],[Rsonde]],2)-IF(data_NTC_2k_Xavier[[#This Row],[Rsonde]]=MIN(data_NTC_2k_Xavier[Rsonde]),100,$D29),ResValuesR24))</f>
        <v>110.00000000000001</v>
      </c>
      <c r="K28" s="9">
        <f ca="1">ROUND(data_NTC_2k_Xavier[[#This Row],[RaddHigh]]+(IF(data_NTC_2k_Xavier[[#This Row],[Rsonde]]=MIN(data_NTC_2k_Xavier[Rsonde]),0,$D29)-data_NTC_2k_Xavier[[#This Row],[Rsonde]]),2)</f>
        <v>6.01</v>
      </c>
      <c r="L28" s="2" cm="1">
        <f t="array" aca="1" ref="L28" ca="1">IF(INDIRECT(RefCell_R77),(data_NTC_2k_Xavier[[#This Row],[Rpcb]]*INDIRECT(RefCell_R77))/(data_NTC_2k_Xavier[[#This Row],[Rpcb]]+INDIRECT(RefCell_R77)),data_NTC_2k_Xavier[[#This Row],[Rpcb]])</f>
        <v>1718.7162626361762</v>
      </c>
      <c r="N28" s="69" t="s">
        <v>225</v>
      </c>
      <c r="O28" s="69"/>
    </row>
    <row r="29" spans="1:15" x14ac:dyDescent="0.25">
      <c r="A29" t="s">
        <v>22</v>
      </c>
      <c r="B29" s="8">
        <v>24</v>
      </c>
      <c r="C29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2088.5279999999998</v>
      </c>
      <c r="D29" s="9" cm="1">
        <f t="array" aca="1" ref="D29" ca="1">INDIRECT(RefCell_Rpot)+SUM(G29:G$34)</f>
        <v>2089</v>
      </c>
      <c r="E29" s="9">
        <f ca="1">data_NTC_2k_Xavier[[#This Row],[Rpcb]]-data_NTC_2k_Xavier[[#This Row],[Rsonde]]</f>
        <v>0.47200000000020736</v>
      </c>
      <c r="F29" s="4">
        <f ca="1">data_NTC_2k_Xavier[[#This Row],[Diff R]]/data_NTC_2k_Xavier[[#This Row],[Rsonde]]</f>
        <v>2.2599649130881051E-4</v>
      </c>
      <c r="G29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100</v>
      </c>
      <c r="H29" s="9" cm="1">
        <f t="array" aca="1" ref="H29" ca="1">MAX(IF(ResValuesR24&lt;=ROUND(data_NTC_2k_Xavier[[#This Row],[Rsonde]],2)-IF(data_NTC_2k_Xavier[[#This Row],[Rsonde]]=MIN(data_NTC_2k_Xavier[Rsonde]),100,$D30),ResValuesR24))</f>
        <v>91</v>
      </c>
      <c r="I29" s="9">
        <f ca="1">ROUND(data_NTC_2k_Xavier[[#This Row],[RaddLow]]+(IF(data_NTC_2k_Xavier[[#This Row],[Rsonde]]=MIN(data_NTC_2k_Xavier[Rsonde]),0,$D30)-data_NTC_2k_Xavier[[#This Row],[Rsonde]]),2)</f>
        <v>-8.5299999999999994</v>
      </c>
      <c r="J29" s="9" cm="1">
        <f t="array" aca="1" ref="J29" ca="1">MIN(IF(ResValuesR24&gt;=ROUND(data_NTC_2k_Xavier[[#This Row],[Rsonde]],2)-IF(data_NTC_2k_Xavier[[#This Row],[Rsonde]]=MIN(data_NTC_2k_Xavier[Rsonde]),100,$D30),ResValuesR24))</f>
        <v>100</v>
      </c>
      <c r="K29" s="9">
        <f ca="1">ROUND(data_NTC_2k_Xavier[[#This Row],[RaddHigh]]+(IF(data_NTC_2k_Xavier[[#This Row],[Rsonde]]=MIN(data_NTC_2k_Xavier[Rsonde]),0,$D30)-data_NTC_2k_Xavier[[#This Row],[Rsonde]]),2)</f>
        <v>0.47</v>
      </c>
      <c r="L29" s="2" cm="1">
        <f t="array" aca="1" ref="L29" ca="1">IF(INDIRECT(RefCell_R77),(data_NTC_2k_Xavier[[#This Row],[Rpcb]]*INDIRECT(RefCell_R77))/(data_NTC_2k_Xavier[[#This Row],[Rpcb]]+INDIRECT(RefCell_R77)),data_NTC_2k_Xavier[[#This Row],[Rpcb]])</f>
        <v>1656.457528000793</v>
      </c>
      <c r="N29">
        <v>-20</v>
      </c>
      <c r="O29">
        <v>14600</v>
      </c>
    </row>
    <row r="30" spans="1:15" x14ac:dyDescent="0.25">
      <c r="A30" t="s">
        <v>21</v>
      </c>
      <c r="B30" s="8">
        <v>25.5</v>
      </c>
      <c r="C30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1993.2887812499994</v>
      </c>
      <c r="D30" s="9" cm="1">
        <f t="array" aca="1" ref="D30" ca="1">INDIRECT(RefCell_Rpot)+SUM(G30:G$34)</f>
        <v>1989</v>
      </c>
      <c r="E30" s="9">
        <f ca="1">data_NTC_2k_Xavier[[#This Row],[Rpcb]]-data_NTC_2k_Xavier[[#This Row],[Rsonde]]</f>
        <v>-4.2887812499993743</v>
      </c>
      <c r="F30" s="4">
        <f ca="1">data_NTC_2k_Xavier[[#This Row],[Diff R]]/data_NTC_2k_Xavier[[#This Row],[Rsonde]]</f>
        <v>-2.1516105896657194E-3</v>
      </c>
      <c r="G30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82</v>
      </c>
      <c r="H30" s="9" cm="1">
        <f t="array" aca="1" ref="H30" ca="1">MAX(IF(ResValuesR24&lt;=ROUND(data_NTC_2k_Xavier[[#This Row],[Rsonde]],2)-IF(data_NTC_2k_Xavier[[#This Row],[Rsonde]]=MIN(data_NTC_2k_Xavier[Rsonde]),100,$D31),ResValuesR24))</f>
        <v>82</v>
      </c>
      <c r="I30" s="9">
        <f ca="1">ROUND(data_NTC_2k_Xavier[[#This Row],[RaddLow]]+(IF(data_NTC_2k_Xavier[[#This Row],[Rsonde]]=MIN(data_NTC_2k_Xavier[Rsonde]),0,$D31)-data_NTC_2k_Xavier[[#This Row],[Rsonde]]),2)</f>
        <v>-4.29</v>
      </c>
      <c r="J30" s="9" cm="1">
        <f t="array" aca="1" ref="J30" ca="1">MIN(IF(ResValuesR24&gt;=ROUND(data_NTC_2k_Xavier[[#This Row],[Rsonde]],2)-IF(data_NTC_2k_Xavier[[#This Row],[Rsonde]]=MIN(data_NTC_2k_Xavier[Rsonde]),100,$D31),ResValuesR24))</f>
        <v>91</v>
      </c>
      <c r="K30" s="9">
        <f ca="1">ROUND(data_NTC_2k_Xavier[[#This Row],[RaddHigh]]+(IF(data_NTC_2k_Xavier[[#This Row],[Rsonde]]=MIN(data_NTC_2k_Xavier[Rsonde]),0,$D31)-data_NTC_2k_Xavier[[#This Row],[Rsonde]]),2)</f>
        <v>4.71</v>
      </c>
      <c r="L30" s="2" cm="1">
        <f t="array" aca="1" ref="L30" ca="1">IF(INDIRECT(RefCell_R77),(data_NTC_2k_Xavier[[#This Row],[Rpcb]]*INDIRECT(RefCell_R77))/(data_NTC_2k_Xavier[[#This Row],[Rpcb]]+INDIRECT(RefCell_R77)),data_NTC_2k_Xavier[[#This Row],[Rpcb]])</f>
        <v>1592.9522474722194</v>
      </c>
      <c r="N30">
        <v>-15</v>
      </c>
      <c r="O30">
        <v>11400</v>
      </c>
    </row>
    <row r="31" spans="1:15" x14ac:dyDescent="0.25">
      <c r="A31" t="s">
        <v>20</v>
      </c>
      <c r="B31" s="8">
        <v>27</v>
      </c>
      <c r="C31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1906.4504999999995</v>
      </c>
      <c r="D31" s="9" cm="1">
        <f t="array" aca="1" ref="D31" ca="1">INDIRECT(RefCell_Rpot)+SUM(G31:G$34)</f>
        <v>1907</v>
      </c>
      <c r="E31" s="9">
        <f ca="1">data_NTC_2k_Xavier[[#This Row],[Rpcb]]-data_NTC_2k_Xavier[[#This Row],[Rsonde]]</f>
        <v>0.54950000000053478</v>
      </c>
      <c r="F31" s="4">
        <f ca="1">data_NTC_2k_Xavier[[#This Row],[Diff R]]/data_NTC_2k_Xavier[[#This Row],[Rsonde]]</f>
        <v>2.8823197874822083E-4</v>
      </c>
      <c r="G31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82</v>
      </c>
      <c r="H31" s="9" cm="1">
        <f t="array" aca="1" ref="H31" ca="1">MAX(IF(ResValuesR24&lt;=ROUND(data_NTC_2k_Xavier[[#This Row],[Rsonde]],2)-IF(data_NTC_2k_Xavier[[#This Row],[Rsonde]]=MIN(data_NTC_2k_Xavier[Rsonde]),100,$D32),ResValuesR24))</f>
        <v>75</v>
      </c>
      <c r="I31" s="9">
        <f ca="1">ROUND(data_NTC_2k_Xavier[[#This Row],[RaddLow]]+(IF(data_NTC_2k_Xavier[[#This Row],[Rsonde]]=MIN(data_NTC_2k_Xavier[Rsonde]),0,$D32)-data_NTC_2k_Xavier[[#This Row],[Rsonde]]),2)</f>
        <v>-6.45</v>
      </c>
      <c r="J31" s="9" cm="1">
        <f t="array" aca="1" ref="J31" ca="1">MIN(IF(ResValuesR24&gt;=ROUND(data_NTC_2k_Xavier[[#This Row],[Rsonde]],2)-IF(data_NTC_2k_Xavier[[#This Row],[Rsonde]]=MIN(data_NTC_2k_Xavier[Rsonde]),100,$D32),ResValuesR24))</f>
        <v>82</v>
      </c>
      <c r="K31" s="9">
        <f ca="1">ROUND(data_NTC_2k_Xavier[[#This Row],[RaddHigh]]+(IF(data_NTC_2k_Xavier[[#This Row],[Rsonde]]=MIN(data_NTC_2k_Xavier[Rsonde]),0,$D32)-data_NTC_2k_Xavier[[#This Row],[Rsonde]]),2)</f>
        <v>0.55000000000000004</v>
      </c>
      <c r="L31" s="2" cm="1">
        <f t="array" aca="1" ref="L31" ca="1">IF(INDIRECT(RefCell_R77),(data_NTC_2k_Xavier[[#This Row],[Rpcb]]*INDIRECT(RefCell_R77))/(data_NTC_2k_Xavier[[#This Row],[Rpcb]]+INDIRECT(RefCell_R77)),data_NTC_2k_Xavier[[#This Row],[Rpcb]])</f>
        <v>1539.9212677904511</v>
      </c>
      <c r="N31">
        <v>-10</v>
      </c>
      <c r="O31">
        <v>8900</v>
      </c>
    </row>
    <row r="32" spans="1:15" x14ac:dyDescent="0.25">
      <c r="A32" t="s">
        <v>19</v>
      </c>
      <c r="B32" s="8">
        <v>28.5</v>
      </c>
      <c r="C32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1827.2537812499997</v>
      </c>
      <c r="D32" s="9" cm="1">
        <f t="array" aca="1" ref="D32" ca="1">INDIRECT(RefCell_Rpot)+SUM(G32:G$34)</f>
        <v>1825</v>
      </c>
      <c r="E32" s="9">
        <f ca="1">data_NTC_2k_Xavier[[#This Row],[Rpcb]]-data_NTC_2k_Xavier[[#This Row],[Rsonde]]</f>
        <v>-2.2537812499997472</v>
      </c>
      <c r="F32" s="4">
        <f ca="1">data_NTC_2k_Xavier[[#This Row],[Diff R]]/data_NTC_2k_Xavier[[#This Row],[Rsonde]]</f>
        <v>-1.2334254131125485E-3</v>
      </c>
      <c r="G32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68</v>
      </c>
      <c r="H32" s="9" cm="1">
        <f t="array" aca="1" ref="H32" ca="1">MAX(IF(ResValuesR24&lt;=ROUND(data_NTC_2k_Xavier[[#This Row],[Rsonde]],2)-IF(data_NTC_2k_Xavier[[#This Row],[Rsonde]]=MIN(data_NTC_2k_Xavier[Rsonde]),100,$D33),ResValuesR24))</f>
        <v>68</v>
      </c>
      <c r="I32" s="9">
        <f ca="1">ROUND(data_NTC_2k_Xavier[[#This Row],[RaddLow]]+(IF(data_NTC_2k_Xavier[[#This Row],[Rsonde]]=MIN(data_NTC_2k_Xavier[Rsonde]),0,$D33)-data_NTC_2k_Xavier[[#This Row],[Rsonde]]),2)</f>
        <v>-2.25</v>
      </c>
      <c r="J32" s="9" cm="1">
        <f t="array" aca="1" ref="J32" ca="1">MIN(IF(ResValuesR24&gt;=ROUND(data_NTC_2k_Xavier[[#This Row],[Rsonde]],2)-IF(data_NTC_2k_Xavier[[#This Row],[Rsonde]]=MIN(data_NTC_2k_Xavier[Rsonde]),100,$D33),ResValuesR24))</f>
        <v>75</v>
      </c>
      <c r="K32" s="9">
        <f ca="1">ROUND(data_NTC_2k_Xavier[[#This Row],[RaddHigh]]+(IF(data_NTC_2k_Xavier[[#This Row],[Rsonde]]=MIN(data_NTC_2k_Xavier[Rsonde]),0,$D33)-data_NTC_2k_Xavier[[#This Row],[Rsonde]]),2)</f>
        <v>4.75</v>
      </c>
      <c r="L32" s="2" cm="1">
        <f t="array" aca="1" ref="L32" ca="1">IF(INDIRECT(RefCell_R77),(data_NTC_2k_Xavier[[#This Row],[Rpcb]]*INDIRECT(RefCell_R77))/(data_NTC_2k_Xavier[[#This Row],[Rpcb]]+INDIRECT(RefCell_R77)),data_NTC_2k_Xavier[[#This Row],[Rpcb]])</f>
        <v>1486.0050890585242</v>
      </c>
      <c r="N32">
        <v>-5</v>
      </c>
      <c r="O32">
        <v>7100</v>
      </c>
    </row>
    <row r="33" spans="1:15" x14ac:dyDescent="0.25">
      <c r="A33" t="s">
        <v>18</v>
      </c>
      <c r="B33" s="8">
        <v>30</v>
      </c>
      <c r="C33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1754.9999999999993</v>
      </c>
      <c r="D33" s="9" cm="1">
        <f t="array" aca="1" ref="D33" ca="1">INDIRECT(RefCell_Rpot)+SUM(G33:G$34)</f>
        <v>1757</v>
      </c>
      <c r="E33" s="9">
        <f ca="1">data_NTC_2k_Xavier[[#This Row],[Rpcb]]-data_NTC_2k_Xavier[[#This Row],[Rsonde]]</f>
        <v>2.0000000000006821</v>
      </c>
      <c r="F33" s="4">
        <f ca="1">data_NTC_2k_Xavier[[#This Row],[Diff R]]/data_NTC_2k_Xavier[[#This Row],[Rsonde]]</f>
        <v>1.1396011396015288E-3</v>
      </c>
      <c r="G33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68</v>
      </c>
      <c r="H33" s="9" cm="1">
        <f t="array" aca="1" ref="H33" ca="1">MAX(IF(ResValuesR24&lt;=ROUND(data_NTC_2k_Xavier[[#This Row],[Rsonde]],2)-IF(data_NTC_2k_Xavier[[#This Row],[Rsonde]]=MIN(data_NTC_2k_Xavier[Rsonde]),100,$D34),ResValuesR24))</f>
        <v>62</v>
      </c>
      <c r="I33" s="9">
        <f ca="1">ROUND(data_NTC_2k_Xavier[[#This Row],[RaddLow]]+(IF(data_NTC_2k_Xavier[[#This Row],[Rsonde]]=MIN(data_NTC_2k_Xavier[Rsonde]),0,$D34)-data_NTC_2k_Xavier[[#This Row],[Rsonde]]),2)</f>
        <v>-4</v>
      </c>
      <c r="J33" s="9" cm="1">
        <f t="array" aca="1" ref="J33" ca="1">MIN(IF(ResValuesR24&gt;=ROUND(data_NTC_2k_Xavier[[#This Row],[Rsonde]],2)-IF(data_NTC_2k_Xavier[[#This Row],[Rsonde]]=MIN(data_NTC_2k_Xavier[Rsonde]),100,$D34),ResValuesR24))</f>
        <v>68</v>
      </c>
      <c r="K33" s="9">
        <f ca="1">ROUND(data_NTC_2k_Xavier[[#This Row],[RaddHigh]]+(IF(data_NTC_2k_Xavier[[#This Row],[Rsonde]]=MIN(data_NTC_2k_Xavier[Rsonde]),0,$D34)-data_NTC_2k_Xavier[[#This Row],[Rsonde]]),2)</f>
        <v>2</v>
      </c>
      <c r="L33" s="2" cm="1">
        <f t="array" aca="1" ref="L33" ca="1">IF(INDIRECT(RefCell_R77),(data_NTC_2k_Xavier[[#This Row],[Rpcb]]*INDIRECT(RefCell_R77))/(data_NTC_2k_Xavier[[#This Row],[Rpcb]]+INDIRECT(RefCell_R77)),data_NTC_2k_Xavier[[#This Row],[Rpcb]])</f>
        <v>1440.6067438761916</v>
      </c>
      <c r="N33">
        <v>0</v>
      </c>
      <c r="O33">
        <v>5600</v>
      </c>
    </row>
    <row r="34" spans="1:15" x14ac:dyDescent="0.25">
      <c r="A34" t="s">
        <v>17</v>
      </c>
      <c r="B34" s="8">
        <v>31.5</v>
      </c>
      <c r="C34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1689.0512812499994</v>
      </c>
      <c r="D34" s="9" cm="1">
        <f t="array" aca="1" ref="D34" ca="1">INDIRECT(RefCell_Rpot)+SUM(G34:G$34)</f>
        <v>1689</v>
      </c>
      <c r="E34" s="9">
        <f ca="1">data_NTC_2k_Xavier[[#This Row],[Rpcb]]-data_NTC_2k_Xavier[[#This Row],[Rsonde]]</f>
        <v>-5.1281249999419742E-2</v>
      </c>
      <c r="F34" s="4">
        <f ca="1">data_NTC_2k_Xavier[[#This Row],[Diff R]]/data_NTC_2k_Xavier[[#This Row],[Rsonde]]</f>
        <v>-3.03609787155003E-5</v>
      </c>
      <c r="G34" s="9">
        <f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1600</v>
      </c>
      <c r="H34" s="9" cm="1">
        <f t="array" ref="H34">MAX(IF(ResValuesR24&lt;=ROUND(data_NTC_2k_Xavier[[#This Row],[Rsonde]],2)-IF(data_NTC_2k_Xavier[[#This Row],[Rsonde]]=MIN(data_NTC_2k_Xavier[Rsonde]),100,$D35),ResValuesR24))</f>
        <v>1500</v>
      </c>
      <c r="I34" s="9">
        <f>ROUND(data_NTC_2k_Xavier[[#This Row],[RaddLow]]+(IF(data_NTC_2k_Xavier[[#This Row],[Rsonde]]=MIN(data_NTC_2k_Xavier[Rsonde]),0,$D35)-data_NTC_2k_Xavier[[#This Row],[Rsonde]]),2)</f>
        <v>-189.05</v>
      </c>
      <c r="J34" s="9" cm="1">
        <f t="array" ref="J34">MIN(IF(ResValuesR24&gt;=ROUND(data_NTC_2k_Xavier[[#This Row],[Rsonde]],2)-IF(data_NTC_2k_Xavier[[#This Row],[Rsonde]]=MIN(data_NTC_2k_Xavier[Rsonde]),100,$D35),ResValuesR24))</f>
        <v>1600</v>
      </c>
      <c r="K34" s="9">
        <f>ROUND(data_NTC_2k_Xavier[[#This Row],[RaddHigh]]+(IF(data_NTC_2k_Xavier[[#This Row],[Rsonde]]=MIN(data_NTC_2k_Xavier[Rsonde]),0,$D35)-data_NTC_2k_Xavier[[#This Row],[Rsonde]]),2)</f>
        <v>-89.05</v>
      </c>
      <c r="L34" s="2" cm="1">
        <f t="array" aca="1" ref="L34" ca="1">IF(INDIRECT(RefCell_R77),(data_NTC_2k_Xavier[[#This Row],[Rpcb]]*INDIRECT(RefCell_R77))/(data_NTC_2k_Xavier[[#This Row],[Rpcb]]+INDIRECT(RefCell_R77)),data_NTC_2k_Xavier[[#This Row],[Rpcb]])</f>
        <v>1394.5711631747342</v>
      </c>
      <c r="N34">
        <v>5</v>
      </c>
      <c r="O34">
        <v>4500</v>
      </c>
    </row>
    <row r="35" spans="1:15" x14ac:dyDescent="0.25">
      <c r="N35">
        <v>10</v>
      </c>
      <c r="O35">
        <v>3600</v>
      </c>
    </row>
    <row r="36" spans="1:15" x14ac:dyDescent="0.25">
      <c r="N36">
        <v>15</v>
      </c>
      <c r="O36">
        <v>3000</v>
      </c>
    </row>
    <row r="37" spans="1:15" x14ac:dyDescent="0.25">
      <c r="N37">
        <v>20</v>
      </c>
      <c r="O37">
        <v>2400</v>
      </c>
    </row>
    <row r="38" spans="1:15" x14ac:dyDescent="0.25">
      <c r="N38">
        <v>25</v>
      </c>
      <c r="O38">
        <v>2000</v>
      </c>
    </row>
    <row r="39" spans="1:15" x14ac:dyDescent="0.25">
      <c r="N39">
        <v>30</v>
      </c>
      <c r="O39">
        <v>1660</v>
      </c>
    </row>
    <row r="40" spans="1:15" x14ac:dyDescent="0.25">
      <c r="N40">
        <v>35</v>
      </c>
      <c r="O40">
        <v>1380</v>
      </c>
    </row>
  </sheetData>
  <mergeCells count="2">
    <mergeCell ref="N28:O28"/>
    <mergeCell ref="A1:L1"/>
  </mergeCells>
  <conditionalFormatting sqref="F3:F34">
    <cfRule type="cellIs" dxfId="99" priority="1" operator="between">
      <formula>-0.005</formula>
      <formula>0.005</formula>
    </cfRule>
  </conditionalFormatting>
  <dataValidations count="1">
    <dataValidation type="list" allowBlank="1" showInputMessage="1" showErrorMessage="1" sqref="O3:O4" xr:uid="{E4209249-62C1-43E0-93EB-CE14AA402B0F}">
      <formula1>INDIRECT("TableR77[R]")</formula1>
    </dataValidation>
  </dataValidations>
  <hyperlinks>
    <hyperlink ref="Q3" r:id="rId1" display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xr:uid="{45C9E759-8E45-44A3-A3D5-33FAB077D361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5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DF326-F4AE-430A-B9F7-5387CE694E35}">
  <sheetPr codeName="Feuil21"/>
  <dimension ref="A1:P34"/>
  <sheetViews>
    <sheetView workbookViewId="0">
      <selection activeCell="G4" sqref="G4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2">
        <f>ROUND(C3-G3,0)</f>
        <v>94</v>
      </c>
      <c r="P2" s="7" t="s">
        <v>113</v>
      </c>
    </row>
    <row r="3" spans="1:16" x14ac:dyDescent="0.25">
      <c r="A3" t="s">
        <v>17</v>
      </c>
      <c r="B3" s="8">
        <v>-15</v>
      </c>
      <c r="C3" s="9">
        <f>data_Pt100[[#This Row],[θ]]*$N$23+$O$23</f>
        <v>94.110999999999976</v>
      </c>
      <c r="D3" s="9" cm="1">
        <f t="array" aca="1" ref="D3" ca="1">INDIRECT(RefCell_Rpot)+SUM($G$3:G3)</f>
        <v>94</v>
      </c>
      <c r="E3" s="9">
        <f ca="1">data_Pt100[[#This Row],[Rpcb]]-data_Pt100[[#This Row],[Rsonde]]</f>
        <v>-0.11099999999997578</v>
      </c>
      <c r="F3" s="4">
        <f ca="1">data_Pt100[[#This Row],[Diff R]]/data_Pt100[[#This Row],[Rsonde]]</f>
        <v>-1.1794582992421269E-3</v>
      </c>
      <c r="G3" s="9">
        <f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</v>
      </c>
      <c r="H3" s="9" cm="1">
        <f t="array" ref="H3">MAX(IF(ResValuesR24&lt;=ROUND(data_Pt100[[#This Row],[Rsonde]],2)-IF(data_Pt100[[#This Row],[Rsonde]]=MIN(data_Pt100[Rsonde]),100,$D2),ResValuesR24))</f>
        <v>0</v>
      </c>
      <c r="I3" s="9">
        <f>ROUND(data_Pt100[[#This Row],[RaddLow]]+(IF(data_Pt100[[#This Row],[Rsonde]]=MIN(data_Pt100[Rsonde]),0,$D2)-data_Pt100[[#This Row],[Rsonde]]),2)</f>
        <v>-94.11</v>
      </c>
      <c r="J3" s="9" cm="1">
        <f t="array" ref="J3">MIN(IF(ResValuesR24&gt;=ROUND(data_Pt100[[#This Row],[Rsonde]],2)-IF(data_Pt100[[#This Row],[Rsonde]]=MIN(data_Pt100[Rsonde]),100,$D2),ResValuesR24))</f>
        <v>0.1</v>
      </c>
      <c r="K3" s="9">
        <f>ROUND(data_Pt100[[#This Row],[RaddHigh]]+(IF(data_Pt100[[#This Row],[Rsonde]]=MIN(data_Pt100[Rsonde]),0,$D2)-data_Pt100[[#This Row],[Rsonde]]),2)</f>
        <v>-94.01</v>
      </c>
      <c r="L3" s="2" cm="1">
        <f t="array" aca="1" ref="L3" ca="1">IF(INDIRECT(RefCell_R77),(data_Pt100[[#This Row],[Rpcb]]*INDIRECT(RefCell_R77))/(data_Pt100[[#This Row],[Rpcb]]+INDIRECT(RefCell_R77)),data_Pt100[[#This Row],[Rpcb]])</f>
        <v>94</v>
      </c>
      <c r="N3" t="s">
        <v>112</v>
      </c>
      <c r="P3" s="7" t="s">
        <v>113</v>
      </c>
    </row>
    <row r="4" spans="1:16" x14ac:dyDescent="0.25">
      <c r="A4" t="s">
        <v>18</v>
      </c>
      <c r="B4" s="8">
        <v>-13.5</v>
      </c>
      <c r="C4" s="9">
        <f>data_Pt100[[#This Row],[θ]]*$N$23+$O$23</f>
        <v>94.696299999999979</v>
      </c>
      <c r="D4" s="9" cm="1">
        <f t="array" aca="1" ref="D4" ca="1">INDIRECT(RefCell_Rpot)+SUM($G$3:G4)</f>
        <v>94.68</v>
      </c>
      <c r="E4" s="9">
        <f ca="1">data_Pt100[[#This Row],[Rpcb]]-data_Pt100[[#This Row],[Rsonde]]</f>
        <v>-1.629999999997267E-2</v>
      </c>
      <c r="F4" s="4">
        <f ca="1">data_Pt100[[#This Row],[Diff R]]/data_Pt100[[#This Row],[Rsonde]]</f>
        <v>-1.7212921729753617E-4</v>
      </c>
      <c r="G4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0.68</v>
      </c>
      <c r="H4" s="9" cm="1">
        <f t="array" aca="1" ref="H4" ca="1">MAX(IF(ResValuesR24&lt;=ROUND(data_Pt100[[#This Row],[Rsonde]],2)-IF(data_Pt100[[#This Row],[Rsonde]]=MIN(data_Pt100[Rsonde]),100,$D3),ResValuesR24))</f>
        <v>0.68</v>
      </c>
      <c r="I4" s="9">
        <f ca="1">ROUND(data_Pt100[[#This Row],[RaddLow]]+(IF(data_Pt100[[#This Row],[Rsonde]]=MIN(data_Pt100[Rsonde]),0,$D3)-data_Pt100[[#This Row],[Rsonde]]),2)</f>
        <v>-0.02</v>
      </c>
      <c r="J4" s="9" cm="1">
        <f t="array" aca="1" ref="J4" ca="1">MIN(IF(ResValuesR24&gt;=ROUND(data_Pt100[[#This Row],[Rsonde]],2)-IF(data_Pt100[[#This Row],[Rsonde]]=MIN(data_Pt100[Rsonde]),100,$D3),ResValuesR24))</f>
        <v>0.75</v>
      </c>
      <c r="K4" s="9">
        <f ca="1">ROUND(data_Pt100[[#This Row],[RaddHigh]]+(IF(data_Pt100[[#This Row],[Rsonde]]=MIN(data_Pt100[Rsonde]),0,$D3)-data_Pt100[[#This Row],[Rsonde]]),2)</f>
        <v>0.05</v>
      </c>
      <c r="L4" s="2" cm="1">
        <f t="array" aca="1" ref="L4" ca="1">IF(INDIRECT(RefCell_R77),(data_Pt100[[#This Row],[Rpcb]]*INDIRECT(RefCell_R77))/(data_Pt100[[#This Row],[Rpcb]]+INDIRECT(RefCell_R77)),data_Pt100[[#This Row],[Rpcb]])</f>
        <v>94.68</v>
      </c>
    </row>
    <row r="5" spans="1:16" x14ac:dyDescent="0.25">
      <c r="A5" t="s">
        <v>19</v>
      </c>
      <c r="B5" s="8">
        <v>-12</v>
      </c>
      <c r="C5" s="9">
        <f>data_Pt100[[#This Row],[θ]]*$N$23+$O$23</f>
        <v>95.281599999999983</v>
      </c>
      <c r="D5" s="9" cm="1">
        <f t="array" aca="1" ref="D5" ca="1">INDIRECT(RefCell_Rpot)+SUM($G$3:G5)</f>
        <v>95.3</v>
      </c>
      <c r="E5" s="9">
        <f ca="1">data_Pt100[[#This Row],[Rpcb]]-data_Pt100[[#This Row],[Rsonde]]</f>
        <v>1.8400000000013961E-2</v>
      </c>
      <c r="F5" s="4">
        <f ca="1">data_Pt100[[#This Row],[Diff R]]/data_Pt100[[#This Row],[Rsonde]]</f>
        <v>1.9311178653605695E-4</v>
      </c>
      <c r="G5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5" s="9" cm="1">
        <f t="array" aca="1" ref="H5" ca="1">MAX(IF(ResValuesR24&lt;=ROUND(data_Pt100[[#This Row],[Rsonde]],2)-IF(data_Pt100[[#This Row],[Rsonde]]=MIN(data_Pt100[Rsonde]),100,$D4),ResValuesR24))</f>
        <v>0.55999999999999994</v>
      </c>
      <c r="I5" s="9">
        <f ca="1">ROUND(data_Pt100[[#This Row],[RaddLow]]+(IF(data_Pt100[[#This Row],[Rsonde]]=MIN(data_Pt100[Rsonde]),0,$D4)-data_Pt100[[#This Row],[Rsonde]]),2)</f>
        <v>-0.04</v>
      </c>
      <c r="J5" s="9" cm="1">
        <f t="array" aca="1" ref="J5" ca="1">MIN(IF(ResValuesR24&gt;=ROUND(data_Pt100[[#This Row],[Rsonde]],2)-IF(data_Pt100[[#This Row],[Rsonde]]=MIN(data_Pt100[Rsonde]),100,$D4),ResValuesR24))</f>
        <v>0.62000000000000011</v>
      </c>
      <c r="K5" s="9">
        <f ca="1">ROUND(data_Pt100[[#This Row],[RaddHigh]]+(IF(data_Pt100[[#This Row],[Rsonde]]=MIN(data_Pt100[Rsonde]),0,$D4)-data_Pt100[[#This Row],[Rsonde]]),2)</f>
        <v>0.02</v>
      </c>
      <c r="L5" s="2" cm="1">
        <f t="array" aca="1" ref="L5" ca="1">IF(INDIRECT(RefCell_R77),(data_Pt100[[#This Row],[Rpcb]]*INDIRECT(RefCell_R77))/(data_Pt100[[#This Row],[Rpcb]]+INDIRECT(RefCell_R77)),data_Pt100[[#This Row],[Rpcb]])</f>
        <v>95.3</v>
      </c>
      <c r="N5" s="1" t="s">
        <v>215</v>
      </c>
    </row>
    <row r="6" spans="1:16" x14ac:dyDescent="0.25">
      <c r="A6" t="s">
        <v>20</v>
      </c>
      <c r="B6" s="8">
        <v>-10.5</v>
      </c>
      <c r="C6" s="9">
        <f>data_Pt100[[#This Row],[θ]]*$N$23+$O$23</f>
        <v>95.866899999999987</v>
      </c>
      <c r="D6" s="9" cm="1">
        <f t="array" aca="1" ref="D6" ca="1">INDIRECT(RefCell_Rpot)+SUM($G$3:G6)</f>
        <v>95.86</v>
      </c>
      <c r="E6" s="9">
        <f ca="1">data_Pt100[[#This Row],[Rpcb]]-data_Pt100[[#This Row],[Rsonde]]</f>
        <v>-6.8999999999874717E-3</v>
      </c>
      <c r="F6" s="4">
        <f ca="1">data_Pt100[[#This Row],[Diff R]]/data_Pt100[[#This Row],[Rsonde]]</f>
        <v>-7.1974790047320532E-5</v>
      </c>
      <c r="G6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6" s="9" cm="1">
        <f t="array" aca="1" ref="H6" ca="1">MAX(IF(ResValuesR24&lt;=ROUND(data_Pt100[[#This Row],[Rsonde]],2)-IF(data_Pt100[[#This Row],[Rsonde]]=MIN(data_Pt100[Rsonde]),100,$D5),ResValuesR24))</f>
        <v>0.55999999999999994</v>
      </c>
      <c r="I6" s="9">
        <f ca="1">ROUND(data_Pt100[[#This Row],[RaddLow]]+(IF(data_Pt100[[#This Row],[Rsonde]]=MIN(data_Pt100[Rsonde]),0,$D5)-data_Pt100[[#This Row],[Rsonde]]),2)</f>
        <v>-0.01</v>
      </c>
      <c r="J6" s="9" cm="1">
        <f t="array" aca="1" ref="J6" ca="1">MIN(IF(ResValuesR24&gt;=ROUND(data_Pt100[[#This Row],[Rsonde]],2)-IF(data_Pt100[[#This Row],[Rsonde]]=MIN(data_Pt100[Rsonde]),100,$D5),ResValuesR24))</f>
        <v>0.62000000000000011</v>
      </c>
      <c r="K6" s="9">
        <f ca="1">ROUND(data_Pt100[[#This Row],[RaddHigh]]+(IF(data_Pt100[[#This Row],[Rsonde]]=MIN(data_Pt100[Rsonde]),0,$D5)-data_Pt100[[#This Row],[Rsonde]]),2)</f>
        <v>0.05</v>
      </c>
      <c r="L6" s="2" cm="1">
        <f t="array" aca="1" ref="L6" ca="1">IF(INDIRECT(RefCell_R77),(data_Pt100[[#This Row],[Rpcb]]*INDIRECT(RefCell_R77))/(data_Pt100[[#This Row],[Rpcb]]+INDIRECT(RefCell_R77)),data_Pt100[[#This Row],[Rpcb]])</f>
        <v>95.86</v>
      </c>
      <c r="N6" s="35" t="s">
        <v>131</v>
      </c>
      <c r="O6">
        <f t="shared" ref="O6" si="0">O14 - O11*O7 - O11^3*O8</f>
        <v>4.0316702747139284E-2</v>
      </c>
    </row>
    <row r="7" spans="1:16" x14ac:dyDescent="0.25">
      <c r="A7" t="s">
        <v>21</v>
      </c>
      <c r="B7" s="8">
        <v>-9</v>
      </c>
      <c r="C7" s="9">
        <f>data_Pt100[[#This Row],[θ]]*$N$23+$O$23</f>
        <v>96.452199999999976</v>
      </c>
      <c r="D7" s="9" cm="1">
        <f t="array" aca="1" ref="D7" ca="1">INDIRECT(RefCell_Rpot)+SUM($G$3:G7)</f>
        <v>96.48</v>
      </c>
      <c r="E7" s="9">
        <f ca="1">data_Pt100[[#This Row],[Rpcb]]-data_Pt100[[#This Row],[Rsonde]]</f>
        <v>2.780000000002758E-2</v>
      </c>
      <c r="F7" s="4">
        <f ca="1">data_Pt100[[#This Row],[Diff R]]/data_Pt100[[#This Row],[Rsonde]]</f>
        <v>2.8822567033232613E-4</v>
      </c>
      <c r="G7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7" s="9" cm="1">
        <f t="array" aca="1" ref="H7" ca="1">MAX(IF(ResValuesR24&lt;=ROUND(data_Pt100[[#This Row],[Rsonde]],2)-IF(data_Pt100[[#This Row],[Rsonde]]=MIN(data_Pt100[Rsonde]),100,$D6),ResValuesR24))</f>
        <v>0.55999999999999994</v>
      </c>
      <c r="I7" s="9">
        <f ca="1">ROUND(data_Pt100[[#This Row],[RaddLow]]+(IF(data_Pt100[[#This Row],[Rsonde]]=MIN(data_Pt100[Rsonde]),0,$D6)-data_Pt100[[#This Row],[Rsonde]]),2)</f>
        <v>-0.03</v>
      </c>
      <c r="J7" s="9" cm="1">
        <f t="array" aca="1" ref="J7" ca="1">MIN(IF(ResValuesR24&gt;=ROUND(data_Pt100[[#This Row],[Rsonde]],2)-IF(data_Pt100[[#This Row],[Rsonde]]=MIN(data_Pt100[Rsonde]),100,$D6),ResValuesR24))</f>
        <v>0.62000000000000011</v>
      </c>
      <c r="K7" s="9">
        <f ca="1">ROUND(data_Pt100[[#This Row],[RaddHigh]]+(IF(data_Pt100[[#This Row],[Rsonde]]=MIN(data_Pt100[Rsonde]),0,$D6)-data_Pt100[[#This Row],[Rsonde]]),2)</f>
        <v>0.03</v>
      </c>
      <c r="L7" s="2" cm="1">
        <f t="array" aca="1" ref="L7" ca="1">IF(INDIRECT(RefCell_R77),(data_Pt100[[#This Row],[Rpcb]]*INDIRECT(RefCell_R77))/(data_Pt100[[#This Row],[Rpcb]]+INDIRECT(RefCell_R77)),data_Pt100[[#This Row],[Rpcb]])</f>
        <v>96.48</v>
      </c>
      <c r="N7" s="35" t="s">
        <v>130</v>
      </c>
      <c r="O7">
        <f t="shared" ref="O7" si="1">(1/(O11-O12)) * (O14-O15-(O11^3-O12^3)*O8)</f>
        <v>-1.022240154865324E-2</v>
      </c>
    </row>
    <row r="8" spans="1:16" x14ac:dyDescent="0.25">
      <c r="A8" t="s">
        <v>22</v>
      </c>
      <c r="B8" s="8">
        <v>-7.5</v>
      </c>
      <c r="C8" s="9">
        <f>data_Pt100[[#This Row],[θ]]*$N$23+$O$23</f>
        <v>97.03749999999998</v>
      </c>
      <c r="D8" s="9" cm="1">
        <f t="array" aca="1" ref="D8" ca="1">INDIRECT(RefCell_Rpot)+SUM($G$3:G8)</f>
        <v>97.04</v>
      </c>
      <c r="E8" s="9">
        <f ca="1">data_Pt100[[#This Row],[Rpcb]]-data_Pt100[[#This Row],[Rsonde]]</f>
        <v>2.500000000026148E-3</v>
      </c>
      <c r="F8" s="4">
        <f ca="1">data_Pt100[[#This Row],[Diff R]]/data_Pt100[[#This Row],[Rsonde]]</f>
        <v>2.5763235862693787E-5</v>
      </c>
      <c r="G8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8" s="9" cm="1">
        <f t="array" aca="1" ref="H8" ca="1">MAX(IF(ResValuesR24&lt;=ROUND(data_Pt100[[#This Row],[Rsonde]],2)-IF(data_Pt100[[#This Row],[Rsonde]]=MIN(data_Pt100[Rsonde]),100,$D7),ResValuesR24))</f>
        <v>0.55999999999999994</v>
      </c>
      <c r="I8" s="9">
        <f ca="1">ROUND(data_Pt100[[#This Row],[RaddLow]]+(IF(data_Pt100[[#This Row],[Rsonde]]=MIN(data_Pt100[Rsonde]),0,$D7)-data_Pt100[[#This Row],[Rsonde]]),2)</f>
        <v>0</v>
      </c>
      <c r="J8" s="9" cm="1">
        <f t="array" aca="1" ref="J8" ca="1">MIN(IF(ResValuesR24&gt;=ROUND(data_Pt100[[#This Row],[Rsonde]],2)-IF(data_Pt100[[#This Row],[Rsonde]]=MIN(data_Pt100[Rsonde]),100,$D7),ResValuesR24))</f>
        <v>0.62000000000000011</v>
      </c>
      <c r="K8" s="9">
        <f ca="1">ROUND(data_Pt100[[#This Row],[RaddHigh]]+(IF(data_Pt100[[#This Row],[Rsonde]]=MIN(data_Pt100[Rsonde]),0,$D7)-data_Pt100[[#This Row],[Rsonde]]),2)</f>
        <v>0.06</v>
      </c>
      <c r="L8" s="2" cm="1">
        <f t="array" aca="1" ref="L8" ca="1">IF(INDIRECT(RefCell_R77),(data_Pt100[[#This Row],[Rpcb]]*INDIRECT(RefCell_R77))/(data_Pt100[[#This Row],[Rpcb]]+INDIRECT(RefCell_R77)),data_Pt100[[#This Row],[Rpcb]])</f>
        <v>97.04</v>
      </c>
      <c r="N8" s="35" t="s">
        <v>129</v>
      </c>
      <c r="O8">
        <f t="shared" ref="O8" si="2">O10/O9</f>
        <v>1.0668165162027242E-4</v>
      </c>
    </row>
    <row r="9" spans="1:16" x14ac:dyDescent="0.25">
      <c r="A9" t="s">
        <v>23</v>
      </c>
      <c r="B9" s="8">
        <v>-6</v>
      </c>
      <c r="C9" s="9">
        <f>data_Pt100[[#This Row],[θ]]*$N$23+$O$23</f>
        <v>97.622799999999984</v>
      </c>
      <c r="D9" s="9" cm="1">
        <f t="array" aca="1" ref="D9" ca="1">INDIRECT(RefCell_Rpot)+SUM($G$3:G9)</f>
        <v>97.6</v>
      </c>
      <c r="E9" s="9">
        <f ca="1">data_Pt100[[#This Row],[Rpcb]]-data_Pt100[[#This Row],[Rsonde]]</f>
        <v>-2.2799999999989495E-2</v>
      </c>
      <c r="F9" s="4">
        <f ca="1">data_Pt100[[#This Row],[Diff R]]/data_Pt100[[#This Row],[Rsonde]]</f>
        <v>-2.3355199809869722E-4</v>
      </c>
      <c r="G9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9" s="9" cm="1">
        <f t="array" aca="1" ref="H9" ca="1">MAX(IF(ResValuesR24&lt;=ROUND(data_Pt100[[#This Row],[Rsonde]],2)-IF(data_Pt100[[#This Row],[Rsonde]]=MIN(data_Pt100[Rsonde]),100,$D8),ResValuesR24))</f>
        <v>0.55999999999999994</v>
      </c>
      <c r="I9" s="9">
        <f ca="1">ROUND(data_Pt100[[#This Row],[RaddLow]]+(IF(data_Pt100[[#This Row],[Rsonde]]=MIN(data_Pt100[Rsonde]),0,$D8)-data_Pt100[[#This Row],[Rsonde]]),2)</f>
        <v>-0.02</v>
      </c>
      <c r="J9" s="9" cm="1">
        <f t="array" aca="1" ref="J9" ca="1">MIN(IF(ResValuesR24&gt;=ROUND(data_Pt100[[#This Row],[Rsonde]],2)-IF(data_Pt100[[#This Row],[Rsonde]]=MIN(data_Pt100[Rsonde]),100,$D8),ResValuesR24))</f>
        <v>0.62000000000000011</v>
      </c>
      <c r="K9" s="9">
        <f ca="1">ROUND(data_Pt100[[#This Row],[RaddHigh]]+(IF(data_Pt100[[#This Row],[Rsonde]]=MIN(data_Pt100[Rsonde]),0,$D8)-data_Pt100[[#This Row],[Rsonde]]),2)</f>
        <v>0.04</v>
      </c>
      <c r="L9" s="2" cm="1">
        <f t="array" aca="1" ref="L9" ca="1">IF(INDIRECT(RefCell_R77),(data_Pt100[[#This Row],[Rpcb]]*INDIRECT(RefCell_R77))/(data_Pt100[[#This Row],[Rpcb]]+INDIRECT(RefCell_R77)),data_Pt100[[#This Row],[Rpcb]])</f>
        <v>97.6</v>
      </c>
      <c r="N9" s="3" t="s">
        <v>181</v>
      </c>
      <c r="O9">
        <f t="shared" ref="O9" si="3">(O12-O13)/(O11-O12) * (O12^3-O11^3) + (O12^3-O13^3)</f>
        <v>-0.17165244948798986</v>
      </c>
    </row>
    <row r="10" spans="1:16" x14ac:dyDescent="0.25">
      <c r="A10" t="s">
        <v>24</v>
      </c>
      <c r="B10" s="8">
        <v>-4.5</v>
      </c>
      <c r="C10" s="9">
        <f>data_Pt100[[#This Row],[θ]]*$N$23+$O$23</f>
        <v>98.208099999999988</v>
      </c>
      <c r="D10" s="9" cm="1">
        <f t="array" aca="1" ref="D10" ca="1">INDIRECT(RefCell_Rpot)+SUM($G$3:G10)</f>
        <v>98.22</v>
      </c>
      <c r="E10" s="9">
        <f ca="1">data_Pt100[[#This Row],[Rpcb]]-data_Pt100[[#This Row],[Rsonde]]</f>
        <v>1.1900000000011346E-2</v>
      </c>
      <c r="F10" s="4">
        <f ca="1">data_Pt100[[#This Row],[Diff R]]/data_Pt100[[#This Row],[Rsonde]]</f>
        <v>1.2117126795051882E-4</v>
      </c>
      <c r="G10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10" s="9" cm="1">
        <f t="array" aca="1" ref="H10" ca="1">MAX(IF(ResValuesR24&lt;=ROUND(data_Pt100[[#This Row],[Rsonde]],2)-IF(data_Pt100[[#This Row],[Rsonde]]=MIN(data_Pt100[Rsonde]),100,$D9),ResValuesR24))</f>
        <v>0.55999999999999994</v>
      </c>
      <c r="I10" s="9">
        <f ca="1">ROUND(data_Pt100[[#This Row],[RaddLow]]+(IF(data_Pt100[[#This Row],[Rsonde]]=MIN(data_Pt100[Rsonde]),0,$D9)-data_Pt100[[#This Row],[Rsonde]]),2)</f>
        <v>-0.05</v>
      </c>
      <c r="J10" s="9" cm="1">
        <f t="array" aca="1" ref="J10" ca="1">MIN(IF(ResValuesR24&gt;=ROUND(data_Pt100[[#This Row],[Rsonde]],2)-IF(data_Pt100[[#This Row],[Rsonde]]=MIN(data_Pt100[Rsonde]),100,$D9),ResValuesR24))</f>
        <v>0.62000000000000011</v>
      </c>
      <c r="K10" s="9">
        <f ca="1">ROUND(data_Pt100[[#This Row],[RaddHigh]]+(IF(data_Pt100[[#This Row],[Rsonde]]=MIN(data_Pt100[Rsonde]),0,$D9)-data_Pt100[[#This Row],[Rsonde]]),2)</f>
        <v>0.01</v>
      </c>
      <c r="L10" s="2" cm="1">
        <f t="array" aca="1" ref="L10" ca="1">IF(INDIRECT(RefCell_R77),(data_Pt100[[#This Row],[Rpcb]]*INDIRECT(RefCell_R77))/(data_Pt100[[#This Row],[Rpcb]]+INDIRECT(RefCell_R77)),data_Pt100[[#This Row],[Rpcb]])</f>
        <v>98.22</v>
      </c>
      <c r="N10" s="3" t="s">
        <v>182</v>
      </c>
      <c r="O10">
        <f t="shared" ref="O10" si="4">O15 - O16 - ( (O12-O13)/(O11-O12) ) * (O14-O15)</f>
        <v>-1.8312166816044143E-5</v>
      </c>
    </row>
    <row r="11" spans="1:16" x14ac:dyDescent="0.25">
      <c r="A11" t="s">
        <v>25</v>
      </c>
      <c r="B11" s="8">
        <v>-3</v>
      </c>
      <c r="C11" s="9">
        <f>data_Pt100[[#This Row],[θ]]*$N$23+$O$23</f>
        <v>98.793399999999977</v>
      </c>
      <c r="D11" s="9" cm="1">
        <f t="array" aca="1" ref="D11" ca="1">INDIRECT(RefCell_Rpot)+SUM($G$3:G11)</f>
        <v>98.78</v>
      </c>
      <c r="E11" s="9">
        <f ca="1">data_Pt100[[#This Row],[Rpcb]]-data_Pt100[[#This Row],[Rsonde]]</f>
        <v>-1.3399999999975876E-2</v>
      </c>
      <c r="F11" s="4">
        <f ca="1">data_Pt100[[#This Row],[Diff R]]/data_Pt100[[#This Row],[Rsonde]]</f>
        <v>-1.3563659110806876E-4</v>
      </c>
      <c r="G11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11" s="9" cm="1">
        <f t="array" aca="1" ref="H11" ca="1">MAX(IF(ResValuesR24&lt;=ROUND(data_Pt100[[#This Row],[Rsonde]],2)-IF(data_Pt100[[#This Row],[Rsonde]]=MIN(data_Pt100[Rsonde]),100,$D10),ResValuesR24))</f>
        <v>0.55999999999999994</v>
      </c>
      <c r="I11" s="9">
        <f ca="1">ROUND(data_Pt100[[#This Row],[RaddLow]]+(IF(data_Pt100[[#This Row],[Rsonde]]=MIN(data_Pt100[Rsonde]),0,$D10)-data_Pt100[[#This Row],[Rsonde]]),2)</f>
        <v>-0.01</v>
      </c>
      <c r="J11" s="9" cm="1">
        <f t="array" aca="1" ref="J11" ca="1">MIN(IF(ResValuesR24&gt;=ROUND(data_Pt100[[#This Row],[Rsonde]],2)-IF(data_Pt100[[#This Row],[Rsonde]]=MIN(data_Pt100[Rsonde]),100,$D10),ResValuesR24))</f>
        <v>0.62000000000000011</v>
      </c>
      <c r="K11" s="9">
        <f ca="1">ROUND(data_Pt100[[#This Row],[RaddHigh]]+(IF(data_Pt100[[#This Row],[Rsonde]]=MIN(data_Pt100[Rsonde]),0,$D10)-data_Pt100[[#This Row],[Rsonde]]),2)</f>
        <v>0.05</v>
      </c>
      <c r="L11" s="2" cm="1">
        <f t="array" aca="1" ref="L11" ca="1">IF(INDIRECT(RefCell_R77),(data_Pt100[[#This Row],[Rpcb]]*INDIRECT(RefCell_R77))/(data_Pt100[[#This Row],[Rpcb]]+INDIRECT(RefCell_R77)),data_Pt100[[#This Row],[Rpcb]])</f>
        <v>98.78</v>
      </c>
      <c r="N11" s="3" t="s">
        <v>178</v>
      </c>
      <c r="O11">
        <f>LN(C3)</f>
        <v>4.5444749366775934</v>
      </c>
    </row>
    <row r="12" spans="1:16" x14ac:dyDescent="0.25">
      <c r="A12" t="s">
        <v>26</v>
      </c>
      <c r="B12" s="8">
        <v>-1.5</v>
      </c>
      <c r="C12" s="9">
        <f>data_Pt100[[#This Row],[θ]]*$N$23+$O$23</f>
        <v>99.378699999999981</v>
      </c>
      <c r="D12" s="9" cm="1">
        <f t="array" aca="1" ref="D12" ca="1">INDIRECT(RefCell_Rpot)+SUM($G$3:G12)</f>
        <v>99.4</v>
      </c>
      <c r="E12" s="9">
        <f ca="1">data_Pt100[[#This Row],[Rpcb]]-data_Pt100[[#This Row],[Rsonde]]</f>
        <v>2.1300000000024966E-2</v>
      </c>
      <c r="F12" s="4">
        <f ca="1">data_Pt100[[#This Row],[Diff R]]/data_Pt100[[#This Row],[Rsonde]]</f>
        <v>2.1433164249507158E-4</v>
      </c>
      <c r="G12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12" s="9" cm="1">
        <f t="array" aca="1" ref="H12" ca="1">MAX(IF(ResValuesR24&lt;=ROUND(data_Pt100[[#This Row],[Rsonde]],2)-IF(data_Pt100[[#This Row],[Rsonde]]=MIN(data_Pt100[Rsonde]),100,$D11),ResValuesR24))</f>
        <v>0.55999999999999994</v>
      </c>
      <c r="I12" s="9">
        <f ca="1">ROUND(data_Pt100[[#This Row],[RaddLow]]+(IF(data_Pt100[[#This Row],[Rsonde]]=MIN(data_Pt100[Rsonde]),0,$D11)-data_Pt100[[#This Row],[Rsonde]]),2)</f>
        <v>-0.04</v>
      </c>
      <c r="J12" s="9" cm="1">
        <f t="array" aca="1" ref="J12" ca="1">MIN(IF(ResValuesR24&gt;=ROUND(data_Pt100[[#This Row],[Rsonde]],2)-IF(data_Pt100[[#This Row],[Rsonde]]=MIN(data_Pt100[Rsonde]),100,$D11),ResValuesR24))</f>
        <v>0.62000000000000011</v>
      </c>
      <c r="K12" s="9">
        <f ca="1">ROUND(data_Pt100[[#This Row],[RaddHigh]]+(IF(data_Pt100[[#This Row],[Rsonde]]=MIN(data_Pt100[Rsonde]),0,$D11)-data_Pt100[[#This Row],[Rsonde]]),2)</f>
        <v>0.02</v>
      </c>
      <c r="L12" s="2" cm="1">
        <f t="array" aca="1" ref="L12" ca="1">IF(INDIRECT(RefCell_R77),(data_Pt100[[#This Row],[Rpcb]]*INDIRECT(RefCell_R77))/(data_Pt100[[#This Row],[Rpcb]]+INDIRECT(RefCell_R77)),data_Pt100[[#This Row],[Rpcb]])</f>
        <v>99.4</v>
      </c>
      <c r="N12" s="3" t="s">
        <v>179</v>
      </c>
      <c r="O12">
        <f>LN(C17)</f>
        <v>4.6279605025552755</v>
      </c>
    </row>
    <row r="13" spans="1:16" x14ac:dyDescent="0.25">
      <c r="A13" t="s">
        <v>27</v>
      </c>
      <c r="B13" s="8">
        <v>0</v>
      </c>
      <c r="C13" s="9">
        <f>data_Pt100[[#This Row],[θ]]*$N$23+$O$23</f>
        <v>99.963999999999984</v>
      </c>
      <c r="D13" s="9" cm="1">
        <f t="array" aca="1" ref="D13" ca="1">INDIRECT(RefCell_Rpot)+SUM($G$3:G13)</f>
        <v>99.96</v>
      </c>
      <c r="E13" s="9">
        <f ca="1">data_Pt100[[#This Row],[Rpcb]]-data_Pt100[[#This Row],[Rsonde]]</f>
        <v>-3.9999999999906777E-3</v>
      </c>
      <c r="F13" s="4">
        <f ca="1">data_Pt100[[#This Row],[Diff R]]/data_Pt100[[#This Row],[Rsonde]]</f>
        <v>-4.0014405185773659E-5</v>
      </c>
      <c r="G13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13" s="9" cm="1">
        <f t="array" aca="1" ref="H13" ca="1">MAX(IF(ResValuesR24&lt;=ROUND(data_Pt100[[#This Row],[Rsonde]],2)-IF(data_Pt100[[#This Row],[Rsonde]]=MIN(data_Pt100[Rsonde]),100,$D12),ResValuesR24))</f>
        <v>0.51</v>
      </c>
      <c r="I13" s="9">
        <f ca="1">ROUND(data_Pt100[[#This Row],[RaddLow]]+(IF(data_Pt100[[#This Row],[Rsonde]]=MIN(data_Pt100[Rsonde]),0,$D12)-data_Pt100[[#This Row],[Rsonde]]),2)</f>
        <v>-0.05</v>
      </c>
      <c r="J13" s="9" cm="1">
        <f t="array" aca="1" ref="J13" ca="1">MIN(IF(ResValuesR24&gt;=ROUND(data_Pt100[[#This Row],[Rsonde]],2)-IF(data_Pt100[[#This Row],[Rsonde]]=MIN(data_Pt100[Rsonde]),100,$D12),ResValuesR24))</f>
        <v>0.55999999999999994</v>
      </c>
      <c r="K13" s="9">
        <f ca="1">ROUND(data_Pt100[[#This Row],[RaddHigh]]+(IF(data_Pt100[[#This Row],[Rsonde]]=MIN(data_Pt100[Rsonde]),0,$D12)-data_Pt100[[#This Row],[Rsonde]]),2)</f>
        <v>0</v>
      </c>
      <c r="L13" s="2" cm="1">
        <f t="array" aca="1" ref="L13" ca="1">IF(INDIRECT(RefCell_R77),(data_Pt100[[#This Row],[Rpcb]]*INDIRECT(RefCell_R77))/(data_Pt100[[#This Row],[Rpcb]]+INDIRECT(RefCell_R77)),data_Pt100[[#This Row],[Rpcb]])</f>
        <v>99.96</v>
      </c>
      <c r="N13" s="3" t="s">
        <v>180</v>
      </c>
      <c r="O13">
        <f>LN(C31)</f>
        <v>4.7050100910788126</v>
      </c>
    </row>
    <row r="14" spans="1:16" x14ac:dyDescent="0.25">
      <c r="A14" t="s">
        <v>28</v>
      </c>
      <c r="B14" s="8">
        <v>1.5</v>
      </c>
      <c r="C14" s="9">
        <f>data_Pt100[[#This Row],[θ]]*$N$23+$O$23</f>
        <v>100.54929999999999</v>
      </c>
      <c r="D14" s="9" cm="1">
        <f t="array" aca="1" ref="D14" ca="1">INDIRECT(RefCell_Rpot)+SUM($G$3:G14)</f>
        <v>100.58</v>
      </c>
      <c r="E14" s="9">
        <f ca="1">data_Pt100[[#This Row],[Rpcb]]-data_Pt100[[#This Row],[Rsonde]]</f>
        <v>3.0700000000010164E-2</v>
      </c>
      <c r="F14" s="4">
        <f ca="1">data_Pt100[[#This Row],[Diff R]]/data_Pt100[[#This Row],[Rsonde]]</f>
        <v>3.0532286152176264E-4</v>
      </c>
      <c r="G14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14" s="9" cm="1">
        <f t="array" aca="1" ref="H14" ca="1">MAX(IF(ResValuesR24&lt;=ROUND(data_Pt100[[#This Row],[Rsonde]],2)-IF(data_Pt100[[#This Row],[Rsonde]]=MIN(data_Pt100[Rsonde]),100,$D13),ResValuesR24))</f>
        <v>0.55999999999999994</v>
      </c>
      <c r="I14" s="9">
        <f ca="1">ROUND(data_Pt100[[#This Row],[RaddLow]]+(IF(data_Pt100[[#This Row],[Rsonde]]=MIN(data_Pt100[Rsonde]),0,$D13)-data_Pt100[[#This Row],[Rsonde]]),2)</f>
        <v>-0.03</v>
      </c>
      <c r="J14" s="9" cm="1">
        <f t="array" aca="1" ref="J14" ca="1">MIN(IF(ResValuesR24&gt;=ROUND(data_Pt100[[#This Row],[Rsonde]],2)-IF(data_Pt100[[#This Row],[Rsonde]]=MIN(data_Pt100[Rsonde]),100,$D13),ResValuesR24))</f>
        <v>0.62000000000000011</v>
      </c>
      <c r="K14" s="9">
        <f ca="1">ROUND(data_Pt100[[#This Row],[RaddHigh]]+(IF(data_Pt100[[#This Row],[Rsonde]]=MIN(data_Pt100[Rsonde]),0,$D13)-data_Pt100[[#This Row],[Rsonde]]),2)</f>
        <v>0.03</v>
      </c>
      <c r="L14" s="2" cm="1">
        <f t="array" aca="1" ref="L14" ca="1">IF(INDIRECT(RefCell_R77),(data_Pt100[[#This Row],[Rpcb]]*INDIRECT(RefCell_R77))/(data_Pt100[[#This Row],[Rpcb]]+INDIRECT(RefCell_R77)),data_Pt100[[#This Row],[Rpcb]])</f>
        <v>100.58</v>
      </c>
      <c r="N14" s="3" t="s">
        <v>175</v>
      </c>
      <c r="O14">
        <f>1/(B3+273.15)</f>
        <v>3.8737168312996321E-3</v>
      </c>
    </row>
    <row r="15" spans="1:16" x14ac:dyDescent="0.25">
      <c r="A15" t="s">
        <v>29</v>
      </c>
      <c r="B15" s="8">
        <v>3</v>
      </c>
      <c r="C15" s="9">
        <f>data_Pt100[[#This Row],[θ]]*$N$23+$O$23</f>
        <v>101.13459999999999</v>
      </c>
      <c r="D15" s="9" cm="1">
        <f t="array" aca="1" ref="D15" ca="1">INDIRECT(RefCell_Rpot)+SUM($G$3:G15)</f>
        <v>101.14</v>
      </c>
      <c r="E15" s="9">
        <f ca="1">data_Pt100[[#This Row],[Rpcb]]-data_Pt100[[#This Row],[Rsonde]]</f>
        <v>5.4000000000087311E-3</v>
      </c>
      <c r="F15" s="4">
        <f ca="1">data_Pt100[[#This Row],[Diff R]]/data_Pt100[[#This Row],[Rsonde]]</f>
        <v>5.3394189525728401E-5</v>
      </c>
      <c r="G15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15" s="9" cm="1">
        <f t="array" aca="1" ref="H15" ca="1">MAX(IF(ResValuesR24&lt;=ROUND(data_Pt100[[#This Row],[Rsonde]],2)-IF(data_Pt100[[#This Row],[Rsonde]]=MIN(data_Pt100[Rsonde]),100,$D14),ResValuesR24))</f>
        <v>0.51</v>
      </c>
      <c r="I15" s="9">
        <f ca="1">ROUND(data_Pt100[[#This Row],[RaddLow]]+(IF(data_Pt100[[#This Row],[Rsonde]]=MIN(data_Pt100[Rsonde]),0,$D14)-data_Pt100[[#This Row],[Rsonde]]),2)</f>
        <v>-0.04</v>
      </c>
      <c r="J15" s="9" cm="1">
        <f t="array" aca="1" ref="J15" ca="1">MIN(IF(ResValuesR24&gt;=ROUND(data_Pt100[[#This Row],[Rsonde]],2)-IF(data_Pt100[[#This Row],[Rsonde]]=MIN(data_Pt100[Rsonde]),100,$D14),ResValuesR24))</f>
        <v>0.55999999999999994</v>
      </c>
      <c r="K15" s="9">
        <f ca="1">ROUND(data_Pt100[[#This Row],[RaddHigh]]+(IF(data_Pt100[[#This Row],[Rsonde]]=MIN(data_Pt100[Rsonde]),0,$D14)-data_Pt100[[#This Row],[Rsonde]]),2)</f>
        <v>0.01</v>
      </c>
      <c r="L15" s="2" cm="1">
        <f t="array" aca="1" ref="L15" ca="1">IF(INDIRECT(RefCell_R77),(data_Pt100[[#This Row],[Rpcb]]*INDIRECT(RefCell_R77))/(data_Pt100[[#This Row],[Rpcb]]+INDIRECT(RefCell_R77)),data_Pt100[[#This Row],[Rpcb]])</f>
        <v>101.14</v>
      </c>
      <c r="N15" s="3" t="s">
        <v>176</v>
      </c>
      <c r="O15">
        <f>1/(B17+273.15)</f>
        <v>3.5823034210997673E-3</v>
      </c>
    </row>
    <row r="16" spans="1:16" x14ac:dyDescent="0.25">
      <c r="A16" t="s">
        <v>30</v>
      </c>
      <c r="B16" s="8">
        <v>4.5</v>
      </c>
      <c r="C16" s="9">
        <f>data_Pt100[[#This Row],[θ]]*$N$23+$O$23</f>
        <v>101.71989999999998</v>
      </c>
      <c r="D16" s="9" cm="1">
        <f t="array" aca="1" ref="D16" ca="1">INDIRECT(RefCell_Rpot)+SUM($G$3:G16)</f>
        <v>101.7</v>
      </c>
      <c r="E16" s="9">
        <f ca="1">data_Pt100[[#This Row],[Rpcb]]-data_Pt100[[#This Row],[Rsonde]]</f>
        <v>-1.989999999997849E-2</v>
      </c>
      <c r="F16" s="4">
        <f ca="1">data_Pt100[[#This Row],[Diff R]]/data_Pt100[[#This Row],[Rsonde]]</f>
        <v>-1.9563526900811439E-4</v>
      </c>
      <c r="G16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16" s="9" cm="1">
        <f t="array" aca="1" ref="H16" ca="1">MAX(IF(ResValuesR24&lt;=ROUND(data_Pt100[[#This Row],[Rsonde]],2)-IF(data_Pt100[[#This Row],[Rsonde]]=MIN(data_Pt100[Rsonde]),100,$D15),ResValuesR24))</f>
        <v>0.55999999999999994</v>
      </c>
      <c r="I16" s="9">
        <f ca="1">ROUND(data_Pt100[[#This Row],[RaddLow]]+(IF(data_Pt100[[#This Row],[Rsonde]]=MIN(data_Pt100[Rsonde]),0,$D15)-data_Pt100[[#This Row],[Rsonde]]),2)</f>
        <v>-0.02</v>
      </c>
      <c r="J16" s="9" cm="1">
        <f t="array" aca="1" ref="J16" ca="1">MIN(IF(ResValuesR24&gt;=ROUND(data_Pt100[[#This Row],[Rsonde]],2)-IF(data_Pt100[[#This Row],[Rsonde]]=MIN(data_Pt100[Rsonde]),100,$D15),ResValuesR24))</f>
        <v>0.62000000000000011</v>
      </c>
      <c r="K16" s="9">
        <f ca="1">ROUND(data_Pt100[[#This Row],[RaddHigh]]+(IF(data_Pt100[[#This Row],[Rsonde]]=MIN(data_Pt100[Rsonde]),0,$D15)-data_Pt100[[#This Row],[Rsonde]]),2)</f>
        <v>0.04</v>
      </c>
      <c r="L16" s="2" cm="1">
        <f t="array" aca="1" ref="L16" ca="1">IF(INDIRECT(RefCell_R77),(data_Pt100[[#This Row],[Rpcb]]*INDIRECT(RefCell_R77))/(data_Pt100[[#This Row],[Rpcb]]+INDIRECT(RefCell_R77)),data_Pt100[[#This Row],[Rpcb]])</f>
        <v>101.7</v>
      </c>
      <c r="N16" s="3" t="s">
        <v>177</v>
      </c>
      <c r="O16">
        <f>1/(B31+273.15)</f>
        <v>3.331667499583542E-3</v>
      </c>
    </row>
    <row r="17" spans="1:15" x14ac:dyDescent="0.25">
      <c r="A17" t="s">
        <v>31</v>
      </c>
      <c r="B17" s="8">
        <v>6</v>
      </c>
      <c r="C17" s="9">
        <f>data_Pt100[[#This Row],[θ]]*$N$23+$O$23</f>
        <v>102.30519999999999</v>
      </c>
      <c r="D17" s="9" cm="1">
        <f t="array" aca="1" ref="D17" ca="1">INDIRECT(RefCell_Rpot)+SUM($G$3:G17)</f>
        <v>102.32</v>
      </c>
      <c r="E17" s="9">
        <f ca="1">data_Pt100[[#This Row],[Rpcb]]-data_Pt100[[#This Row],[Rsonde]]</f>
        <v>1.480000000000814E-2</v>
      </c>
      <c r="F17" s="4">
        <f ca="1">data_Pt100[[#This Row],[Diff R]]/data_Pt100[[#This Row],[Rsonde]]</f>
        <v>1.4466517830968653E-4</v>
      </c>
      <c r="G17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17" s="9" cm="1">
        <f t="array" aca="1" ref="H17" ca="1">MAX(IF(ResValuesR24&lt;=ROUND(data_Pt100[[#This Row],[Rsonde]],2)-IF(data_Pt100[[#This Row],[Rsonde]]=MIN(data_Pt100[Rsonde]),100,$D16),ResValuesR24))</f>
        <v>0.55999999999999994</v>
      </c>
      <c r="I17" s="9">
        <f ca="1">ROUND(data_Pt100[[#This Row],[RaddLow]]+(IF(data_Pt100[[#This Row],[Rsonde]]=MIN(data_Pt100[Rsonde]),0,$D16)-data_Pt100[[#This Row],[Rsonde]]),2)</f>
        <v>-0.05</v>
      </c>
      <c r="J17" s="9" cm="1">
        <f t="array" aca="1" ref="J17" ca="1">MIN(IF(ResValuesR24&gt;=ROUND(data_Pt100[[#This Row],[Rsonde]],2)-IF(data_Pt100[[#This Row],[Rsonde]]=MIN(data_Pt100[Rsonde]),100,$D16),ResValuesR24))</f>
        <v>0.62000000000000011</v>
      </c>
      <c r="K17" s="9">
        <f ca="1">ROUND(data_Pt100[[#This Row],[RaddHigh]]+(IF(data_Pt100[[#This Row],[Rsonde]]=MIN(data_Pt100[Rsonde]),0,$D16)-data_Pt100[[#This Row],[Rsonde]]),2)</f>
        <v>0.01</v>
      </c>
      <c r="L17" s="2" cm="1">
        <f t="array" aca="1" ref="L17" ca="1">IF(INDIRECT(RefCell_R77),(data_Pt100[[#This Row],[Rpcb]]*INDIRECT(RefCell_R77))/(data_Pt100[[#This Row],[Rpcb]]+INDIRECT(RefCell_R77)),data_Pt100[[#This Row],[Rpcb]])</f>
        <v>102.32</v>
      </c>
    </row>
    <row r="18" spans="1:15" x14ac:dyDescent="0.25">
      <c r="A18" t="s">
        <v>32</v>
      </c>
      <c r="B18" s="8">
        <v>7.5</v>
      </c>
      <c r="C18" s="9">
        <f>data_Pt100[[#This Row],[θ]]*$N$23+$O$23</f>
        <v>102.89049999999999</v>
      </c>
      <c r="D18" s="9" cm="1">
        <f t="array" aca="1" ref="D18" ca="1">INDIRECT(RefCell_Rpot)+SUM($G$3:G18)</f>
        <v>102.88</v>
      </c>
      <c r="E18" s="9">
        <f ca="1">data_Pt100[[#This Row],[Rpcb]]-data_Pt100[[#This Row],[Rsonde]]</f>
        <v>-1.0499999999993292E-2</v>
      </c>
      <c r="F18" s="4">
        <f ca="1">data_Pt100[[#This Row],[Diff R]]/data_Pt100[[#This Row],[Rsonde]]</f>
        <v>-1.0205023787417977E-4</v>
      </c>
      <c r="G18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18" s="9" cm="1">
        <f t="array" aca="1" ref="H18" ca="1">MAX(IF(ResValuesR24&lt;=ROUND(data_Pt100[[#This Row],[Rsonde]],2)-IF(data_Pt100[[#This Row],[Rsonde]]=MIN(data_Pt100[Rsonde]),100,$D17),ResValuesR24))</f>
        <v>0.55999999999999994</v>
      </c>
      <c r="I18" s="9">
        <f ca="1">ROUND(data_Pt100[[#This Row],[RaddLow]]+(IF(data_Pt100[[#This Row],[Rsonde]]=MIN(data_Pt100[Rsonde]),0,$D17)-data_Pt100[[#This Row],[Rsonde]]),2)</f>
        <v>-0.01</v>
      </c>
      <c r="J18" s="9" cm="1">
        <f t="array" aca="1" ref="J18" ca="1">MIN(IF(ResValuesR24&gt;=ROUND(data_Pt100[[#This Row],[Rsonde]],2)-IF(data_Pt100[[#This Row],[Rsonde]]=MIN(data_Pt100[Rsonde]),100,$D17),ResValuesR24))</f>
        <v>0.62000000000000011</v>
      </c>
      <c r="K18" s="9">
        <f ca="1">ROUND(data_Pt100[[#This Row],[RaddHigh]]+(IF(data_Pt100[[#This Row],[Rsonde]]=MIN(data_Pt100[Rsonde]),0,$D17)-data_Pt100[[#This Row],[Rsonde]]),2)</f>
        <v>0.05</v>
      </c>
      <c r="L18" s="2" cm="1">
        <f t="array" aca="1" ref="L18" ca="1">IF(INDIRECT(RefCell_R77),(data_Pt100[[#This Row],[Rpcb]]*INDIRECT(RefCell_R77))/(data_Pt100[[#This Row],[Rpcb]]+INDIRECT(RefCell_R77)),data_Pt100[[#This Row],[Rpcb]])</f>
        <v>102.88</v>
      </c>
    </row>
    <row r="19" spans="1:15" x14ac:dyDescent="0.25">
      <c r="A19" t="s">
        <v>33</v>
      </c>
      <c r="B19" s="8">
        <v>9</v>
      </c>
      <c r="C19" s="9">
        <f>data_Pt100[[#This Row],[θ]]*$N$23+$O$23</f>
        <v>103.47579999999999</v>
      </c>
      <c r="D19" s="9" cm="1">
        <f t="array" aca="1" ref="D19" ca="1">INDIRECT(RefCell_Rpot)+SUM($G$3:G19)</f>
        <v>103.5</v>
      </c>
      <c r="E19" s="9">
        <f ca="1">data_Pt100[[#This Row],[Rpcb]]-data_Pt100[[#This Row],[Rsonde]]</f>
        <v>2.4200000000007549E-2</v>
      </c>
      <c r="F19" s="4">
        <f ca="1">data_Pt100[[#This Row],[Diff R]]/data_Pt100[[#This Row],[Rsonde]]</f>
        <v>2.3387110802726386E-4</v>
      </c>
      <c r="G19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19" s="9" cm="1">
        <f t="array" aca="1" ref="H19" ca="1">MAX(IF(ResValuesR24&lt;=ROUND(data_Pt100[[#This Row],[Rsonde]],2)-IF(data_Pt100[[#This Row],[Rsonde]]=MIN(data_Pt100[Rsonde]),100,$D18),ResValuesR24))</f>
        <v>0.55999999999999994</v>
      </c>
      <c r="I19" s="9">
        <f ca="1">ROUND(data_Pt100[[#This Row],[RaddLow]]+(IF(data_Pt100[[#This Row],[Rsonde]]=MIN(data_Pt100[Rsonde]),0,$D18)-data_Pt100[[#This Row],[Rsonde]]),2)</f>
        <v>-0.04</v>
      </c>
      <c r="J19" s="9" cm="1">
        <f t="array" aca="1" ref="J19" ca="1">MIN(IF(ResValuesR24&gt;=ROUND(data_Pt100[[#This Row],[Rsonde]],2)-IF(data_Pt100[[#This Row],[Rsonde]]=MIN(data_Pt100[Rsonde]),100,$D18),ResValuesR24))</f>
        <v>0.62000000000000011</v>
      </c>
      <c r="K19" s="9">
        <f ca="1">ROUND(data_Pt100[[#This Row],[RaddHigh]]+(IF(data_Pt100[[#This Row],[Rsonde]]=MIN(data_Pt100[Rsonde]),0,$D18)-data_Pt100[[#This Row],[Rsonde]]),2)</f>
        <v>0.02</v>
      </c>
      <c r="L19" s="2" cm="1">
        <f t="array" aca="1" ref="L19" ca="1">IF(INDIRECT(RefCell_R77),(data_Pt100[[#This Row],[Rpcb]]*INDIRECT(RefCell_R77))/(data_Pt100[[#This Row],[Rpcb]]+INDIRECT(RefCell_R77)),data_Pt100[[#This Row],[Rpcb]])</f>
        <v>103.5</v>
      </c>
      <c r="N19" s="37" t="s">
        <v>258</v>
      </c>
    </row>
    <row r="20" spans="1:15" x14ac:dyDescent="0.25">
      <c r="A20" t="s">
        <v>34</v>
      </c>
      <c r="B20" s="8">
        <v>10.5</v>
      </c>
      <c r="C20" s="9">
        <f>data_Pt100[[#This Row],[θ]]*$N$23+$O$23</f>
        <v>104.06109999999998</v>
      </c>
      <c r="D20" s="9" cm="1">
        <f t="array" aca="1" ref="D20" ca="1">INDIRECT(RefCell_Rpot)+SUM($G$3:G20)</f>
        <v>104.06</v>
      </c>
      <c r="E20" s="9">
        <f ca="1">data_Pt100[[#This Row],[Rpcb]]-data_Pt100[[#This Row],[Rsonde]]</f>
        <v>-1.0999999999796728E-3</v>
      </c>
      <c r="F20" s="4">
        <f ca="1">data_Pt100[[#This Row],[Diff R]]/data_Pt100[[#This Row],[Rsonde]]</f>
        <v>-1.0570712782967632E-5</v>
      </c>
      <c r="G20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20" s="9" cm="1">
        <f t="array" aca="1" ref="H20" ca="1">MAX(IF(ResValuesR24&lt;=ROUND(data_Pt100[[#This Row],[Rsonde]],2)-IF(data_Pt100[[#This Row],[Rsonde]]=MIN(data_Pt100[Rsonde]),100,$D19),ResValuesR24))</f>
        <v>0.55999999999999994</v>
      </c>
      <c r="I20" s="9">
        <f ca="1">ROUND(data_Pt100[[#This Row],[RaddLow]]+(IF(data_Pt100[[#This Row],[Rsonde]]=MIN(data_Pt100[Rsonde]),0,$D19)-data_Pt100[[#This Row],[Rsonde]]),2)</f>
        <v>0</v>
      </c>
      <c r="J20" s="9" cm="1">
        <f t="array" aca="1" ref="J20" ca="1">MIN(IF(ResValuesR24&gt;=ROUND(data_Pt100[[#This Row],[Rsonde]],2)-IF(data_Pt100[[#This Row],[Rsonde]]=MIN(data_Pt100[Rsonde]),100,$D19),ResValuesR24))</f>
        <v>0.62000000000000011</v>
      </c>
      <c r="K20" s="9">
        <f ca="1">ROUND(data_Pt100[[#This Row],[RaddHigh]]+(IF(data_Pt100[[#This Row],[Rsonde]]=MIN(data_Pt100[Rsonde]),0,$D19)-data_Pt100[[#This Row],[Rsonde]]),2)</f>
        <v>0.06</v>
      </c>
      <c r="L20" s="2" cm="1">
        <f t="array" aca="1" ref="L20" ca="1">IF(INDIRECT(RefCell_R77),(data_Pt100[[#This Row],[Rpcb]]*INDIRECT(RefCell_R77))/(data_Pt100[[#This Row],[Rpcb]]+INDIRECT(RefCell_R77)),data_Pt100[[#This Row],[Rpcb]])</f>
        <v>104.06</v>
      </c>
      <c r="N20">
        <v>-20</v>
      </c>
      <c r="O20">
        <v>92.16</v>
      </c>
    </row>
    <row r="21" spans="1:15" x14ac:dyDescent="0.25">
      <c r="A21" t="s">
        <v>35</v>
      </c>
      <c r="B21" s="8">
        <v>12</v>
      </c>
      <c r="C21" s="9">
        <f>data_Pt100[[#This Row],[θ]]*$N$23+$O$23</f>
        <v>104.64639999999999</v>
      </c>
      <c r="D21" s="9" cm="1">
        <f t="array" aca="1" ref="D21" ca="1">INDIRECT(RefCell_Rpot)+SUM($G$3:G21)</f>
        <v>104.68</v>
      </c>
      <c r="E21" s="9">
        <f ca="1">data_Pt100[[#This Row],[Rpcb]]-data_Pt100[[#This Row],[Rsonde]]</f>
        <v>3.3600000000021168E-2</v>
      </c>
      <c r="F21" s="4">
        <f ca="1">data_Pt100[[#This Row],[Diff R]]/data_Pt100[[#This Row],[Rsonde]]</f>
        <v>3.2108127943265293E-4</v>
      </c>
      <c r="G21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21" s="9" cm="1">
        <f t="array" aca="1" ref="H21" ca="1">MAX(IF(ResValuesR24&lt;=ROUND(data_Pt100[[#This Row],[Rsonde]],2)-IF(data_Pt100[[#This Row],[Rsonde]]=MIN(data_Pt100[Rsonde]),100,$D20),ResValuesR24))</f>
        <v>0.55999999999999994</v>
      </c>
      <c r="I21" s="9">
        <f ca="1">ROUND(data_Pt100[[#This Row],[RaddLow]]+(IF(data_Pt100[[#This Row],[Rsonde]]=MIN(data_Pt100[Rsonde]),0,$D20)-data_Pt100[[#This Row],[Rsonde]]),2)</f>
        <v>-0.03</v>
      </c>
      <c r="J21" s="9" cm="1">
        <f t="array" aca="1" ref="J21" ca="1">MIN(IF(ResValuesR24&gt;=ROUND(data_Pt100[[#This Row],[Rsonde]],2)-IF(data_Pt100[[#This Row],[Rsonde]]=MIN(data_Pt100[Rsonde]),100,$D20),ResValuesR24))</f>
        <v>0.62000000000000011</v>
      </c>
      <c r="K21" s="9">
        <f ca="1">ROUND(data_Pt100[[#This Row],[RaddHigh]]+(IF(data_Pt100[[#This Row],[Rsonde]]=MIN(data_Pt100[Rsonde]),0,$D20)-data_Pt100[[#This Row],[Rsonde]]),2)</f>
        <v>0.03</v>
      </c>
      <c r="L21" s="2" cm="1">
        <f t="array" aca="1" ref="L21" ca="1">IF(INDIRECT(RefCell_R77),(data_Pt100[[#This Row],[Rpcb]]*INDIRECT(RefCell_R77))/(data_Pt100[[#This Row],[Rpcb]]+INDIRECT(RefCell_R77)),data_Pt100[[#This Row],[Rpcb]])</f>
        <v>104.68</v>
      </c>
      <c r="N21">
        <v>30</v>
      </c>
      <c r="O21">
        <v>111.67</v>
      </c>
    </row>
    <row r="22" spans="1:15" x14ac:dyDescent="0.25">
      <c r="A22" t="s">
        <v>36</v>
      </c>
      <c r="B22" s="8">
        <v>13.5</v>
      </c>
      <c r="C22" s="9">
        <f>data_Pt100[[#This Row],[θ]]*$N$23+$O$23</f>
        <v>105.23169999999999</v>
      </c>
      <c r="D22" s="9" cm="1">
        <f t="array" aca="1" ref="D22" ca="1">INDIRECT(RefCell_Rpot)+SUM($G$3:G22)</f>
        <v>105.24</v>
      </c>
      <c r="E22" s="9">
        <f ca="1">data_Pt100[[#This Row],[Rpcb]]-data_Pt100[[#This Row],[Rsonde]]</f>
        <v>8.3000000000055252E-3</v>
      </c>
      <c r="F22" s="4">
        <f ca="1">data_Pt100[[#This Row],[Diff R]]/data_Pt100[[#This Row],[Rsonde]]</f>
        <v>7.8873571366855482E-5</v>
      </c>
      <c r="G22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22" s="9" cm="1">
        <f t="array" aca="1" ref="H22" ca="1">MAX(IF(ResValuesR24&lt;=ROUND(data_Pt100[[#This Row],[Rsonde]],2)-IF(data_Pt100[[#This Row],[Rsonde]]=MIN(data_Pt100[Rsonde]),100,$D21),ResValuesR24))</f>
        <v>0.51</v>
      </c>
      <c r="I22" s="9">
        <f ca="1">ROUND(data_Pt100[[#This Row],[RaddLow]]+(IF(data_Pt100[[#This Row],[Rsonde]]=MIN(data_Pt100[Rsonde]),0,$D21)-data_Pt100[[#This Row],[Rsonde]]),2)</f>
        <v>-0.04</v>
      </c>
      <c r="J22" s="9" cm="1">
        <f t="array" aca="1" ref="J22" ca="1">MIN(IF(ResValuesR24&gt;=ROUND(data_Pt100[[#This Row],[Rsonde]],2)-IF(data_Pt100[[#This Row],[Rsonde]]=MIN(data_Pt100[Rsonde]),100,$D21),ResValuesR24))</f>
        <v>0.55999999999999994</v>
      </c>
      <c r="K22" s="9">
        <f ca="1">ROUND(data_Pt100[[#This Row],[RaddHigh]]+(IF(data_Pt100[[#This Row],[Rsonde]]=MIN(data_Pt100[Rsonde]),0,$D21)-data_Pt100[[#This Row],[Rsonde]]),2)</f>
        <v>0.01</v>
      </c>
      <c r="L22" s="2" cm="1">
        <f t="array" aca="1" ref="L22" ca="1">IF(INDIRECT(RefCell_R77),(data_Pt100[[#This Row],[Rpcb]]*INDIRECT(RefCell_R77))/(data_Pt100[[#This Row],[Rpcb]]+INDIRECT(RefCell_R77)),data_Pt100[[#This Row],[Rpcb]])</f>
        <v>105.24</v>
      </c>
      <c r="N22" t="s">
        <v>181</v>
      </c>
      <c r="O22" t="s">
        <v>182</v>
      </c>
    </row>
    <row r="23" spans="1:15" x14ac:dyDescent="0.25">
      <c r="A23" t="s">
        <v>37</v>
      </c>
      <c r="B23" s="8">
        <v>15</v>
      </c>
      <c r="C23" s="9">
        <f>data_Pt100[[#This Row],[θ]]*$N$23+$O$23</f>
        <v>105.81699999999999</v>
      </c>
      <c r="D23" s="9" cm="1">
        <f t="array" aca="1" ref="D23" ca="1">INDIRECT(RefCell_Rpot)+SUM($G$3:G23)</f>
        <v>105.8</v>
      </c>
      <c r="E23" s="9">
        <f ca="1">data_Pt100[[#This Row],[Rpcb]]-data_Pt100[[#This Row],[Rsonde]]</f>
        <v>-1.6999999999995907E-2</v>
      </c>
      <c r="F23" s="4">
        <f ca="1">data_Pt100[[#This Row],[Diff R]]/data_Pt100[[#This Row],[Rsonde]]</f>
        <v>-1.6065471521585292E-4</v>
      </c>
      <c r="G23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23" s="9" cm="1">
        <f t="array" aca="1" ref="H23" ca="1">MAX(IF(ResValuesR24&lt;=ROUND(data_Pt100[[#This Row],[Rsonde]],2)-IF(data_Pt100[[#This Row],[Rsonde]]=MIN(data_Pt100[Rsonde]),100,$D22),ResValuesR24))</f>
        <v>0.55999999999999994</v>
      </c>
      <c r="I23" s="9">
        <f ca="1">ROUND(data_Pt100[[#This Row],[RaddLow]]+(IF(data_Pt100[[#This Row],[Rsonde]]=MIN(data_Pt100[Rsonde]),0,$D22)-data_Pt100[[#This Row],[Rsonde]]),2)</f>
        <v>-0.02</v>
      </c>
      <c r="J23" s="9" cm="1">
        <f t="array" aca="1" ref="J23" ca="1">MIN(IF(ResValuesR24&gt;=ROUND(data_Pt100[[#This Row],[Rsonde]],2)-IF(data_Pt100[[#This Row],[Rsonde]]=MIN(data_Pt100[Rsonde]),100,$D22),ResValuesR24))</f>
        <v>0.62000000000000011</v>
      </c>
      <c r="K23" s="9">
        <f ca="1">ROUND(data_Pt100[[#This Row],[RaddHigh]]+(IF(data_Pt100[[#This Row],[Rsonde]]=MIN(data_Pt100[Rsonde]),0,$D22)-data_Pt100[[#This Row],[Rsonde]]),2)</f>
        <v>0.04</v>
      </c>
      <c r="L23" s="2" cm="1">
        <f t="array" aca="1" ref="L23" ca="1">IF(INDIRECT(RefCell_R77),(data_Pt100[[#This Row],[Rpcb]]*INDIRECT(RefCell_R77))/(data_Pt100[[#This Row],[Rpcb]]+INDIRECT(RefCell_R77)),data_Pt100[[#This Row],[Rpcb]])</f>
        <v>105.8</v>
      </c>
      <c r="N23" cm="1">
        <f t="array" ref="N23:O23">LINEST(O20:O21,N20:N21)</f>
        <v>0.39020000000000021</v>
      </c>
      <c r="O23">
        <v>99.963999999999984</v>
      </c>
    </row>
    <row r="24" spans="1:15" x14ac:dyDescent="0.25">
      <c r="A24" t="s">
        <v>38</v>
      </c>
      <c r="B24" s="8">
        <v>16.5</v>
      </c>
      <c r="C24" s="9">
        <f>data_Pt100[[#This Row],[θ]]*$N$23+$O$23</f>
        <v>106.40229999999998</v>
      </c>
      <c r="D24" s="9" cm="1">
        <f t="array" aca="1" ref="D24" ca="1">INDIRECT(RefCell_Rpot)+SUM($G$3:G24)</f>
        <v>106.42</v>
      </c>
      <c r="E24" s="9">
        <f ca="1">data_Pt100[[#This Row],[Rpcb]]-data_Pt100[[#This Row],[Rsonde]]</f>
        <v>1.7700000000019145E-2</v>
      </c>
      <c r="F24" s="4">
        <f ca="1">data_Pt100[[#This Row],[Diff R]]/data_Pt100[[#This Row],[Rsonde]]</f>
        <v>1.6634978755176484E-4</v>
      </c>
      <c r="G24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24" s="9" cm="1">
        <f t="array" aca="1" ref="H24" ca="1">MAX(IF(ResValuesR24&lt;=ROUND(data_Pt100[[#This Row],[Rsonde]],2)-IF(data_Pt100[[#This Row],[Rsonde]]=MIN(data_Pt100[Rsonde]),100,$D23),ResValuesR24))</f>
        <v>0.55999999999999994</v>
      </c>
      <c r="I24" s="9">
        <f ca="1">ROUND(data_Pt100[[#This Row],[RaddLow]]+(IF(data_Pt100[[#This Row],[Rsonde]]=MIN(data_Pt100[Rsonde]),0,$D23)-data_Pt100[[#This Row],[Rsonde]]),2)</f>
        <v>-0.04</v>
      </c>
      <c r="J24" s="9" cm="1">
        <f t="array" aca="1" ref="J24" ca="1">MIN(IF(ResValuesR24&gt;=ROUND(data_Pt100[[#This Row],[Rsonde]],2)-IF(data_Pt100[[#This Row],[Rsonde]]=MIN(data_Pt100[Rsonde]),100,$D23),ResValuesR24))</f>
        <v>0.62000000000000011</v>
      </c>
      <c r="K24" s="9">
        <f ca="1">ROUND(data_Pt100[[#This Row],[RaddHigh]]+(IF(data_Pt100[[#This Row],[Rsonde]]=MIN(data_Pt100[Rsonde]),0,$D23)-data_Pt100[[#This Row],[Rsonde]]),2)</f>
        <v>0.02</v>
      </c>
      <c r="L24" s="2" cm="1">
        <f t="array" aca="1" ref="L24" ca="1">IF(INDIRECT(RefCell_R77),(data_Pt100[[#This Row],[Rpcb]]*INDIRECT(RefCell_R77))/(data_Pt100[[#This Row],[Rpcb]]+INDIRECT(RefCell_R77)),data_Pt100[[#This Row],[Rpcb]])</f>
        <v>106.42</v>
      </c>
    </row>
    <row r="25" spans="1:15" x14ac:dyDescent="0.25">
      <c r="A25" t="s">
        <v>39</v>
      </c>
      <c r="B25" s="8">
        <v>18</v>
      </c>
      <c r="C25" s="9">
        <f>data_Pt100[[#This Row],[θ]]*$N$23+$O$23</f>
        <v>106.98759999999999</v>
      </c>
      <c r="D25" s="9" cm="1">
        <f t="array" aca="1" ref="D25" ca="1">INDIRECT(RefCell_Rpot)+SUM($G$3:G25)</f>
        <v>106.98</v>
      </c>
      <c r="E25" s="9">
        <f ca="1">data_Pt100[[#This Row],[Rpcb]]-data_Pt100[[#This Row],[Rsonde]]</f>
        <v>-7.5999999999822876E-3</v>
      </c>
      <c r="F25" s="4">
        <f ca="1">data_Pt100[[#This Row],[Diff R]]/data_Pt100[[#This Row],[Rsonde]]</f>
        <v>-7.1036269623603936E-5</v>
      </c>
      <c r="G25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25" s="9" cm="1">
        <f t="array" aca="1" ref="H25" ca="1">MAX(IF(ResValuesR24&lt;=ROUND(data_Pt100[[#This Row],[Rsonde]],2)-IF(data_Pt100[[#This Row],[Rsonde]]=MIN(data_Pt100[Rsonde]),100,$D24),ResValuesR24))</f>
        <v>0.55999999999999994</v>
      </c>
      <c r="I25" s="9">
        <f ca="1">ROUND(data_Pt100[[#This Row],[RaddLow]]+(IF(data_Pt100[[#This Row],[Rsonde]]=MIN(data_Pt100[Rsonde]),0,$D24)-data_Pt100[[#This Row],[Rsonde]]),2)</f>
        <v>-0.01</v>
      </c>
      <c r="J25" s="9" cm="1">
        <f t="array" aca="1" ref="J25" ca="1">MIN(IF(ResValuesR24&gt;=ROUND(data_Pt100[[#This Row],[Rsonde]],2)-IF(data_Pt100[[#This Row],[Rsonde]]=MIN(data_Pt100[Rsonde]),100,$D24),ResValuesR24))</f>
        <v>0.62000000000000011</v>
      </c>
      <c r="K25" s="9">
        <f ca="1">ROUND(data_Pt100[[#This Row],[RaddHigh]]+(IF(data_Pt100[[#This Row],[Rsonde]]=MIN(data_Pt100[Rsonde]),0,$D24)-data_Pt100[[#This Row],[Rsonde]]),2)</f>
        <v>0.05</v>
      </c>
      <c r="L25" s="2" cm="1">
        <f t="array" aca="1" ref="L25" ca="1">IF(INDIRECT(RefCell_R77),(data_Pt100[[#This Row],[Rpcb]]*INDIRECT(RefCell_R77))/(data_Pt100[[#This Row],[Rpcb]]+INDIRECT(RefCell_R77)),data_Pt100[[#This Row],[Rpcb]])</f>
        <v>106.98</v>
      </c>
    </row>
    <row r="26" spans="1:15" x14ac:dyDescent="0.25">
      <c r="A26" t="s">
        <v>40</v>
      </c>
      <c r="B26" s="8">
        <v>19.5</v>
      </c>
      <c r="C26" s="9">
        <f>data_Pt100[[#This Row],[θ]]*$N$23+$O$23</f>
        <v>107.57289999999999</v>
      </c>
      <c r="D26" s="9" cm="1">
        <f t="array" aca="1" ref="D26" ca="1">INDIRECT(RefCell_Rpot)+SUM($G$3:G26)</f>
        <v>107.6</v>
      </c>
      <c r="E26" s="9">
        <f ca="1">data_Pt100[[#This Row],[Rpcb]]-data_Pt100[[#This Row],[Rsonde]]</f>
        <v>2.7100000000004343E-2</v>
      </c>
      <c r="F26" s="4">
        <f ca="1">data_Pt100[[#This Row],[Diff R]]/data_Pt100[[#This Row],[Rsonde]]</f>
        <v>2.5192218486258479E-4</v>
      </c>
      <c r="G26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26" s="9" cm="1">
        <f t="array" aca="1" ref="H26" ca="1">MAX(IF(ResValuesR24&lt;=ROUND(data_Pt100[[#This Row],[Rsonde]],2)-IF(data_Pt100[[#This Row],[Rsonde]]=MIN(data_Pt100[Rsonde]),100,$D25),ResValuesR24))</f>
        <v>0.55999999999999994</v>
      </c>
      <c r="I26" s="9">
        <f ca="1">ROUND(data_Pt100[[#This Row],[RaddLow]]+(IF(data_Pt100[[#This Row],[Rsonde]]=MIN(data_Pt100[Rsonde]),0,$D25)-data_Pt100[[#This Row],[Rsonde]]),2)</f>
        <v>-0.03</v>
      </c>
      <c r="J26" s="9" cm="1">
        <f t="array" aca="1" ref="J26" ca="1">MIN(IF(ResValuesR24&gt;=ROUND(data_Pt100[[#This Row],[Rsonde]],2)-IF(data_Pt100[[#This Row],[Rsonde]]=MIN(data_Pt100[Rsonde]),100,$D25),ResValuesR24))</f>
        <v>0.62000000000000011</v>
      </c>
      <c r="K26" s="9">
        <f ca="1">ROUND(data_Pt100[[#This Row],[RaddHigh]]+(IF(data_Pt100[[#This Row],[Rsonde]]=MIN(data_Pt100[Rsonde]),0,$D25)-data_Pt100[[#This Row],[Rsonde]]),2)</f>
        <v>0.03</v>
      </c>
      <c r="L26" s="2" cm="1">
        <f t="array" aca="1" ref="L26" ca="1">IF(INDIRECT(RefCell_R77),(data_Pt100[[#This Row],[Rpcb]]*INDIRECT(RefCell_R77))/(data_Pt100[[#This Row],[Rpcb]]+INDIRECT(RefCell_R77)),data_Pt100[[#This Row],[Rpcb]])</f>
        <v>107.6</v>
      </c>
    </row>
    <row r="27" spans="1:15" x14ac:dyDescent="0.25">
      <c r="A27" t="s">
        <v>41</v>
      </c>
      <c r="B27" s="8">
        <v>21</v>
      </c>
      <c r="C27" s="9">
        <f>data_Pt100[[#This Row],[θ]]*$N$23+$O$23</f>
        <v>108.15819999999999</v>
      </c>
      <c r="D27" s="9" cm="1">
        <f t="array" aca="1" ref="D27" ca="1">INDIRECT(RefCell_Rpot)+SUM($G$3:G27)</f>
        <v>108.16</v>
      </c>
      <c r="E27" s="9">
        <f ca="1">data_Pt100[[#This Row],[Rpcb]]-data_Pt100[[#This Row],[Rsonde]]</f>
        <v>1.8000000000029104E-3</v>
      </c>
      <c r="F27" s="4">
        <f ca="1">data_Pt100[[#This Row],[Diff R]]/data_Pt100[[#This Row],[Rsonde]]</f>
        <v>1.6642288795513522E-5</v>
      </c>
      <c r="G27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27" s="9" cm="1">
        <f t="array" aca="1" ref="H27" ca="1">MAX(IF(ResValuesR24&lt;=ROUND(data_Pt100[[#This Row],[Rsonde]],2)-IF(data_Pt100[[#This Row],[Rsonde]]=MIN(data_Pt100[Rsonde]),100,$D26),ResValuesR24))</f>
        <v>0.55999999999999994</v>
      </c>
      <c r="I27" s="9">
        <f ca="1">ROUND(data_Pt100[[#This Row],[RaddLow]]+(IF(data_Pt100[[#This Row],[Rsonde]]=MIN(data_Pt100[Rsonde]),0,$D26)-data_Pt100[[#This Row],[Rsonde]]),2)</f>
        <v>0</v>
      </c>
      <c r="J27" s="9" cm="1">
        <f t="array" aca="1" ref="J27" ca="1">MIN(IF(ResValuesR24&gt;=ROUND(data_Pt100[[#This Row],[Rsonde]],2)-IF(data_Pt100[[#This Row],[Rsonde]]=MIN(data_Pt100[Rsonde]),100,$D26),ResValuesR24))</f>
        <v>0.62000000000000011</v>
      </c>
      <c r="K27" s="9">
        <f ca="1">ROUND(data_Pt100[[#This Row],[RaddHigh]]+(IF(data_Pt100[[#This Row],[Rsonde]]=MIN(data_Pt100[Rsonde]),0,$D26)-data_Pt100[[#This Row],[Rsonde]]),2)</f>
        <v>0.06</v>
      </c>
      <c r="L27" s="2" cm="1">
        <f t="array" aca="1" ref="L27" ca="1">IF(INDIRECT(RefCell_R77),(data_Pt100[[#This Row],[Rpcb]]*INDIRECT(RefCell_R77))/(data_Pt100[[#This Row],[Rpcb]]+INDIRECT(RefCell_R77)),data_Pt100[[#This Row],[Rpcb]])</f>
        <v>108.16</v>
      </c>
    </row>
    <row r="28" spans="1:15" x14ac:dyDescent="0.25">
      <c r="A28" t="s">
        <v>42</v>
      </c>
      <c r="B28" s="8">
        <v>22.5</v>
      </c>
      <c r="C28" s="9">
        <f>data_Pt100[[#This Row],[θ]]*$N$23+$O$23</f>
        <v>108.74349999999998</v>
      </c>
      <c r="D28" s="9" cm="1">
        <f t="array" aca="1" ref="D28" ca="1">INDIRECT(RefCell_Rpot)+SUM($G$3:G28)</f>
        <v>108.72</v>
      </c>
      <c r="E28" s="9">
        <f ca="1">data_Pt100[[#This Row],[Rpcb]]-data_Pt100[[#This Row],[Rsonde]]</f>
        <v>-2.3499999999984311E-2</v>
      </c>
      <c r="F28" s="4">
        <f ca="1">data_Pt100[[#This Row],[Diff R]]/data_Pt100[[#This Row],[Rsonde]]</f>
        <v>-2.1610487063580182E-4</v>
      </c>
      <c r="G28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28" s="9" cm="1">
        <f t="array" aca="1" ref="H28" ca="1">MAX(IF(ResValuesR24&lt;=ROUND(data_Pt100[[#This Row],[Rsonde]],2)-IF(data_Pt100[[#This Row],[Rsonde]]=MIN(data_Pt100[Rsonde]),100,$D27),ResValuesR24))</f>
        <v>0.55999999999999994</v>
      </c>
      <c r="I28" s="9">
        <f ca="1">ROUND(data_Pt100[[#This Row],[RaddLow]]+(IF(data_Pt100[[#This Row],[Rsonde]]=MIN(data_Pt100[Rsonde]),0,$D27)-data_Pt100[[#This Row],[Rsonde]]),2)</f>
        <v>-0.02</v>
      </c>
      <c r="J28" s="9" cm="1">
        <f t="array" aca="1" ref="J28" ca="1">MIN(IF(ResValuesR24&gt;=ROUND(data_Pt100[[#This Row],[Rsonde]],2)-IF(data_Pt100[[#This Row],[Rsonde]]=MIN(data_Pt100[Rsonde]),100,$D27),ResValuesR24))</f>
        <v>0.62000000000000011</v>
      </c>
      <c r="K28" s="9">
        <f ca="1">ROUND(data_Pt100[[#This Row],[RaddHigh]]+(IF(data_Pt100[[#This Row],[Rsonde]]=MIN(data_Pt100[Rsonde]),0,$D27)-data_Pt100[[#This Row],[Rsonde]]),2)</f>
        <v>0.04</v>
      </c>
      <c r="L28" s="2" cm="1">
        <f t="array" aca="1" ref="L28" ca="1">IF(INDIRECT(RefCell_R77),(data_Pt100[[#This Row],[Rpcb]]*INDIRECT(RefCell_R77))/(data_Pt100[[#This Row],[Rpcb]]+INDIRECT(RefCell_R77)),data_Pt100[[#This Row],[Rpcb]])</f>
        <v>108.72</v>
      </c>
    </row>
    <row r="29" spans="1:15" x14ac:dyDescent="0.25">
      <c r="A29" t="s">
        <v>43</v>
      </c>
      <c r="B29" s="8">
        <v>24</v>
      </c>
      <c r="C29" s="9">
        <f>data_Pt100[[#This Row],[θ]]*$N$23+$O$23</f>
        <v>109.32879999999999</v>
      </c>
      <c r="D29" s="9" cm="1">
        <f t="array" aca="1" ref="D29" ca="1">INDIRECT(RefCell_Rpot)+SUM($G$3:G29)</f>
        <v>109.34</v>
      </c>
      <c r="E29" s="9">
        <f ca="1">data_Pt100[[#This Row],[Rpcb]]-data_Pt100[[#This Row],[Rsonde]]</f>
        <v>1.120000000001653E-2</v>
      </c>
      <c r="F29" s="4">
        <f ca="1">data_Pt100[[#This Row],[Diff R]]/data_Pt100[[#This Row],[Rsonde]]</f>
        <v>1.024432720382601E-4</v>
      </c>
      <c r="G29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29" s="9" cm="1">
        <f t="array" aca="1" ref="H29" ca="1">MAX(IF(ResValuesR24&lt;=ROUND(data_Pt100[[#This Row],[Rsonde]],2)-IF(data_Pt100[[#This Row],[Rsonde]]=MIN(data_Pt100[Rsonde]),100,$D28),ResValuesR24))</f>
        <v>0.55999999999999994</v>
      </c>
      <c r="I29" s="9">
        <f ca="1">ROUND(data_Pt100[[#This Row],[RaddLow]]+(IF(data_Pt100[[#This Row],[Rsonde]]=MIN(data_Pt100[Rsonde]),0,$D28)-data_Pt100[[#This Row],[Rsonde]]),2)</f>
        <v>-0.05</v>
      </c>
      <c r="J29" s="9" cm="1">
        <f t="array" aca="1" ref="J29" ca="1">MIN(IF(ResValuesR24&gt;=ROUND(data_Pt100[[#This Row],[Rsonde]],2)-IF(data_Pt100[[#This Row],[Rsonde]]=MIN(data_Pt100[Rsonde]),100,$D28),ResValuesR24))</f>
        <v>0.62000000000000011</v>
      </c>
      <c r="K29" s="9">
        <f ca="1">ROUND(data_Pt100[[#This Row],[RaddHigh]]+(IF(data_Pt100[[#This Row],[Rsonde]]=MIN(data_Pt100[Rsonde]),0,$D28)-data_Pt100[[#This Row],[Rsonde]]),2)</f>
        <v>0.01</v>
      </c>
      <c r="L29" s="2" cm="1">
        <f t="array" aca="1" ref="L29" ca="1">IF(INDIRECT(RefCell_R77),(data_Pt100[[#This Row],[Rpcb]]*INDIRECT(RefCell_R77))/(data_Pt100[[#This Row],[Rpcb]]+INDIRECT(RefCell_R77)),data_Pt100[[#This Row],[Rpcb]])</f>
        <v>109.34</v>
      </c>
    </row>
    <row r="30" spans="1:15" x14ac:dyDescent="0.25">
      <c r="A30" t="s">
        <v>44</v>
      </c>
      <c r="B30" s="8">
        <v>25.5</v>
      </c>
      <c r="C30" s="9">
        <f>data_Pt100[[#This Row],[θ]]*$N$23+$O$23</f>
        <v>109.91409999999999</v>
      </c>
      <c r="D30" s="9" cm="1">
        <f t="array" aca="1" ref="D30" ca="1">INDIRECT(RefCell_Rpot)+SUM($G$3:G30)</f>
        <v>109.9</v>
      </c>
      <c r="E30" s="9">
        <f ca="1">data_Pt100[[#This Row],[Rpcb]]-data_Pt100[[#This Row],[Rsonde]]</f>
        <v>-1.4099999999984902E-2</v>
      </c>
      <c r="F30" s="4">
        <f ca="1">data_Pt100[[#This Row],[Diff R]]/data_Pt100[[#This Row],[Rsonde]]</f>
        <v>-1.2828199475758709E-4</v>
      </c>
      <c r="G30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30" s="9" cm="1">
        <f t="array" aca="1" ref="H30" ca="1">MAX(IF(ResValuesR24&lt;=ROUND(data_Pt100[[#This Row],[Rsonde]],2)-IF(data_Pt100[[#This Row],[Rsonde]]=MIN(data_Pt100[Rsonde]),100,$D29),ResValuesR24))</f>
        <v>0.55999999999999994</v>
      </c>
      <c r="I30" s="9">
        <f ca="1">ROUND(data_Pt100[[#This Row],[RaddLow]]+(IF(data_Pt100[[#This Row],[Rsonde]]=MIN(data_Pt100[Rsonde]),0,$D29)-data_Pt100[[#This Row],[Rsonde]]),2)</f>
        <v>-0.01</v>
      </c>
      <c r="J30" s="9" cm="1">
        <f t="array" aca="1" ref="J30" ca="1">MIN(IF(ResValuesR24&gt;=ROUND(data_Pt100[[#This Row],[Rsonde]],2)-IF(data_Pt100[[#This Row],[Rsonde]]=MIN(data_Pt100[Rsonde]),100,$D29),ResValuesR24))</f>
        <v>0.62000000000000011</v>
      </c>
      <c r="K30" s="9">
        <f ca="1">ROUND(data_Pt100[[#This Row],[RaddHigh]]+(IF(data_Pt100[[#This Row],[Rsonde]]=MIN(data_Pt100[Rsonde]),0,$D29)-data_Pt100[[#This Row],[Rsonde]]),2)</f>
        <v>0.05</v>
      </c>
      <c r="L30" s="2" cm="1">
        <f t="array" aca="1" ref="L30" ca="1">IF(INDIRECT(RefCell_R77),(data_Pt100[[#This Row],[Rpcb]]*INDIRECT(RefCell_R77))/(data_Pt100[[#This Row],[Rpcb]]+INDIRECT(RefCell_R77)),data_Pt100[[#This Row],[Rpcb]])</f>
        <v>109.9</v>
      </c>
    </row>
    <row r="31" spans="1:15" x14ac:dyDescent="0.25">
      <c r="A31" t="s">
        <v>45</v>
      </c>
      <c r="B31" s="8">
        <v>27</v>
      </c>
      <c r="C31" s="9">
        <f>data_Pt100[[#This Row],[θ]]*$N$23+$O$23</f>
        <v>110.49939999999999</v>
      </c>
      <c r="D31" s="9" cm="1">
        <f t="array" aca="1" ref="D31" ca="1">INDIRECT(RefCell_Rpot)+SUM($G$3:G31)</f>
        <v>110.52000000000001</v>
      </c>
      <c r="E31" s="9">
        <f ca="1">data_Pt100[[#This Row],[Rpcb]]-data_Pt100[[#This Row],[Rsonde]]</f>
        <v>2.0600000000015939E-2</v>
      </c>
      <c r="F31" s="4">
        <f ca="1">data_Pt100[[#This Row],[Diff R]]/data_Pt100[[#This Row],[Rsonde]]</f>
        <v>1.8642635163644274E-4</v>
      </c>
      <c r="G31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31" s="9" cm="1">
        <f t="array" aca="1" ref="H31" ca="1">MAX(IF(ResValuesR24&lt;=ROUND(data_Pt100[[#This Row],[Rsonde]],2)-IF(data_Pt100[[#This Row],[Rsonde]]=MIN(data_Pt100[Rsonde]),100,$D30),ResValuesR24))</f>
        <v>0.55999999999999994</v>
      </c>
      <c r="I31" s="9">
        <f ca="1">ROUND(data_Pt100[[#This Row],[RaddLow]]+(IF(data_Pt100[[#This Row],[Rsonde]]=MIN(data_Pt100[Rsonde]),0,$D30)-data_Pt100[[#This Row],[Rsonde]]),2)</f>
        <v>-0.04</v>
      </c>
      <c r="J31" s="9" cm="1">
        <f t="array" aca="1" ref="J31" ca="1">MIN(IF(ResValuesR24&gt;=ROUND(data_Pt100[[#This Row],[Rsonde]],2)-IF(data_Pt100[[#This Row],[Rsonde]]=MIN(data_Pt100[Rsonde]),100,$D30),ResValuesR24))</f>
        <v>0.62000000000000011</v>
      </c>
      <c r="K31" s="9">
        <f ca="1">ROUND(data_Pt100[[#This Row],[RaddHigh]]+(IF(data_Pt100[[#This Row],[Rsonde]]=MIN(data_Pt100[Rsonde]),0,$D30)-data_Pt100[[#This Row],[Rsonde]]),2)</f>
        <v>0.02</v>
      </c>
      <c r="L31" s="2" cm="1">
        <f t="array" aca="1" ref="L31" ca="1">IF(INDIRECT(RefCell_R77),(data_Pt100[[#This Row],[Rpcb]]*INDIRECT(RefCell_R77))/(data_Pt100[[#This Row],[Rpcb]]+INDIRECT(RefCell_R77)),data_Pt100[[#This Row],[Rpcb]])</f>
        <v>110.52000000000001</v>
      </c>
    </row>
    <row r="32" spans="1:15" x14ac:dyDescent="0.25">
      <c r="A32" t="s">
        <v>46</v>
      </c>
      <c r="B32" s="8">
        <v>28.5</v>
      </c>
      <c r="C32" s="9">
        <f>data_Pt100[[#This Row],[θ]]*$N$23+$O$23</f>
        <v>111.0847</v>
      </c>
      <c r="D32" s="9" cm="1">
        <f t="array" aca="1" ref="D32" ca="1">INDIRECT(RefCell_Rpot)+SUM($G$3:G32)</f>
        <v>111.08</v>
      </c>
      <c r="E32" s="9">
        <f ca="1">data_Pt100[[#This Row],[Rpcb]]-data_Pt100[[#This Row],[Rsonde]]</f>
        <v>-4.6999999999997044E-3</v>
      </c>
      <c r="F32" s="4">
        <f ca="1">data_Pt100[[#This Row],[Diff R]]/data_Pt100[[#This Row],[Rsonde]]</f>
        <v>-4.2310057100570149E-5</v>
      </c>
      <c r="G32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32" s="9" cm="1">
        <f t="array" aca="1" ref="H32" ca="1">MAX(IF(ResValuesR24&lt;=ROUND(data_Pt100[[#This Row],[Rsonde]],2)-IF(data_Pt100[[#This Row],[Rsonde]]=MIN(data_Pt100[Rsonde]),100,$D31),ResValuesR24))</f>
        <v>0.51</v>
      </c>
      <c r="I32" s="9">
        <f ca="1">ROUND(data_Pt100[[#This Row],[RaddLow]]+(IF(data_Pt100[[#This Row],[Rsonde]]=MIN(data_Pt100[Rsonde]),0,$D31)-data_Pt100[[#This Row],[Rsonde]]),2)</f>
        <v>-0.05</v>
      </c>
      <c r="J32" s="9" cm="1">
        <f t="array" aca="1" ref="J32" ca="1">MIN(IF(ResValuesR24&gt;=ROUND(data_Pt100[[#This Row],[Rsonde]],2)-IF(data_Pt100[[#This Row],[Rsonde]]=MIN(data_Pt100[Rsonde]),100,$D31),ResValuesR24))</f>
        <v>0.55999999999999994</v>
      </c>
      <c r="K32" s="9">
        <f ca="1">ROUND(data_Pt100[[#This Row],[RaddHigh]]+(IF(data_Pt100[[#This Row],[Rsonde]]=MIN(data_Pt100[Rsonde]),0,$D31)-data_Pt100[[#This Row],[Rsonde]]),2)</f>
        <v>0</v>
      </c>
      <c r="L32" s="2" cm="1">
        <f t="array" aca="1" ref="L32" ca="1">IF(INDIRECT(RefCell_R77),(data_Pt100[[#This Row],[Rpcb]]*INDIRECT(RefCell_R77))/(data_Pt100[[#This Row],[Rpcb]]+INDIRECT(RefCell_R77)),data_Pt100[[#This Row],[Rpcb]])</f>
        <v>111.08</v>
      </c>
    </row>
    <row r="33" spans="1:12" x14ac:dyDescent="0.25">
      <c r="A33" t="s">
        <v>47</v>
      </c>
      <c r="B33" s="8">
        <v>30</v>
      </c>
      <c r="C33" s="9">
        <f>data_Pt100[[#This Row],[θ]]*$N$23+$O$23</f>
        <v>111.66999999999999</v>
      </c>
      <c r="D33" s="9" cm="1">
        <f t="array" aca="1" ref="D33" ca="1">INDIRECT(RefCell_Rpot)+SUM($G$3:G33)</f>
        <v>111.7</v>
      </c>
      <c r="E33" s="9">
        <f ca="1">data_Pt100[[#This Row],[Rpcb]]-data_Pt100[[#This Row],[Rsonde]]</f>
        <v>3.0000000000015348E-2</v>
      </c>
      <c r="F33" s="4">
        <f ca="1">data_Pt100[[#This Row],[Diff R]]/data_Pt100[[#This Row],[Rsonde]]</f>
        <v>2.6864869705395673E-4</v>
      </c>
      <c r="G33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33" s="9" cm="1">
        <f t="array" aca="1" ref="H33" ca="1">MAX(IF(ResValuesR24&lt;=ROUND(data_Pt100[[#This Row],[Rsonde]],2)-IF(data_Pt100[[#This Row],[Rsonde]]=MIN(data_Pt100[Rsonde]),100,$D32),ResValuesR24))</f>
        <v>0.55999999999999994</v>
      </c>
      <c r="I33" s="9">
        <f ca="1">ROUND(data_Pt100[[#This Row],[RaddLow]]+(IF(data_Pt100[[#This Row],[Rsonde]]=MIN(data_Pt100[Rsonde]),0,$D32)-data_Pt100[[#This Row],[Rsonde]]),2)</f>
        <v>-0.03</v>
      </c>
      <c r="J33" s="9" cm="1">
        <f t="array" aca="1" ref="J33" ca="1">MIN(IF(ResValuesR24&gt;=ROUND(data_Pt100[[#This Row],[Rsonde]],2)-IF(data_Pt100[[#This Row],[Rsonde]]=MIN(data_Pt100[Rsonde]),100,$D32),ResValuesR24))</f>
        <v>0.62000000000000011</v>
      </c>
      <c r="K33" s="9">
        <f ca="1">ROUND(data_Pt100[[#This Row],[RaddHigh]]+(IF(data_Pt100[[#This Row],[Rsonde]]=MIN(data_Pt100[Rsonde]),0,$D32)-data_Pt100[[#This Row],[Rsonde]]),2)</f>
        <v>0.03</v>
      </c>
      <c r="L33" s="2" cm="1">
        <f t="array" aca="1" ref="L33" ca="1">IF(INDIRECT(RefCell_R77),(data_Pt100[[#This Row],[Rpcb]]*INDIRECT(RefCell_R77))/(data_Pt100[[#This Row],[Rpcb]]+INDIRECT(RefCell_R77)),data_Pt100[[#This Row],[Rpcb]])</f>
        <v>111.7</v>
      </c>
    </row>
    <row r="34" spans="1:12" x14ac:dyDescent="0.25">
      <c r="A34" t="s">
        <v>48</v>
      </c>
      <c r="B34" s="8">
        <v>31.5</v>
      </c>
      <c r="C34" s="9">
        <f>data_Pt100[[#This Row],[θ]]*$N$23+$O$23</f>
        <v>112.25529999999999</v>
      </c>
      <c r="D34" s="9" cm="1">
        <f t="array" aca="1" ref="D34" ca="1">INDIRECT(RefCell_Rpot)+SUM($G$3:G34)</f>
        <v>112.26</v>
      </c>
      <c r="E34" s="9">
        <f ca="1">data_Pt100[[#This Row],[Rpcb]]-data_Pt100[[#This Row],[Rsonde]]</f>
        <v>4.7000000000139153E-3</v>
      </c>
      <c r="F34" s="4">
        <f ca="1">data_Pt100[[#This Row],[Diff R]]/data_Pt100[[#This Row],[Rsonde]]</f>
        <v>4.1868847172595997E-5</v>
      </c>
      <c r="G34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34" s="9" cm="1">
        <f t="array" aca="1" ref="H34" ca="1">MAX(IF(ResValuesR24&lt;=ROUND(data_Pt100[[#This Row],[Rsonde]],2)-IF(data_Pt100[[#This Row],[Rsonde]]=MIN(data_Pt100[Rsonde]),100,$D33),ResValuesR24))</f>
        <v>0.55999999999999994</v>
      </c>
      <c r="I34" s="9">
        <f ca="1">ROUND(data_Pt100[[#This Row],[RaddLow]]+(IF(data_Pt100[[#This Row],[Rsonde]]=MIN(data_Pt100[Rsonde]),0,$D33)-data_Pt100[[#This Row],[Rsonde]]),2)</f>
        <v>0</v>
      </c>
      <c r="J34" s="9" cm="1">
        <f t="array" aca="1" ref="J34" ca="1">MIN(IF(ResValuesR24&gt;=ROUND(data_Pt100[[#This Row],[Rsonde]],2)-IF(data_Pt100[[#This Row],[Rsonde]]=MIN(data_Pt100[Rsonde]),100,$D33),ResValuesR24))</f>
        <v>0.62000000000000011</v>
      </c>
      <c r="K34" s="9">
        <f ca="1">ROUND(data_Pt100[[#This Row],[RaddHigh]]+(IF(data_Pt100[[#This Row],[Rsonde]]=MIN(data_Pt100[Rsonde]),0,$D33)-data_Pt100[[#This Row],[Rsonde]]),2)</f>
        <v>0.06</v>
      </c>
      <c r="L34" s="2" cm="1">
        <f t="array" aca="1" ref="L34" ca="1">IF(INDIRECT(RefCell_R77),(data_Pt100[[#This Row],[Rpcb]]*INDIRECT(RefCell_R77))/(data_Pt100[[#This Row],[Rpcb]]+INDIRECT(RefCell_R77)),data_Pt100[[#This Row],[Rpcb]])</f>
        <v>112.26</v>
      </c>
    </row>
  </sheetData>
  <mergeCells count="1">
    <mergeCell ref="A1:L1"/>
  </mergeCells>
  <conditionalFormatting sqref="F3:F34">
    <cfRule type="cellIs" dxfId="87" priority="1" operator="between">
      <formula>-0.005</formula>
      <formula>0.005</formula>
    </cfRule>
  </conditionalFormatting>
  <dataValidations count="1">
    <dataValidation type="list" allowBlank="1" showInputMessage="1" showErrorMessage="1" sqref="O3" xr:uid="{74C2FA58-4C7E-4579-A210-C00470F22272}">
      <formula1>INDIRECT("TableR77[R]")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0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1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2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3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4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5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6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FA06F-4FAF-4D0C-B92B-35788898B680}">
  <sheetPr codeName="Feuil19"/>
  <dimension ref="A1:P34"/>
  <sheetViews>
    <sheetView workbookViewId="0">
      <selection activeCell="N19" sqref="N19:O23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2">
        <f>ROUND(C3-G3,0)</f>
        <v>122</v>
      </c>
      <c r="P2" s="7" t="s">
        <v>113</v>
      </c>
    </row>
    <row r="3" spans="1:16" x14ac:dyDescent="0.25">
      <c r="A3" t="s">
        <v>17</v>
      </c>
      <c r="B3" s="8">
        <v>-15</v>
      </c>
      <c r="C3" s="9">
        <f>data_Pt1000[[#This Row],[θ]]*$N$23+$O$23</f>
        <v>941.5</v>
      </c>
      <c r="D3" s="9" cm="1">
        <f t="array" aca="1" ref="D3" ca="1">INDIRECT(RefCell_Rpot)+SUM($G$3:G3)</f>
        <v>941.99999999999989</v>
      </c>
      <c r="E3" s="9">
        <f ca="1">data_Pt1000[[#This Row],[Rpcb]]-data_Pt1000[[#This Row],[Rsonde]]</f>
        <v>0.49999999999988631</v>
      </c>
      <c r="F3" s="4">
        <f ca="1">data_Pt1000[[#This Row],[Diff R]]/data_Pt1000[[#This Row],[Rsonde]]</f>
        <v>5.3106744556546612E-4</v>
      </c>
      <c r="G3" s="9">
        <f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819.99999999999989</v>
      </c>
      <c r="H3" s="9" cm="1">
        <f t="array" ref="H3">MAX(IF(ResValuesR24&lt;=ROUND(data_Pt1000[[#This Row],[Rsonde]],2)-IF(data_Pt1000[[#This Row],[Rsonde]]=MIN(data_Pt1000[Rsonde]),100,$D2),ResValuesR24))</f>
        <v>819.99999999999989</v>
      </c>
      <c r="I3" s="9">
        <f>ROUND(data_Pt1000[[#This Row],[RaddLow]]+(IF(data_Pt1000[[#This Row],[Rsonde]]=MIN(data_Pt1000[Rsonde]),0,$D2)-data_Pt1000[[#This Row],[Rsonde]]),2)</f>
        <v>-121.5</v>
      </c>
      <c r="J3" s="9" cm="1">
        <f t="array" ref="J3">MIN(IF(ResValuesR24&gt;=ROUND(data_Pt1000[[#This Row],[Rsonde]],2)-IF(data_Pt1000[[#This Row],[Rsonde]]=MIN(data_Pt1000[Rsonde]),100,$D2),ResValuesR24))</f>
        <v>910</v>
      </c>
      <c r="K3" s="9">
        <f>ROUND(data_Pt1000[[#This Row],[RaddHigh]]+(IF(data_Pt1000[[#This Row],[Rsonde]]=MIN(data_Pt1000[Rsonde]),0,$D2)-data_Pt1000[[#This Row],[Rsonde]]),2)</f>
        <v>-31.5</v>
      </c>
      <c r="L3" s="2" cm="1">
        <f t="array" aca="1" ref="L3" ca="1">IF(INDIRECT(RefCell_R77),(data_Pt1000[[#This Row],[Rpcb]]*INDIRECT(RefCell_R77))/(data_Pt1000[[#This Row],[Rpcb]]+INDIRECT(RefCell_R77)),data_Pt1000[[#This Row],[Rpcb]])</f>
        <v>941.99999999999989</v>
      </c>
      <c r="N3" t="s">
        <v>112</v>
      </c>
      <c r="P3" s="7" t="s">
        <v>113</v>
      </c>
    </row>
    <row r="4" spans="1:16" x14ac:dyDescent="0.25">
      <c r="A4" t="s">
        <v>18</v>
      </c>
      <c r="B4" s="8">
        <v>-13.5</v>
      </c>
      <c r="C4" s="9">
        <f>data_Pt1000[[#This Row],[θ]]*$N$23+$O$23</f>
        <v>947.35</v>
      </c>
      <c r="D4" s="9" cm="1">
        <f t="array" aca="1" ref="D4" ca="1">INDIRECT(RefCell_Rpot)+SUM($G$3:G4)</f>
        <v>947.59999999999991</v>
      </c>
      <c r="E4" s="9">
        <f ca="1">data_Pt1000[[#This Row],[Rpcb]]-data_Pt1000[[#This Row],[Rsonde]]</f>
        <v>0.24999999999988631</v>
      </c>
      <c r="F4" s="4">
        <f ca="1">data_Pt1000[[#This Row],[Diff R]]/data_Pt1000[[#This Row],[Rsonde]]</f>
        <v>2.6389402016138312E-4</v>
      </c>
      <c r="G4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4" s="9" cm="1">
        <f t="array" aca="1" ref="H4" ca="1">MAX(IF(ResValuesR24&lt;=ROUND(data_Pt1000[[#This Row],[Rsonde]],2)-IF(data_Pt1000[[#This Row],[Rsonde]]=MIN(data_Pt1000[Rsonde]),100,$D3),ResValuesR24))</f>
        <v>5.0999999999999996</v>
      </c>
      <c r="I4" s="9">
        <f ca="1">ROUND(data_Pt1000[[#This Row],[RaddLow]]+(IF(data_Pt1000[[#This Row],[Rsonde]]=MIN(data_Pt1000[Rsonde]),0,$D3)-data_Pt1000[[#This Row],[Rsonde]]),2)</f>
        <v>-0.25</v>
      </c>
      <c r="J4" s="9" cm="1">
        <f t="array" aca="1" ref="J4" ca="1">MIN(IF(ResValuesR24&gt;=ROUND(data_Pt1000[[#This Row],[Rsonde]],2)-IF(data_Pt1000[[#This Row],[Rsonde]]=MIN(data_Pt1000[Rsonde]),100,$D3),ResValuesR24))</f>
        <v>5.6</v>
      </c>
      <c r="K4" s="9">
        <f ca="1">ROUND(data_Pt1000[[#This Row],[RaddHigh]]+(IF(data_Pt1000[[#This Row],[Rsonde]]=MIN(data_Pt1000[Rsonde]),0,$D3)-data_Pt1000[[#This Row],[Rsonde]]),2)</f>
        <v>0.25</v>
      </c>
      <c r="L4" s="2" cm="1">
        <f t="array" aca="1" ref="L4" ca="1">IF(INDIRECT(RefCell_R77),(data_Pt1000[[#This Row],[Rpcb]]*INDIRECT(RefCell_R77))/(data_Pt1000[[#This Row],[Rpcb]]+INDIRECT(RefCell_R77)),data_Pt1000[[#This Row],[Rpcb]])</f>
        <v>947.59999999999991</v>
      </c>
    </row>
    <row r="5" spans="1:16" x14ac:dyDescent="0.25">
      <c r="A5" t="s">
        <v>19</v>
      </c>
      <c r="B5" s="8">
        <v>-12</v>
      </c>
      <c r="C5" s="9">
        <f>data_Pt1000[[#This Row],[θ]]*$N$23+$O$23</f>
        <v>953.2</v>
      </c>
      <c r="D5" s="9" cm="1">
        <f t="array" aca="1" ref="D5" ca="1">INDIRECT(RefCell_Rpot)+SUM($G$3:G5)</f>
        <v>953.19999999999993</v>
      </c>
      <c r="E5" s="9">
        <f ca="1">data_Pt1000[[#This Row],[Rpcb]]-data_Pt1000[[#This Row],[Rsonde]]</f>
        <v>0</v>
      </c>
      <c r="F5" s="4">
        <f ca="1">data_Pt1000[[#This Row],[Diff R]]/data_Pt1000[[#This Row],[Rsonde]]</f>
        <v>0</v>
      </c>
      <c r="G5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5" s="9" cm="1">
        <f t="array" aca="1" ref="H5" ca="1">MAX(IF(ResValuesR24&lt;=ROUND(data_Pt1000[[#This Row],[Rsonde]],2)-IF(data_Pt1000[[#This Row],[Rsonde]]=MIN(data_Pt1000[Rsonde]),100,$D4),ResValuesR24))</f>
        <v>5.6</v>
      </c>
      <c r="I5" s="9">
        <f ca="1">ROUND(data_Pt1000[[#This Row],[RaddLow]]+(IF(data_Pt1000[[#This Row],[Rsonde]]=MIN(data_Pt1000[Rsonde]),0,$D4)-data_Pt1000[[#This Row],[Rsonde]]),2)</f>
        <v>0</v>
      </c>
      <c r="J5" s="9" cm="1">
        <f t="array" aca="1" ref="J5" ca="1">MIN(IF(ResValuesR24&gt;=ROUND(data_Pt1000[[#This Row],[Rsonde]],2)-IF(data_Pt1000[[#This Row],[Rsonde]]=MIN(data_Pt1000[Rsonde]),100,$D4),ResValuesR24))</f>
        <v>6.2</v>
      </c>
      <c r="K5" s="9">
        <f ca="1">ROUND(data_Pt1000[[#This Row],[RaddHigh]]+(IF(data_Pt1000[[#This Row],[Rsonde]]=MIN(data_Pt1000[Rsonde]),0,$D4)-data_Pt1000[[#This Row],[Rsonde]]),2)</f>
        <v>0.6</v>
      </c>
      <c r="L5" s="2" cm="1">
        <f t="array" aca="1" ref="L5" ca="1">IF(INDIRECT(RefCell_R77),(data_Pt1000[[#This Row],[Rpcb]]*INDIRECT(RefCell_R77))/(data_Pt1000[[#This Row],[Rpcb]]+INDIRECT(RefCell_R77)),data_Pt1000[[#This Row],[Rpcb]])</f>
        <v>953.19999999999993</v>
      </c>
      <c r="N5" s="1" t="s">
        <v>215</v>
      </c>
    </row>
    <row r="6" spans="1:16" x14ac:dyDescent="0.25">
      <c r="A6" t="s">
        <v>20</v>
      </c>
      <c r="B6" s="8">
        <v>-10.5</v>
      </c>
      <c r="C6" s="9">
        <f>data_Pt1000[[#This Row],[θ]]*$N$23+$O$23</f>
        <v>959.05</v>
      </c>
      <c r="D6" s="9" cm="1">
        <f t="array" aca="1" ref="D6" ca="1">INDIRECT(RefCell_Rpot)+SUM($G$3:G6)</f>
        <v>958.8</v>
      </c>
      <c r="E6" s="9">
        <f ca="1">data_Pt1000[[#This Row],[Rpcb]]-data_Pt1000[[#This Row],[Rsonde]]</f>
        <v>-0.25</v>
      </c>
      <c r="F6" s="4">
        <f ca="1">data_Pt1000[[#This Row],[Diff R]]/data_Pt1000[[#This Row],[Rsonde]]</f>
        <v>-2.6067462593191179E-4</v>
      </c>
      <c r="G6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6" s="9" cm="1">
        <f t="array" aca="1" ref="H6" ca="1">MAX(IF(ResValuesR24&lt;=ROUND(data_Pt1000[[#This Row],[Rsonde]],2)-IF(data_Pt1000[[#This Row],[Rsonde]]=MIN(data_Pt1000[Rsonde]),100,$D5),ResValuesR24))</f>
        <v>5.6</v>
      </c>
      <c r="I6" s="9">
        <f ca="1">ROUND(data_Pt1000[[#This Row],[RaddLow]]+(IF(data_Pt1000[[#This Row],[Rsonde]]=MIN(data_Pt1000[Rsonde]),0,$D5)-data_Pt1000[[#This Row],[Rsonde]]),2)</f>
        <v>-0.25</v>
      </c>
      <c r="J6" s="9" cm="1">
        <f t="array" aca="1" ref="J6" ca="1">MIN(IF(ResValuesR24&gt;=ROUND(data_Pt1000[[#This Row],[Rsonde]],2)-IF(data_Pt1000[[#This Row],[Rsonde]]=MIN(data_Pt1000[Rsonde]),100,$D5),ResValuesR24))</f>
        <v>6.2</v>
      </c>
      <c r="K6" s="9">
        <f ca="1">ROUND(data_Pt1000[[#This Row],[RaddHigh]]+(IF(data_Pt1000[[#This Row],[Rsonde]]=MIN(data_Pt1000[Rsonde]),0,$D5)-data_Pt1000[[#This Row],[Rsonde]]),2)</f>
        <v>0.35</v>
      </c>
      <c r="L6" s="2" cm="1">
        <f t="array" aca="1" ref="L6" ca="1">IF(INDIRECT(RefCell_R77),(data_Pt1000[[#This Row],[Rpcb]]*INDIRECT(RefCell_R77))/(data_Pt1000[[#This Row],[Rpcb]]+INDIRECT(RefCell_R77)),data_Pt1000[[#This Row],[Rpcb]])</f>
        <v>958.8</v>
      </c>
      <c r="N6" s="35" t="s">
        <v>131</v>
      </c>
      <c r="O6">
        <f t="shared" ref="O6" si="0">O14 - O11*O7 - O11^3*O8</f>
        <v>7.4495497898974944E-2</v>
      </c>
    </row>
    <row r="7" spans="1:16" x14ac:dyDescent="0.25">
      <c r="A7" t="s">
        <v>21</v>
      </c>
      <c r="B7" s="8">
        <v>-9</v>
      </c>
      <c r="C7" s="9">
        <f>data_Pt1000[[#This Row],[θ]]*$N$23+$O$23</f>
        <v>964.9</v>
      </c>
      <c r="D7" s="9" cm="1">
        <f t="array" aca="1" ref="D7" ca="1">INDIRECT(RefCell_Rpot)+SUM($G$3:G7)</f>
        <v>965</v>
      </c>
      <c r="E7" s="9">
        <f ca="1">data_Pt1000[[#This Row],[Rpcb]]-data_Pt1000[[#This Row],[Rsonde]]</f>
        <v>0.10000000000002274</v>
      </c>
      <c r="F7" s="4">
        <f ca="1">data_Pt1000[[#This Row],[Diff R]]/data_Pt1000[[#This Row],[Rsonde]]</f>
        <v>1.0363768266143926E-4</v>
      </c>
      <c r="G7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7" s="9" cm="1">
        <f t="array" aca="1" ref="H7" ca="1">MAX(IF(ResValuesR24&lt;=ROUND(data_Pt1000[[#This Row],[Rsonde]],2)-IF(data_Pt1000[[#This Row],[Rsonde]]=MIN(data_Pt1000[Rsonde]),100,$D6),ResValuesR24))</f>
        <v>5.6</v>
      </c>
      <c r="I7" s="9">
        <f ca="1">ROUND(data_Pt1000[[#This Row],[RaddLow]]+(IF(data_Pt1000[[#This Row],[Rsonde]]=MIN(data_Pt1000[Rsonde]),0,$D6)-data_Pt1000[[#This Row],[Rsonde]]),2)</f>
        <v>-0.5</v>
      </c>
      <c r="J7" s="9" cm="1">
        <f t="array" aca="1" ref="J7" ca="1">MIN(IF(ResValuesR24&gt;=ROUND(data_Pt1000[[#This Row],[Rsonde]],2)-IF(data_Pt1000[[#This Row],[Rsonde]]=MIN(data_Pt1000[Rsonde]),100,$D6),ResValuesR24))</f>
        <v>6.2</v>
      </c>
      <c r="K7" s="9">
        <f ca="1">ROUND(data_Pt1000[[#This Row],[RaddHigh]]+(IF(data_Pt1000[[#This Row],[Rsonde]]=MIN(data_Pt1000[Rsonde]),0,$D6)-data_Pt1000[[#This Row],[Rsonde]]),2)</f>
        <v>0.1</v>
      </c>
      <c r="L7" s="2" cm="1">
        <f t="array" aca="1" ref="L7" ca="1">IF(INDIRECT(RefCell_R77),(data_Pt1000[[#This Row],[Rpcb]]*INDIRECT(RefCell_R77))/(data_Pt1000[[#This Row],[Rpcb]]+INDIRECT(RefCell_R77)),data_Pt1000[[#This Row],[Rpcb]])</f>
        <v>965</v>
      </c>
      <c r="N7" s="35" t="s">
        <v>130</v>
      </c>
      <c r="O7">
        <f t="shared" ref="O7" si="1">(1/(O11-O12)) * (O14-O15-(O11^3-O12^3)*O8)</f>
        <v>-1.3662050343480238E-2</v>
      </c>
    </row>
    <row r="8" spans="1:16" x14ac:dyDescent="0.25">
      <c r="A8" t="s">
        <v>22</v>
      </c>
      <c r="B8" s="8">
        <v>-7.5</v>
      </c>
      <c r="C8" s="9">
        <f>data_Pt1000[[#This Row],[θ]]*$N$23+$O$23</f>
        <v>970.75</v>
      </c>
      <c r="D8" s="9" cm="1">
        <f t="array" aca="1" ref="D8" ca="1">INDIRECT(RefCell_Rpot)+SUM($G$3:G8)</f>
        <v>970.6</v>
      </c>
      <c r="E8" s="9">
        <f ca="1">data_Pt1000[[#This Row],[Rpcb]]-data_Pt1000[[#This Row],[Rsonde]]</f>
        <v>-0.14999999999997726</v>
      </c>
      <c r="F8" s="4">
        <f ca="1">data_Pt1000[[#This Row],[Diff R]]/data_Pt1000[[#This Row],[Rsonde]]</f>
        <v>-1.5451970126188747E-4</v>
      </c>
      <c r="G8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8" s="9" cm="1">
        <f t="array" aca="1" ref="H8" ca="1">MAX(IF(ResValuesR24&lt;=ROUND(data_Pt1000[[#This Row],[Rsonde]],2)-IF(data_Pt1000[[#This Row],[Rsonde]]=MIN(data_Pt1000[Rsonde]),100,$D7),ResValuesR24))</f>
        <v>5.6</v>
      </c>
      <c r="I8" s="9">
        <f ca="1">ROUND(data_Pt1000[[#This Row],[RaddLow]]+(IF(data_Pt1000[[#This Row],[Rsonde]]=MIN(data_Pt1000[Rsonde]),0,$D7)-data_Pt1000[[#This Row],[Rsonde]]),2)</f>
        <v>-0.15</v>
      </c>
      <c r="J8" s="9" cm="1">
        <f t="array" aca="1" ref="J8" ca="1">MIN(IF(ResValuesR24&gt;=ROUND(data_Pt1000[[#This Row],[Rsonde]],2)-IF(data_Pt1000[[#This Row],[Rsonde]]=MIN(data_Pt1000[Rsonde]),100,$D7),ResValuesR24))</f>
        <v>6.2</v>
      </c>
      <c r="K8" s="9">
        <f ca="1">ROUND(data_Pt1000[[#This Row],[RaddHigh]]+(IF(data_Pt1000[[#This Row],[Rsonde]]=MIN(data_Pt1000[Rsonde]),0,$D7)-data_Pt1000[[#This Row],[Rsonde]]),2)</f>
        <v>0.45</v>
      </c>
      <c r="L8" s="2" cm="1">
        <f t="array" aca="1" ref="L8" ca="1">IF(INDIRECT(RefCell_R77),(data_Pt1000[[#This Row],[Rpcb]]*INDIRECT(RefCell_R77))/(data_Pt1000[[#This Row],[Rpcb]]+INDIRECT(RefCell_R77)),data_Pt1000[[#This Row],[Rpcb]])</f>
        <v>970.6</v>
      </c>
      <c r="N8" s="35" t="s">
        <v>129</v>
      </c>
      <c r="O8">
        <f t="shared" ref="O8" si="2">O10/O9</f>
        <v>7.1414975653619992E-5</v>
      </c>
    </row>
    <row r="9" spans="1:16" x14ac:dyDescent="0.25">
      <c r="A9" t="s">
        <v>23</v>
      </c>
      <c r="B9" s="8">
        <v>-6</v>
      </c>
      <c r="C9" s="9">
        <f>data_Pt1000[[#This Row],[θ]]*$N$23+$O$23</f>
        <v>976.6</v>
      </c>
      <c r="D9" s="9" cm="1">
        <f t="array" aca="1" ref="D9" ca="1">INDIRECT(RefCell_Rpot)+SUM($G$3:G9)</f>
        <v>976.80000000000007</v>
      </c>
      <c r="E9" s="9">
        <f ca="1">data_Pt1000[[#This Row],[Rpcb]]-data_Pt1000[[#This Row],[Rsonde]]</f>
        <v>0.20000000000004547</v>
      </c>
      <c r="F9" s="4">
        <f ca="1">data_Pt1000[[#This Row],[Diff R]]/data_Pt1000[[#This Row],[Rsonde]]</f>
        <v>2.0479213598202485E-4</v>
      </c>
      <c r="G9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9" s="9" cm="1">
        <f t="array" aca="1" ref="H9" ca="1">MAX(IF(ResValuesR24&lt;=ROUND(data_Pt1000[[#This Row],[Rsonde]],2)-IF(data_Pt1000[[#This Row],[Rsonde]]=MIN(data_Pt1000[Rsonde]),100,$D8),ResValuesR24))</f>
        <v>5.6</v>
      </c>
      <c r="I9" s="9">
        <f ca="1">ROUND(data_Pt1000[[#This Row],[RaddLow]]+(IF(data_Pt1000[[#This Row],[Rsonde]]=MIN(data_Pt1000[Rsonde]),0,$D8)-data_Pt1000[[#This Row],[Rsonde]]),2)</f>
        <v>-0.4</v>
      </c>
      <c r="J9" s="9" cm="1">
        <f t="array" aca="1" ref="J9" ca="1">MIN(IF(ResValuesR24&gt;=ROUND(data_Pt1000[[#This Row],[Rsonde]],2)-IF(data_Pt1000[[#This Row],[Rsonde]]=MIN(data_Pt1000[Rsonde]),100,$D8),ResValuesR24))</f>
        <v>6.2</v>
      </c>
      <c r="K9" s="9">
        <f ca="1">ROUND(data_Pt1000[[#This Row],[RaddHigh]]+(IF(data_Pt1000[[#This Row],[Rsonde]]=MIN(data_Pt1000[Rsonde]),0,$D8)-data_Pt1000[[#This Row],[Rsonde]]),2)</f>
        <v>0.2</v>
      </c>
      <c r="L9" s="2" cm="1">
        <f t="array" aca="1" ref="L9" ca="1">IF(INDIRECT(RefCell_R77),(data_Pt1000[[#This Row],[Rpcb]]*INDIRECT(RefCell_R77))/(data_Pt1000[[#This Row],[Rpcb]]+INDIRECT(RefCell_R77)),data_Pt1000[[#This Row],[Rpcb]])</f>
        <v>976.80000000000007</v>
      </c>
      <c r="N9" s="3" t="s">
        <v>181</v>
      </c>
      <c r="O9">
        <f t="shared" ref="O9" si="3">(O12-O13)/(O11-O12) * (O12^3-O11^3) + (O12^3-O13^3)</f>
        <v>-0.25667751978481235</v>
      </c>
    </row>
    <row r="10" spans="1:16" x14ac:dyDescent="0.25">
      <c r="A10" t="s">
        <v>24</v>
      </c>
      <c r="B10" s="8">
        <v>-4.5</v>
      </c>
      <c r="C10" s="9">
        <f>data_Pt1000[[#This Row],[θ]]*$N$23+$O$23</f>
        <v>982.45</v>
      </c>
      <c r="D10" s="9" cm="1">
        <f t="array" aca="1" ref="D10" ca="1">INDIRECT(RefCell_Rpot)+SUM($G$3:G10)</f>
        <v>982.40000000000009</v>
      </c>
      <c r="E10" s="9">
        <f ca="1">data_Pt1000[[#This Row],[Rpcb]]-data_Pt1000[[#This Row],[Rsonde]]</f>
        <v>-4.9999999999954525E-2</v>
      </c>
      <c r="F10" s="4">
        <f ca="1">data_Pt1000[[#This Row],[Diff R]]/data_Pt1000[[#This Row],[Rsonde]]</f>
        <v>-5.0893175225156008E-5</v>
      </c>
      <c r="G10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10" s="9" cm="1">
        <f t="array" aca="1" ref="H10" ca="1">MAX(IF(ResValuesR24&lt;=ROUND(data_Pt1000[[#This Row],[Rsonde]],2)-IF(data_Pt1000[[#This Row],[Rsonde]]=MIN(data_Pt1000[Rsonde]),100,$D9),ResValuesR24))</f>
        <v>5.6</v>
      </c>
      <c r="I10" s="9">
        <f ca="1">ROUND(data_Pt1000[[#This Row],[RaddLow]]+(IF(data_Pt1000[[#This Row],[Rsonde]]=MIN(data_Pt1000[Rsonde]),0,$D9)-data_Pt1000[[#This Row],[Rsonde]]),2)</f>
        <v>-0.05</v>
      </c>
      <c r="J10" s="9" cm="1">
        <f t="array" aca="1" ref="J10" ca="1">MIN(IF(ResValuesR24&gt;=ROUND(data_Pt1000[[#This Row],[Rsonde]],2)-IF(data_Pt1000[[#This Row],[Rsonde]]=MIN(data_Pt1000[Rsonde]),100,$D9),ResValuesR24))</f>
        <v>6.2</v>
      </c>
      <c r="K10" s="9">
        <f ca="1">ROUND(data_Pt1000[[#This Row],[RaddHigh]]+(IF(data_Pt1000[[#This Row],[Rsonde]]=MIN(data_Pt1000[Rsonde]),0,$D9)-data_Pt1000[[#This Row],[Rsonde]]),2)</f>
        <v>0.55000000000000004</v>
      </c>
      <c r="L10" s="2" cm="1">
        <f t="array" aca="1" ref="L10" ca="1">IF(INDIRECT(RefCell_R77),(data_Pt1000[[#This Row],[Rpcb]]*INDIRECT(RefCell_R77))/(data_Pt1000[[#This Row],[Rpcb]]+INDIRECT(RefCell_R77)),data_Pt1000[[#This Row],[Rpcb]])</f>
        <v>982.40000000000009</v>
      </c>
      <c r="N10" s="3" t="s">
        <v>182</v>
      </c>
      <c r="O10">
        <f t="shared" ref="O10" si="4">O15 - O16 - ( (O12-O13)/(O11-O12) ) * (O14-O15)</f>
        <v>-1.8330618826263936E-5</v>
      </c>
    </row>
    <row r="11" spans="1:16" x14ac:dyDescent="0.25">
      <c r="A11" t="s">
        <v>25</v>
      </c>
      <c r="B11" s="8">
        <v>-3</v>
      </c>
      <c r="C11" s="9">
        <f>data_Pt1000[[#This Row],[θ]]*$N$23+$O$23</f>
        <v>988.3</v>
      </c>
      <c r="D11" s="9" cm="1">
        <f t="array" aca="1" ref="D11" ca="1">INDIRECT(RefCell_Rpot)+SUM($G$3:G11)</f>
        <v>988.60000000000014</v>
      </c>
      <c r="E11" s="9">
        <f ca="1">data_Pt1000[[#This Row],[Rpcb]]-data_Pt1000[[#This Row],[Rsonde]]</f>
        <v>0.3000000000001819</v>
      </c>
      <c r="F11" s="4">
        <f ca="1">data_Pt1000[[#This Row],[Diff R]]/data_Pt1000[[#This Row],[Rsonde]]</f>
        <v>3.0355155317229778E-4</v>
      </c>
      <c r="G11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11" s="9" cm="1">
        <f t="array" aca="1" ref="H11" ca="1">MAX(IF(ResValuesR24&lt;=ROUND(data_Pt1000[[#This Row],[Rsonde]],2)-IF(data_Pt1000[[#This Row],[Rsonde]]=MIN(data_Pt1000[Rsonde]),100,$D10),ResValuesR24))</f>
        <v>5.6</v>
      </c>
      <c r="I11" s="9">
        <f ca="1">ROUND(data_Pt1000[[#This Row],[RaddLow]]+(IF(data_Pt1000[[#This Row],[Rsonde]]=MIN(data_Pt1000[Rsonde]),0,$D10)-data_Pt1000[[#This Row],[Rsonde]]),2)</f>
        <v>-0.3</v>
      </c>
      <c r="J11" s="9" cm="1">
        <f t="array" aca="1" ref="J11" ca="1">MIN(IF(ResValuesR24&gt;=ROUND(data_Pt1000[[#This Row],[Rsonde]],2)-IF(data_Pt1000[[#This Row],[Rsonde]]=MIN(data_Pt1000[Rsonde]),100,$D10),ResValuesR24))</f>
        <v>6.2</v>
      </c>
      <c r="K11" s="9">
        <f ca="1">ROUND(data_Pt1000[[#This Row],[RaddHigh]]+(IF(data_Pt1000[[#This Row],[Rsonde]]=MIN(data_Pt1000[Rsonde]),0,$D10)-data_Pt1000[[#This Row],[Rsonde]]),2)</f>
        <v>0.3</v>
      </c>
      <c r="L11" s="2" cm="1">
        <f t="array" aca="1" ref="L11" ca="1">IF(INDIRECT(RefCell_R77),(data_Pt1000[[#This Row],[Rpcb]]*INDIRECT(RefCell_R77))/(data_Pt1000[[#This Row],[Rpcb]]+INDIRECT(RefCell_R77)),data_Pt1000[[#This Row],[Rpcb]])</f>
        <v>988.60000000000014</v>
      </c>
      <c r="N11" s="3" t="s">
        <v>178</v>
      </c>
      <c r="O11">
        <f>LN(C3)</f>
        <v>6.8474743480972071</v>
      </c>
    </row>
    <row r="12" spans="1:16" x14ac:dyDescent="0.25">
      <c r="A12" t="s">
        <v>26</v>
      </c>
      <c r="B12" s="8">
        <v>-1.5</v>
      </c>
      <c r="C12" s="9">
        <f>data_Pt1000[[#This Row],[θ]]*$N$23+$O$23</f>
        <v>994.15</v>
      </c>
      <c r="D12" s="9" cm="1">
        <f t="array" aca="1" ref="D12" ca="1">INDIRECT(RefCell_Rpot)+SUM($G$3:G12)</f>
        <v>994.20000000000016</v>
      </c>
      <c r="E12" s="9">
        <f ca="1">data_Pt1000[[#This Row],[Rpcb]]-data_Pt1000[[#This Row],[Rsonde]]</f>
        <v>5.0000000000181899E-2</v>
      </c>
      <c r="F12" s="4">
        <f ca="1">data_Pt1000[[#This Row],[Diff R]]/data_Pt1000[[#This Row],[Rsonde]]</f>
        <v>5.0294221194167783E-5</v>
      </c>
      <c r="G12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12" s="9" cm="1">
        <f t="array" aca="1" ref="H12" ca="1">MAX(IF(ResValuesR24&lt;=ROUND(data_Pt1000[[#This Row],[Rsonde]],2)-IF(data_Pt1000[[#This Row],[Rsonde]]=MIN(data_Pt1000[Rsonde]),100,$D11),ResValuesR24))</f>
        <v>5.0999999999999996</v>
      </c>
      <c r="I12" s="9">
        <f ca="1">ROUND(data_Pt1000[[#This Row],[RaddLow]]+(IF(data_Pt1000[[#This Row],[Rsonde]]=MIN(data_Pt1000[Rsonde]),0,$D11)-data_Pt1000[[#This Row],[Rsonde]]),2)</f>
        <v>-0.45</v>
      </c>
      <c r="J12" s="9" cm="1">
        <f t="array" aca="1" ref="J12" ca="1">MIN(IF(ResValuesR24&gt;=ROUND(data_Pt1000[[#This Row],[Rsonde]],2)-IF(data_Pt1000[[#This Row],[Rsonde]]=MIN(data_Pt1000[Rsonde]),100,$D11),ResValuesR24))</f>
        <v>5.6</v>
      </c>
      <c r="K12" s="9">
        <f ca="1">ROUND(data_Pt1000[[#This Row],[RaddHigh]]+(IF(data_Pt1000[[#This Row],[Rsonde]]=MIN(data_Pt1000[Rsonde]),0,$D11)-data_Pt1000[[#This Row],[Rsonde]]),2)</f>
        <v>0.05</v>
      </c>
      <c r="L12" s="2" cm="1">
        <f t="array" aca="1" ref="L12" ca="1">IF(INDIRECT(RefCell_R77),(data_Pt1000[[#This Row],[Rpcb]]*INDIRECT(RefCell_R77))/(data_Pt1000[[#This Row],[Rpcb]]+INDIRECT(RefCell_R77)),data_Pt1000[[#This Row],[Rpcb]])</f>
        <v>994.20000000000016</v>
      </c>
      <c r="N12" s="3" t="s">
        <v>179</v>
      </c>
      <c r="O12">
        <f>LN(C17)</f>
        <v>6.9308856963709911</v>
      </c>
    </row>
    <row r="13" spans="1:16" x14ac:dyDescent="0.25">
      <c r="A13" t="s">
        <v>27</v>
      </c>
      <c r="B13" s="8">
        <v>0</v>
      </c>
      <c r="C13" s="9">
        <f>data_Pt1000[[#This Row],[θ]]*$N$23+$O$23</f>
        <v>1000</v>
      </c>
      <c r="D13" s="9" cm="1">
        <f t="array" aca="1" ref="D13" ca="1">INDIRECT(RefCell_Rpot)+SUM($G$3:G13)</f>
        <v>999.80000000000018</v>
      </c>
      <c r="E13" s="9">
        <f ca="1">data_Pt1000[[#This Row],[Rpcb]]-data_Pt1000[[#This Row],[Rsonde]]</f>
        <v>-0.1999999999998181</v>
      </c>
      <c r="F13" s="4">
        <f ca="1">data_Pt1000[[#This Row],[Diff R]]/data_Pt1000[[#This Row],[Rsonde]]</f>
        <v>-1.9999999999981811E-4</v>
      </c>
      <c r="G13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13" s="9" cm="1">
        <f t="array" aca="1" ref="H13" ca="1">MAX(IF(ResValuesR24&lt;=ROUND(data_Pt1000[[#This Row],[Rsonde]],2)-IF(data_Pt1000[[#This Row],[Rsonde]]=MIN(data_Pt1000[Rsonde]),100,$D12),ResValuesR24))</f>
        <v>5.6</v>
      </c>
      <c r="I13" s="9">
        <f ca="1">ROUND(data_Pt1000[[#This Row],[RaddLow]]+(IF(data_Pt1000[[#This Row],[Rsonde]]=MIN(data_Pt1000[Rsonde]),0,$D12)-data_Pt1000[[#This Row],[Rsonde]]),2)</f>
        <v>-0.2</v>
      </c>
      <c r="J13" s="9" cm="1">
        <f t="array" aca="1" ref="J13" ca="1">MIN(IF(ResValuesR24&gt;=ROUND(data_Pt1000[[#This Row],[Rsonde]],2)-IF(data_Pt1000[[#This Row],[Rsonde]]=MIN(data_Pt1000[Rsonde]),100,$D12),ResValuesR24))</f>
        <v>6.2</v>
      </c>
      <c r="K13" s="9">
        <f ca="1">ROUND(data_Pt1000[[#This Row],[RaddHigh]]+(IF(data_Pt1000[[#This Row],[Rsonde]]=MIN(data_Pt1000[Rsonde]),0,$D12)-data_Pt1000[[#This Row],[Rsonde]]),2)</f>
        <v>0.4</v>
      </c>
      <c r="L13" s="2" cm="1">
        <f t="array" aca="1" ref="L13" ca="1">IF(INDIRECT(RefCell_R77),(data_Pt1000[[#This Row],[Rpcb]]*INDIRECT(RefCell_R77))/(data_Pt1000[[#This Row],[Rpcb]]+INDIRECT(RefCell_R77)),data_Pt1000[[#This Row],[Rpcb]])</f>
        <v>999.80000000000018</v>
      </c>
      <c r="N13" s="3" t="s">
        <v>180</v>
      </c>
      <c r="O13">
        <f>LN(C31)</f>
        <v>7.0078720703169095</v>
      </c>
    </row>
    <row r="14" spans="1:16" x14ac:dyDescent="0.25">
      <c r="A14" t="s">
        <v>28</v>
      </c>
      <c r="B14" s="8">
        <v>1.5</v>
      </c>
      <c r="C14" s="9">
        <f>data_Pt1000[[#This Row],[θ]]*$N$23+$O$23</f>
        <v>1005.85</v>
      </c>
      <c r="D14" s="9" cm="1">
        <f t="array" aca="1" ref="D14" ca="1">INDIRECT(RefCell_Rpot)+SUM($G$3:G14)</f>
        <v>1006.0000000000002</v>
      </c>
      <c r="E14" s="9">
        <f ca="1">data_Pt1000[[#This Row],[Rpcb]]-data_Pt1000[[#This Row],[Rsonde]]</f>
        <v>0.15000000000020464</v>
      </c>
      <c r="F14" s="4">
        <f ca="1">data_Pt1000[[#This Row],[Diff R]]/data_Pt1000[[#This Row],[Rsonde]]</f>
        <v>1.4912760351961488E-4</v>
      </c>
      <c r="G14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14" s="9" cm="1">
        <f t="array" aca="1" ref="H14" ca="1">MAX(IF(ResValuesR24&lt;=ROUND(data_Pt1000[[#This Row],[Rsonde]],2)-IF(data_Pt1000[[#This Row],[Rsonde]]=MIN(data_Pt1000[Rsonde]),100,$D13),ResValuesR24))</f>
        <v>5.6</v>
      </c>
      <c r="I14" s="9">
        <f ca="1">ROUND(data_Pt1000[[#This Row],[RaddLow]]+(IF(data_Pt1000[[#This Row],[Rsonde]]=MIN(data_Pt1000[Rsonde]),0,$D13)-data_Pt1000[[#This Row],[Rsonde]]),2)</f>
        <v>-0.45</v>
      </c>
      <c r="J14" s="9" cm="1">
        <f t="array" aca="1" ref="J14" ca="1">MIN(IF(ResValuesR24&gt;=ROUND(data_Pt1000[[#This Row],[Rsonde]],2)-IF(data_Pt1000[[#This Row],[Rsonde]]=MIN(data_Pt1000[Rsonde]),100,$D13),ResValuesR24))</f>
        <v>6.2</v>
      </c>
      <c r="K14" s="9">
        <f ca="1">ROUND(data_Pt1000[[#This Row],[RaddHigh]]+(IF(data_Pt1000[[#This Row],[Rsonde]]=MIN(data_Pt1000[Rsonde]),0,$D13)-data_Pt1000[[#This Row],[Rsonde]]),2)</f>
        <v>0.15</v>
      </c>
      <c r="L14" s="2" cm="1">
        <f t="array" aca="1" ref="L14" ca="1">IF(INDIRECT(RefCell_R77),(data_Pt1000[[#This Row],[Rpcb]]*INDIRECT(RefCell_R77))/(data_Pt1000[[#This Row],[Rpcb]]+INDIRECT(RefCell_R77)),data_Pt1000[[#This Row],[Rpcb]])</f>
        <v>1006.0000000000002</v>
      </c>
      <c r="N14" s="3" t="s">
        <v>175</v>
      </c>
      <c r="O14">
        <f>1/(B3+273.15)</f>
        <v>3.8737168312996321E-3</v>
      </c>
    </row>
    <row r="15" spans="1:16" x14ac:dyDescent="0.25">
      <c r="A15" t="s">
        <v>29</v>
      </c>
      <c r="B15" s="8">
        <v>3</v>
      </c>
      <c r="C15" s="9">
        <f>data_Pt1000[[#This Row],[θ]]*$N$23+$O$23</f>
        <v>1011.7</v>
      </c>
      <c r="D15" s="9" cm="1">
        <f t="array" aca="1" ref="D15" ca="1">INDIRECT(RefCell_Rpot)+SUM($G$3:G15)</f>
        <v>1011.6000000000003</v>
      </c>
      <c r="E15" s="9">
        <f ca="1">data_Pt1000[[#This Row],[Rpcb]]-data_Pt1000[[#This Row],[Rsonde]]</f>
        <v>-9.9999999999795364E-2</v>
      </c>
      <c r="F15" s="4">
        <f ca="1">data_Pt1000[[#This Row],[Diff R]]/data_Pt1000[[#This Row],[Rsonde]]</f>
        <v>-9.8843530690714005E-5</v>
      </c>
      <c r="G15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15" s="9" cm="1">
        <f t="array" aca="1" ref="H15" ca="1">MAX(IF(ResValuesR24&lt;=ROUND(data_Pt1000[[#This Row],[Rsonde]],2)-IF(data_Pt1000[[#This Row],[Rsonde]]=MIN(data_Pt1000[Rsonde]),100,$D14),ResValuesR24))</f>
        <v>5.6</v>
      </c>
      <c r="I15" s="9">
        <f ca="1">ROUND(data_Pt1000[[#This Row],[RaddLow]]+(IF(data_Pt1000[[#This Row],[Rsonde]]=MIN(data_Pt1000[Rsonde]),0,$D14)-data_Pt1000[[#This Row],[Rsonde]]),2)</f>
        <v>-0.1</v>
      </c>
      <c r="J15" s="9" cm="1">
        <f t="array" aca="1" ref="J15" ca="1">MIN(IF(ResValuesR24&gt;=ROUND(data_Pt1000[[#This Row],[Rsonde]],2)-IF(data_Pt1000[[#This Row],[Rsonde]]=MIN(data_Pt1000[Rsonde]),100,$D14),ResValuesR24))</f>
        <v>6.2</v>
      </c>
      <c r="K15" s="9">
        <f ca="1">ROUND(data_Pt1000[[#This Row],[RaddHigh]]+(IF(data_Pt1000[[#This Row],[Rsonde]]=MIN(data_Pt1000[Rsonde]),0,$D14)-data_Pt1000[[#This Row],[Rsonde]]),2)</f>
        <v>0.5</v>
      </c>
      <c r="L15" s="2" cm="1">
        <f t="array" aca="1" ref="L15" ca="1">IF(INDIRECT(RefCell_R77),(data_Pt1000[[#This Row],[Rpcb]]*INDIRECT(RefCell_R77))/(data_Pt1000[[#This Row],[Rpcb]]+INDIRECT(RefCell_R77)),data_Pt1000[[#This Row],[Rpcb]])</f>
        <v>1011.6000000000003</v>
      </c>
      <c r="N15" s="3" t="s">
        <v>176</v>
      </c>
      <c r="O15">
        <f>1/(B17+273.15)</f>
        <v>3.5823034210997673E-3</v>
      </c>
    </row>
    <row r="16" spans="1:16" x14ac:dyDescent="0.25">
      <c r="A16" t="s">
        <v>30</v>
      </c>
      <c r="B16" s="8">
        <v>4.5</v>
      </c>
      <c r="C16" s="9">
        <f>data_Pt1000[[#This Row],[θ]]*$N$23+$O$23</f>
        <v>1017.55</v>
      </c>
      <c r="D16" s="9" cm="1">
        <f t="array" aca="1" ref="D16" ca="1">INDIRECT(RefCell_Rpot)+SUM($G$3:G16)</f>
        <v>1017.8000000000003</v>
      </c>
      <c r="E16" s="9">
        <f ca="1">data_Pt1000[[#This Row],[Rpcb]]-data_Pt1000[[#This Row],[Rsonde]]</f>
        <v>0.25000000000034106</v>
      </c>
      <c r="F16" s="4">
        <f ca="1">data_Pt1000[[#This Row],[Diff R]]/data_Pt1000[[#This Row],[Rsonde]]</f>
        <v>2.4568817257170761E-4</v>
      </c>
      <c r="G16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16" s="9" cm="1">
        <f t="array" aca="1" ref="H16" ca="1">MAX(IF(ResValuesR24&lt;=ROUND(data_Pt1000[[#This Row],[Rsonde]],2)-IF(data_Pt1000[[#This Row],[Rsonde]]=MIN(data_Pt1000[Rsonde]),100,$D15),ResValuesR24))</f>
        <v>5.6</v>
      </c>
      <c r="I16" s="9">
        <f ca="1">ROUND(data_Pt1000[[#This Row],[RaddLow]]+(IF(data_Pt1000[[#This Row],[Rsonde]]=MIN(data_Pt1000[Rsonde]),0,$D15)-data_Pt1000[[#This Row],[Rsonde]]),2)</f>
        <v>-0.35</v>
      </c>
      <c r="J16" s="9" cm="1">
        <f t="array" aca="1" ref="J16" ca="1">MIN(IF(ResValuesR24&gt;=ROUND(data_Pt1000[[#This Row],[Rsonde]],2)-IF(data_Pt1000[[#This Row],[Rsonde]]=MIN(data_Pt1000[Rsonde]),100,$D15),ResValuesR24))</f>
        <v>6.2</v>
      </c>
      <c r="K16" s="9">
        <f ca="1">ROUND(data_Pt1000[[#This Row],[RaddHigh]]+(IF(data_Pt1000[[#This Row],[Rsonde]]=MIN(data_Pt1000[Rsonde]),0,$D15)-data_Pt1000[[#This Row],[Rsonde]]),2)</f>
        <v>0.25</v>
      </c>
      <c r="L16" s="2" cm="1">
        <f t="array" aca="1" ref="L16" ca="1">IF(INDIRECT(RefCell_R77),(data_Pt1000[[#This Row],[Rpcb]]*INDIRECT(RefCell_R77))/(data_Pt1000[[#This Row],[Rpcb]]+INDIRECT(RefCell_R77)),data_Pt1000[[#This Row],[Rpcb]])</f>
        <v>1017.8000000000003</v>
      </c>
      <c r="N16" s="3" t="s">
        <v>177</v>
      </c>
      <c r="O16">
        <f>1/(B31+273.15)</f>
        <v>3.331667499583542E-3</v>
      </c>
    </row>
    <row r="17" spans="1:15" x14ac:dyDescent="0.25">
      <c r="A17" t="s">
        <v>31</v>
      </c>
      <c r="B17" s="8">
        <v>6</v>
      </c>
      <c r="C17" s="9">
        <f>data_Pt1000[[#This Row],[θ]]*$N$23+$O$23</f>
        <v>1023.4</v>
      </c>
      <c r="D17" s="9" cm="1">
        <f t="array" aca="1" ref="D17" ca="1">INDIRECT(RefCell_Rpot)+SUM($G$3:G17)</f>
        <v>1023.4000000000003</v>
      </c>
      <c r="E17" s="9">
        <f ca="1">data_Pt1000[[#This Row],[Rpcb]]-data_Pt1000[[#This Row],[Rsonde]]</f>
        <v>0</v>
      </c>
      <c r="F17" s="4">
        <f ca="1">data_Pt1000[[#This Row],[Diff R]]/data_Pt1000[[#This Row],[Rsonde]]</f>
        <v>0</v>
      </c>
      <c r="G17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17" s="9" cm="1">
        <f t="array" aca="1" ref="H17" ca="1">MAX(IF(ResValuesR24&lt;=ROUND(data_Pt1000[[#This Row],[Rsonde]],2)-IF(data_Pt1000[[#This Row],[Rsonde]]=MIN(data_Pt1000[Rsonde]),100,$D16),ResValuesR24))</f>
        <v>5.0999999999999996</v>
      </c>
      <c r="I17" s="9">
        <f ca="1">ROUND(data_Pt1000[[#This Row],[RaddLow]]+(IF(data_Pt1000[[#This Row],[Rsonde]]=MIN(data_Pt1000[Rsonde]),0,$D16)-data_Pt1000[[#This Row],[Rsonde]]),2)</f>
        <v>-0.5</v>
      </c>
      <c r="J17" s="9" cm="1">
        <f t="array" aca="1" ref="J17" ca="1">MIN(IF(ResValuesR24&gt;=ROUND(data_Pt1000[[#This Row],[Rsonde]],2)-IF(data_Pt1000[[#This Row],[Rsonde]]=MIN(data_Pt1000[Rsonde]),100,$D16),ResValuesR24))</f>
        <v>5.6</v>
      </c>
      <c r="K17" s="9">
        <f ca="1">ROUND(data_Pt1000[[#This Row],[RaddHigh]]+(IF(data_Pt1000[[#This Row],[Rsonde]]=MIN(data_Pt1000[Rsonde]),0,$D16)-data_Pt1000[[#This Row],[Rsonde]]),2)</f>
        <v>0</v>
      </c>
      <c r="L17" s="2" cm="1">
        <f t="array" aca="1" ref="L17" ca="1">IF(INDIRECT(RefCell_R77),(data_Pt1000[[#This Row],[Rpcb]]*INDIRECT(RefCell_R77))/(data_Pt1000[[#This Row],[Rpcb]]+INDIRECT(RefCell_R77)),data_Pt1000[[#This Row],[Rpcb]])</f>
        <v>1023.4000000000003</v>
      </c>
    </row>
    <row r="18" spans="1:15" x14ac:dyDescent="0.25">
      <c r="A18" t="s">
        <v>32</v>
      </c>
      <c r="B18" s="8">
        <v>7.5</v>
      </c>
      <c r="C18" s="9">
        <f>data_Pt1000[[#This Row],[θ]]*$N$23+$O$23</f>
        <v>1029.25</v>
      </c>
      <c r="D18" s="9" cm="1">
        <f t="array" aca="1" ref="D18" ca="1">INDIRECT(RefCell_Rpot)+SUM($G$3:G18)</f>
        <v>1029.0000000000005</v>
      </c>
      <c r="E18" s="9">
        <f ca="1">data_Pt1000[[#This Row],[Rpcb]]-data_Pt1000[[#This Row],[Rsonde]]</f>
        <v>-0.24999999999954525</v>
      </c>
      <c r="F18" s="4">
        <f ca="1">data_Pt1000[[#This Row],[Diff R]]/data_Pt1000[[#This Row],[Rsonde]]</f>
        <v>-2.4289531212003424E-4</v>
      </c>
      <c r="G18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18" s="9" cm="1">
        <f t="array" aca="1" ref="H18" ca="1">MAX(IF(ResValuesR24&lt;=ROUND(data_Pt1000[[#This Row],[Rsonde]],2)-IF(data_Pt1000[[#This Row],[Rsonde]]=MIN(data_Pt1000[Rsonde]),100,$D17),ResValuesR24))</f>
        <v>5.6</v>
      </c>
      <c r="I18" s="9">
        <f ca="1">ROUND(data_Pt1000[[#This Row],[RaddLow]]+(IF(data_Pt1000[[#This Row],[Rsonde]]=MIN(data_Pt1000[Rsonde]),0,$D17)-data_Pt1000[[#This Row],[Rsonde]]),2)</f>
        <v>-0.25</v>
      </c>
      <c r="J18" s="9" cm="1">
        <f t="array" aca="1" ref="J18" ca="1">MIN(IF(ResValuesR24&gt;=ROUND(data_Pt1000[[#This Row],[Rsonde]],2)-IF(data_Pt1000[[#This Row],[Rsonde]]=MIN(data_Pt1000[Rsonde]),100,$D17),ResValuesR24))</f>
        <v>6.2</v>
      </c>
      <c r="K18" s="9">
        <f ca="1">ROUND(data_Pt1000[[#This Row],[RaddHigh]]+(IF(data_Pt1000[[#This Row],[Rsonde]]=MIN(data_Pt1000[Rsonde]),0,$D17)-data_Pt1000[[#This Row],[Rsonde]]),2)</f>
        <v>0.35</v>
      </c>
      <c r="L18" s="2" cm="1">
        <f t="array" aca="1" ref="L18" ca="1">IF(INDIRECT(RefCell_R77),(data_Pt1000[[#This Row],[Rpcb]]*INDIRECT(RefCell_R77))/(data_Pt1000[[#This Row],[Rpcb]]+INDIRECT(RefCell_R77)),data_Pt1000[[#This Row],[Rpcb]])</f>
        <v>1029.0000000000005</v>
      </c>
    </row>
    <row r="19" spans="1:15" x14ac:dyDescent="0.25">
      <c r="A19" t="s">
        <v>33</v>
      </c>
      <c r="B19" s="8">
        <v>9</v>
      </c>
      <c r="C19" s="9">
        <f>data_Pt1000[[#This Row],[θ]]*$N$23+$O$23</f>
        <v>1035.0999999999999</v>
      </c>
      <c r="D19" s="9" cm="1">
        <f t="array" aca="1" ref="D19" ca="1">INDIRECT(RefCell_Rpot)+SUM($G$3:G19)</f>
        <v>1035.2000000000003</v>
      </c>
      <c r="E19" s="9">
        <f ca="1">data_Pt1000[[#This Row],[Rpcb]]-data_Pt1000[[#This Row],[Rsonde]]</f>
        <v>0.1000000000003638</v>
      </c>
      <c r="F19" s="4">
        <f ca="1">data_Pt1000[[#This Row],[Diff R]]/data_Pt1000[[#This Row],[Rsonde]]</f>
        <v>9.6609023283126088E-5</v>
      </c>
      <c r="G19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19" s="9" cm="1">
        <f t="array" aca="1" ref="H19" ca="1">MAX(IF(ResValuesR24&lt;=ROUND(data_Pt1000[[#This Row],[Rsonde]],2)-IF(data_Pt1000[[#This Row],[Rsonde]]=MIN(data_Pt1000[Rsonde]),100,$D18),ResValuesR24))</f>
        <v>5.6</v>
      </c>
      <c r="I19" s="9">
        <f ca="1">ROUND(data_Pt1000[[#This Row],[RaddLow]]+(IF(data_Pt1000[[#This Row],[Rsonde]]=MIN(data_Pt1000[Rsonde]),0,$D18)-data_Pt1000[[#This Row],[Rsonde]]),2)</f>
        <v>-0.5</v>
      </c>
      <c r="J19" s="9" cm="1">
        <f t="array" aca="1" ref="J19" ca="1">MIN(IF(ResValuesR24&gt;=ROUND(data_Pt1000[[#This Row],[Rsonde]],2)-IF(data_Pt1000[[#This Row],[Rsonde]]=MIN(data_Pt1000[Rsonde]),100,$D18),ResValuesR24))</f>
        <v>6.2</v>
      </c>
      <c r="K19" s="9">
        <f ca="1">ROUND(data_Pt1000[[#This Row],[RaddHigh]]+(IF(data_Pt1000[[#This Row],[Rsonde]]=MIN(data_Pt1000[Rsonde]),0,$D18)-data_Pt1000[[#This Row],[Rsonde]]),2)</f>
        <v>0.1</v>
      </c>
      <c r="L19" s="2" cm="1">
        <f t="array" aca="1" ref="L19" ca="1">IF(INDIRECT(RefCell_R77),(data_Pt1000[[#This Row],[Rpcb]]*INDIRECT(RefCell_R77))/(data_Pt1000[[#This Row],[Rpcb]]+INDIRECT(RefCell_R77)),data_Pt1000[[#This Row],[Rpcb]])</f>
        <v>1035.2000000000003</v>
      </c>
      <c r="N19" s="37" t="s">
        <v>258</v>
      </c>
    </row>
    <row r="20" spans="1:15" x14ac:dyDescent="0.25">
      <c r="A20" t="s">
        <v>34</v>
      </c>
      <c r="B20" s="8">
        <v>10.5</v>
      </c>
      <c r="C20" s="9">
        <f>data_Pt1000[[#This Row],[θ]]*$N$23+$O$23</f>
        <v>1040.95</v>
      </c>
      <c r="D20" s="9" cm="1">
        <f t="array" aca="1" ref="D20" ca="1">INDIRECT(RefCell_Rpot)+SUM($G$3:G20)</f>
        <v>1040.8000000000004</v>
      </c>
      <c r="E20" s="9">
        <f ca="1">data_Pt1000[[#This Row],[Rpcb]]-data_Pt1000[[#This Row],[Rsonde]]</f>
        <v>-0.1499999999996362</v>
      </c>
      <c r="F20" s="4">
        <f ca="1">data_Pt1000[[#This Row],[Diff R]]/data_Pt1000[[#This Row],[Rsonde]]</f>
        <v>-1.4409914020811394E-4</v>
      </c>
      <c r="G20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20" s="9" cm="1">
        <f t="array" aca="1" ref="H20" ca="1">MAX(IF(ResValuesR24&lt;=ROUND(data_Pt1000[[#This Row],[Rsonde]],2)-IF(data_Pt1000[[#This Row],[Rsonde]]=MIN(data_Pt1000[Rsonde]),100,$D19),ResValuesR24))</f>
        <v>5.6</v>
      </c>
      <c r="I20" s="9">
        <f ca="1">ROUND(data_Pt1000[[#This Row],[RaddLow]]+(IF(data_Pt1000[[#This Row],[Rsonde]]=MIN(data_Pt1000[Rsonde]),0,$D19)-data_Pt1000[[#This Row],[Rsonde]]),2)</f>
        <v>-0.15</v>
      </c>
      <c r="J20" s="9" cm="1">
        <f t="array" aca="1" ref="J20" ca="1">MIN(IF(ResValuesR24&gt;=ROUND(data_Pt1000[[#This Row],[Rsonde]],2)-IF(data_Pt1000[[#This Row],[Rsonde]]=MIN(data_Pt1000[Rsonde]),100,$D19),ResValuesR24))</f>
        <v>6.2</v>
      </c>
      <c r="K20" s="9">
        <f ca="1">ROUND(data_Pt1000[[#This Row],[RaddHigh]]+(IF(data_Pt1000[[#This Row],[Rsonde]]=MIN(data_Pt1000[Rsonde]),0,$D19)-data_Pt1000[[#This Row],[Rsonde]]),2)</f>
        <v>0.45</v>
      </c>
      <c r="L20" s="2" cm="1">
        <f t="array" aca="1" ref="L20" ca="1">IF(INDIRECT(RefCell_R77),(data_Pt1000[[#This Row],[Rpcb]]*INDIRECT(RefCell_R77))/(data_Pt1000[[#This Row],[Rpcb]]+INDIRECT(RefCell_R77)),data_Pt1000[[#This Row],[Rpcb]])</f>
        <v>1040.8000000000004</v>
      </c>
      <c r="N20">
        <v>-20</v>
      </c>
      <c r="O20">
        <v>922</v>
      </c>
    </row>
    <row r="21" spans="1:15" x14ac:dyDescent="0.25">
      <c r="A21" t="s">
        <v>35</v>
      </c>
      <c r="B21" s="8">
        <v>12</v>
      </c>
      <c r="C21" s="9">
        <f>data_Pt1000[[#This Row],[θ]]*$N$23+$O$23</f>
        <v>1046.8</v>
      </c>
      <c r="D21" s="9" cm="1">
        <f t="array" aca="1" ref="D21" ca="1">INDIRECT(RefCell_Rpot)+SUM($G$3:G21)</f>
        <v>1047.0000000000005</v>
      </c>
      <c r="E21" s="9">
        <f ca="1">data_Pt1000[[#This Row],[Rpcb]]-data_Pt1000[[#This Row],[Rsonde]]</f>
        <v>0.20000000000050022</v>
      </c>
      <c r="F21" s="4">
        <f ca="1">data_Pt1000[[#This Row],[Diff R]]/data_Pt1000[[#This Row],[Rsonde]]</f>
        <v>1.9105846389042819E-4</v>
      </c>
      <c r="G21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21" s="9" cm="1">
        <f t="array" aca="1" ref="H21" ca="1">MAX(IF(ResValuesR24&lt;=ROUND(data_Pt1000[[#This Row],[Rsonde]],2)-IF(data_Pt1000[[#This Row],[Rsonde]]=MIN(data_Pt1000[Rsonde]),100,$D20),ResValuesR24))</f>
        <v>5.6</v>
      </c>
      <c r="I21" s="9">
        <f ca="1">ROUND(data_Pt1000[[#This Row],[RaddLow]]+(IF(data_Pt1000[[#This Row],[Rsonde]]=MIN(data_Pt1000[Rsonde]),0,$D20)-data_Pt1000[[#This Row],[Rsonde]]),2)</f>
        <v>-0.4</v>
      </c>
      <c r="J21" s="9" cm="1">
        <f t="array" aca="1" ref="J21" ca="1">MIN(IF(ResValuesR24&gt;=ROUND(data_Pt1000[[#This Row],[Rsonde]],2)-IF(data_Pt1000[[#This Row],[Rsonde]]=MIN(data_Pt1000[Rsonde]),100,$D20),ResValuesR24))</f>
        <v>6.2</v>
      </c>
      <c r="K21" s="9">
        <f ca="1">ROUND(data_Pt1000[[#This Row],[RaddHigh]]+(IF(data_Pt1000[[#This Row],[Rsonde]]=MIN(data_Pt1000[Rsonde]),0,$D20)-data_Pt1000[[#This Row],[Rsonde]]),2)</f>
        <v>0.2</v>
      </c>
      <c r="L21" s="2" cm="1">
        <f t="array" aca="1" ref="L21" ca="1">IF(INDIRECT(RefCell_R77),(data_Pt1000[[#This Row],[Rpcb]]*INDIRECT(RefCell_R77))/(data_Pt1000[[#This Row],[Rpcb]]+INDIRECT(RefCell_R77)),data_Pt1000[[#This Row],[Rpcb]])</f>
        <v>1047.0000000000005</v>
      </c>
      <c r="N21">
        <v>30</v>
      </c>
      <c r="O21">
        <v>1117</v>
      </c>
    </row>
    <row r="22" spans="1:15" x14ac:dyDescent="0.25">
      <c r="A22" t="s">
        <v>36</v>
      </c>
      <c r="B22" s="8">
        <v>13.5</v>
      </c>
      <c r="C22" s="9">
        <f>data_Pt1000[[#This Row],[θ]]*$N$23+$O$23</f>
        <v>1052.6500000000001</v>
      </c>
      <c r="D22" s="9" cm="1">
        <f t="array" aca="1" ref="D22" ca="1">INDIRECT(RefCell_Rpot)+SUM($G$3:G22)</f>
        <v>1052.6000000000004</v>
      </c>
      <c r="E22" s="9">
        <f ca="1">data_Pt1000[[#This Row],[Rpcb]]-data_Pt1000[[#This Row],[Rsonde]]</f>
        <v>-4.9999999999727152E-2</v>
      </c>
      <c r="F22" s="4">
        <f ca="1">data_Pt1000[[#This Row],[Diff R]]/data_Pt1000[[#This Row],[Rsonde]]</f>
        <v>-4.7499168764287417E-5</v>
      </c>
      <c r="G22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22" s="9" cm="1">
        <f t="array" aca="1" ref="H22" ca="1">MAX(IF(ResValuesR24&lt;=ROUND(data_Pt1000[[#This Row],[Rsonde]],2)-IF(data_Pt1000[[#This Row],[Rsonde]]=MIN(data_Pt1000[Rsonde]),100,$D21),ResValuesR24))</f>
        <v>5.6</v>
      </c>
      <c r="I22" s="9">
        <f ca="1">ROUND(data_Pt1000[[#This Row],[RaddLow]]+(IF(data_Pt1000[[#This Row],[Rsonde]]=MIN(data_Pt1000[Rsonde]),0,$D21)-data_Pt1000[[#This Row],[Rsonde]]),2)</f>
        <v>-0.05</v>
      </c>
      <c r="J22" s="9" cm="1">
        <f t="array" aca="1" ref="J22" ca="1">MIN(IF(ResValuesR24&gt;=ROUND(data_Pt1000[[#This Row],[Rsonde]],2)-IF(data_Pt1000[[#This Row],[Rsonde]]=MIN(data_Pt1000[Rsonde]),100,$D21),ResValuesR24))</f>
        <v>6.2</v>
      </c>
      <c r="K22" s="9">
        <f ca="1">ROUND(data_Pt1000[[#This Row],[RaddHigh]]+(IF(data_Pt1000[[#This Row],[Rsonde]]=MIN(data_Pt1000[Rsonde]),0,$D21)-data_Pt1000[[#This Row],[Rsonde]]),2)</f>
        <v>0.55000000000000004</v>
      </c>
      <c r="L22" s="2" cm="1">
        <f t="array" aca="1" ref="L22" ca="1">IF(INDIRECT(RefCell_R77),(data_Pt1000[[#This Row],[Rpcb]]*INDIRECT(RefCell_R77))/(data_Pt1000[[#This Row],[Rpcb]]+INDIRECT(RefCell_R77)),data_Pt1000[[#This Row],[Rpcb]])</f>
        <v>1052.6000000000004</v>
      </c>
      <c r="N22" t="s">
        <v>181</v>
      </c>
      <c r="O22" t="s">
        <v>182</v>
      </c>
    </row>
    <row r="23" spans="1:15" x14ac:dyDescent="0.25">
      <c r="A23" t="s">
        <v>37</v>
      </c>
      <c r="B23" s="8">
        <v>15</v>
      </c>
      <c r="C23" s="9">
        <f>data_Pt1000[[#This Row],[θ]]*$N$23+$O$23</f>
        <v>1058.5</v>
      </c>
      <c r="D23" s="9" cm="1">
        <f t="array" aca="1" ref="D23" ca="1">INDIRECT(RefCell_Rpot)+SUM($G$3:G23)</f>
        <v>1058.8000000000006</v>
      </c>
      <c r="E23" s="9">
        <f ca="1">data_Pt1000[[#This Row],[Rpcb]]-data_Pt1000[[#This Row],[Rsonde]]</f>
        <v>0.30000000000063665</v>
      </c>
      <c r="F23" s="4">
        <f ca="1">data_Pt1000[[#This Row],[Diff R]]/data_Pt1000[[#This Row],[Rsonde]]</f>
        <v>2.8341993386928358E-4</v>
      </c>
      <c r="G23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23" s="9" cm="1">
        <f t="array" aca="1" ref="H23" ca="1">MAX(IF(ResValuesR24&lt;=ROUND(data_Pt1000[[#This Row],[Rsonde]],2)-IF(data_Pt1000[[#This Row],[Rsonde]]=MIN(data_Pt1000[Rsonde]),100,$D22),ResValuesR24))</f>
        <v>5.6</v>
      </c>
      <c r="I23" s="9">
        <f ca="1">ROUND(data_Pt1000[[#This Row],[RaddLow]]+(IF(data_Pt1000[[#This Row],[Rsonde]]=MIN(data_Pt1000[Rsonde]),0,$D22)-data_Pt1000[[#This Row],[Rsonde]]),2)</f>
        <v>-0.3</v>
      </c>
      <c r="J23" s="9" cm="1">
        <f t="array" aca="1" ref="J23" ca="1">MIN(IF(ResValuesR24&gt;=ROUND(data_Pt1000[[#This Row],[Rsonde]],2)-IF(data_Pt1000[[#This Row],[Rsonde]]=MIN(data_Pt1000[Rsonde]),100,$D22),ResValuesR24))</f>
        <v>6.2</v>
      </c>
      <c r="K23" s="9">
        <f ca="1">ROUND(data_Pt1000[[#This Row],[RaddHigh]]+(IF(data_Pt1000[[#This Row],[Rsonde]]=MIN(data_Pt1000[Rsonde]),0,$D22)-data_Pt1000[[#This Row],[Rsonde]]),2)</f>
        <v>0.3</v>
      </c>
      <c r="L23" s="2" cm="1">
        <f t="array" aca="1" ref="L23" ca="1">IF(INDIRECT(RefCell_R77),(data_Pt1000[[#This Row],[Rpcb]]*INDIRECT(RefCell_R77))/(data_Pt1000[[#This Row],[Rpcb]]+INDIRECT(RefCell_R77)),data_Pt1000[[#This Row],[Rpcb]])</f>
        <v>1058.8000000000006</v>
      </c>
      <c r="N23" cm="1">
        <f t="array" ref="N23:O23">LINEST(O20:O21,N20:N21)</f>
        <v>3.9</v>
      </c>
      <c r="O23">
        <v>1000</v>
      </c>
    </row>
    <row r="24" spans="1:15" x14ac:dyDescent="0.25">
      <c r="A24" t="s">
        <v>38</v>
      </c>
      <c r="B24" s="8">
        <v>16.5</v>
      </c>
      <c r="C24" s="9">
        <f>data_Pt1000[[#This Row],[θ]]*$N$23+$O$23</f>
        <v>1064.3499999999999</v>
      </c>
      <c r="D24" s="9" cm="1">
        <f t="array" aca="1" ref="D24" ca="1">INDIRECT(RefCell_Rpot)+SUM($G$3:G24)</f>
        <v>1064.4000000000005</v>
      </c>
      <c r="E24" s="9">
        <f ca="1">data_Pt1000[[#This Row],[Rpcb]]-data_Pt1000[[#This Row],[Rsonde]]</f>
        <v>5.0000000000636646E-2</v>
      </c>
      <c r="F24" s="4">
        <f ca="1">data_Pt1000[[#This Row],[Diff R]]/data_Pt1000[[#This Row],[Rsonde]]</f>
        <v>4.697702823379213E-5</v>
      </c>
      <c r="G24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24" s="9" cm="1">
        <f t="array" aca="1" ref="H24" ca="1">MAX(IF(ResValuesR24&lt;=ROUND(data_Pt1000[[#This Row],[Rsonde]],2)-IF(data_Pt1000[[#This Row],[Rsonde]]=MIN(data_Pt1000[Rsonde]),100,$D23),ResValuesR24))</f>
        <v>5.0999999999999996</v>
      </c>
      <c r="I24" s="9">
        <f ca="1">ROUND(data_Pt1000[[#This Row],[RaddLow]]+(IF(data_Pt1000[[#This Row],[Rsonde]]=MIN(data_Pt1000[Rsonde]),0,$D23)-data_Pt1000[[#This Row],[Rsonde]]),2)</f>
        <v>-0.45</v>
      </c>
      <c r="J24" s="9" cm="1">
        <f t="array" aca="1" ref="J24" ca="1">MIN(IF(ResValuesR24&gt;=ROUND(data_Pt1000[[#This Row],[Rsonde]],2)-IF(data_Pt1000[[#This Row],[Rsonde]]=MIN(data_Pt1000[Rsonde]),100,$D23),ResValuesR24))</f>
        <v>5.6</v>
      </c>
      <c r="K24" s="9">
        <f ca="1">ROUND(data_Pt1000[[#This Row],[RaddHigh]]+(IF(data_Pt1000[[#This Row],[Rsonde]]=MIN(data_Pt1000[Rsonde]),0,$D23)-data_Pt1000[[#This Row],[Rsonde]]),2)</f>
        <v>0.05</v>
      </c>
      <c r="L24" s="2" cm="1">
        <f t="array" aca="1" ref="L24" ca="1">IF(INDIRECT(RefCell_R77),(data_Pt1000[[#This Row],[Rpcb]]*INDIRECT(RefCell_R77))/(data_Pt1000[[#This Row],[Rpcb]]+INDIRECT(RefCell_R77)),data_Pt1000[[#This Row],[Rpcb]])</f>
        <v>1064.4000000000005</v>
      </c>
    </row>
    <row r="25" spans="1:15" x14ac:dyDescent="0.25">
      <c r="A25" t="s">
        <v>39</v>
      </c>
      <c r="B25" s="8">
        <v>18</v>
      </c>
      <c r="C25" s="9">
        <f>data_Pt1000[[#This Row],[θ]]*$N$23+$O$23</f>
        <v>1070.2</v>
      </c>
      <c r="D25" s="9" cm="1">
        <f t="array" aca="1" ref="D25" ca="1">INDIRECT(RefCell_Rpot)+SUM($G$3:G25)</f>
        <v>1070.0000000000005</v>
      </c>
      <c r="E25" s="9">
        <f ca="1">data_Pt1000[[#This Row],[Rpcb]]-data_Pt1000[[#This Row],[Rsonde]]</f>
        <v>-0.19999999999959073</v>
      </c>
      <c r="F25" s="4">
        <f ca="1">data_Pt1000[[#This Row],[Diff R]]/data_Pt1000[[#This Row],[Rsonde]]</f>
        <v>-1.8688095683011655E-4</v>
      </c>
      <c r="G25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25" s="9" cm="1">
        <f t="array" aca="1" ref="H25" ca="1">MAX(IF(ResValuesR24&lt;=ROUND(data_Pt1000[[#This Row],[Rsonde]],2)-IF(data_Pt1000[[#This Row],[Rsonde]]=MIN(data_Pt1000[Rsonde]),100,$D24),ResValuesR24))</f>
        <v>5.6</v>
      </c>
      <c r="I25" s="9">
        <f ca="1">ROUND(data_Pt1000[[#This Row],[RaddLow]]+(IF(data_Pt1000[[#This Row],[Rsonde]]=MIN(data_Pt1000[Rsonde]),0,$D24)-data_Pt1000[[#This Row],[Rsonde]]),2)</f>
        <v>-0.2</v>
      </c>
      <c r="J25" s="9" cm="1">
        <f t="array" aca="1" ref="J25" ca="1">MIN(IF(ResValuesR24&gt;=ROUND(data_Pt1000[[#This Row],[Rsonde]],2)-IF(data_Pt1000[[#This Row],[Rsonde]]=MIN(data_Pt1000[Rsonde]),100,$D24),ResValuesR24))</f>
        <v>6.2</v>
      </c>
      <c r="K25" s="9">
        <f ca="1">ROUND(data_Pt1000[[#This Row],[RaddHigh]]+(IF(data_Pt1000[[#This Row],[Rsonde]]=MIN(data_Pt1000[Rsonde]),0,$D24)-data_Pt1000[[#This Row],[Rsonde]]),2)</f>
        <v>0.4</v>
      </c>
      <c r="L25" s="2" cm="1">
        <f t="array" aca="1" ref="L25" ca="1">IF(INDIRECT(RefCell_R77),(data_Pt1000[[#This Row],[Rpcb]]*INDIRECT(RefCell_R77))/(data_Pt1000[[#This Row],[Rpcb]]+INDIRECT(RefCell_R77)),data_Pt1000[[#This Row],[Rpcb]])</f>
        <v>1070.0000000000005</v>
      </c>
    </row>
    <row r="26" spans="1:15" x14ac:dyDescent="0.25">
      <c r="A26" t="s">
        <v>40</v>
      </c>
      <c r="B26" s="8">
        <v>19.5</v>
      </c>
      <c r="C26" s="9">
        <f>data_Pt1000[[#This Row],[θ]]*$N$23+$O$23</f>
        <v>1076.05</v>
      </c>
      <c r="D26" s="9" cm="1">
        <f t="array" aca="1" ref="D26" ca="1">INDIRECT(RefCell_Rpot)+SUM($G$3:G26)</f>
        <v>1076.2000000000007</v>
      </c>
      <c r="E26" s="9">
        <f ca="1">data_Pt1000[[#This Row],[Rpcb]]-data_Pt1000[[#This Row],[Rsonde]]</f>
        <v>0.15000000000077307</v>
      </c>
      <c r="F26" s="4">
        <f ca="1">data_Pt1000[[#This Row],[Diff R]]/data_Pt1000[[#This Row],[Rsonde]]</f>
        <v>1.393987268256801E-4</v>
      </c>
      <c r="G26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26" s="9" cm="1">
        <f t="array" aca="1" ref="H26" ca="1">MAX(IF(ResValuesR24&lt;=ROUND(data_Pt1000[[#This Row],[Rsonde]],2)-IF(data_Pt1000[[#This Row],[Rsonde]]=MIN(data_Pt1000[Rsonde]),100,$D25),ResValuesR24))</f>
        <v>5.6</v>
      </c>
      <c r="I26" s="9">
        <f ca="1">ROUND(data_Pt1000[[#This Row],[RaddLow]]+(IF(data_Pt1000[[#This Row],[Rsonde]]=MIN(data_Pt1000[Rsonde]),0,$D25)-data_Pt1000[[#This Row],[Rsonde]]),2)</f>
        <v>-0.45</v>
      </c>
      <c r="J26" s="9" cm="1">
        <f t="array" aca="1" ref="J26" ca="1">MIN(IF(ResValuesR24&gt;=ROUND(data_Pt1000[[#This Row],[Rsonde]],2)-IF(data_Pt1000[[#This Row],[Rsonde]]=MIN(data_Pt1000[Rsonde]),100,$D25),ResValuesR24))</f>
        <v>6.2</v>
      </c>
      <c r="K26" s="9">
        <f ca="1">ROUND(data_Pt1000[[#This Row],[RaddHigh]]+(IF(data_Pt1000[[#This Row],[Rsonde]]=MIN(data_Pt1000[Rsonde]),0,$D25)-data_Pt1000[[#This Row],[Rsonde]]),2)</f>
        <v>0.15</v>
      </c>
      <c r="L26" s="2" cm="1">
        <f t="array" aca="1" ref="L26" ca="1">IF(INDIRECT(RefCell_R77),(data_Pt1000[[#This Row],[Rpcb]]*INDIRECT(RefCell_R77))/(data_Pt1000[[#This Row],[Rpcb]]+INDIRECT(RefCell_R77)),data_Pt1000[[#This Row],[Rpcb]])</f>
        <v>1076.2000000000007</v>
      </c>
    </row>
    <row r="27" spans="1:15" x14ac:dyDescent="0.25">
      <c r="A27" t="s">
        <v>41</v>
      </c>
      <c r="B27" s="8">
        <v>21</v>
      </c>
      <c r="C27" s="9">
        <f>data_Pt1000[[#This Row],[θ]]*$N$23+$O$23</f>
        <v>1081.9000000000001</v>
      </c>
      <c r="D27" s="9" cm="1">
        <f t="array" aca="1" ref="D27" ca="1">INDIRECT(RefCell_Rpot)+SUM($G$3:G27)</f>
        <v>1081.8000000000006</v>
      </c>
      <c r="E27" s="9">
        <f ca="1">data_Pt1000[[#This Row],[Rpcb]]-data_Pt1000[[#This Row],[Rsonde]]</f>
        <v>-9.9999999999454303E-2</v>
      </c>
      <c r="F27" s="4">
        <f ca="1">data_Pt1000[[#This Row],[Diff R]]/data_Pt1000[[#This Row],[Rsonde]]</f>
        <v>-9.2429984286398283E-5</v>
      </c>
      <c r="G27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27" s="9" cm="1">
        <f t="array" aca="1" ref="H27" ca="1">MAX(IF(ResValuesR24&lt;=ROUND(data_Pt1000[[#This Row],[Rsonde]],2)-IF(data_Pt1000[[#This Row],[Rsonde]]=MIN(data_Pt1000[Rsonde]),100,$D26),ResValuesR24))</f>
        <v>5.6</v>
      </c>
      <c r="I27" s="9">
        <f ca="1">ROUND(data_Pt1000[[#This Row],[RaddLow]]+(IF(data_Pt1000[[#This Row],[Rsonde]]=MIN(data_Pt1000[Rsonde]),0,$D26)-data_Pt1000[[#This Row],[Rsonde]]),2)</f>
        <v>-0.1</v>
      </c>
      <c r="J27" s="9" cm="1">
        <f t="array" aca="1" ref="J27" ca="1">MIN(IF(ResValuesR24&gt;=ROUND(data_Pt1000[[#This Row],[Rsonde]],2)-IF(data_Pt1000[[#This Row],[Rsonde]]=MIN(data_Pt1000[Rsonde]),100,$D26),ResValuesR24))</f>
        <v>6.2</v>
      </c>
      <c r="K27" s="9">
        <f ca="1">ROUND(data_Pt1000[[#This Row],[RaddHigh]]+(IF(data_Pt1000[[#This Row],[Rsonde]]=MIN(data_Pt1000[Rsonde]),0,$D26)-data_Pt1000[[#This Row],[Rsonde]]),2)</f>
        <v>0.5</v>
      </c>
      <c r="L27" s="2" cm="1">
        <f t="array" aca="1" ref="L27" ca="1">IF(INDIRECT(RefCell_R77),(data_Pt1000[[#This Row],[Rpcb]]*INDIRECT(RefCell_R77))/(data_Pt1000[[#This Row],[Rpcb]]+INDIRECT(RefCell_R77)),data_Pt1000[[#This Row],[Rpcb]])</f>
        <v>1081.8000000000006</v>
      </c>
    </row>
    <row r="28" spans="1:15" x14ac:dyDescent="0.25">
      <c r="A28" t="s">
        <v>42</v>
      </c>
      <c r="B28" s="8">
        <v>22.5</v>
      </c>
      <c r="C28" s="9">
        <f>data_Pt1000[[#This Row],[θ]]*$N$23+$O$23</f>
        <v>1087.75</v>
      </c>
      <c r="D28" s="9" cm="1">
        <f t="array" aca="1" ref="D28" ca="1">INDIRECT(RefCell_Rpot)+SUM($G$3:G28)</f>
        <v>1088.0000000000007</v>
      </c>
      <c r="E28" s="9">
        <f ca="1">data_Pt1000[[#This Row],[Rpcb]]-data_Pt1000[[#This Row],[Rsonde]]</f>
        <v>0.25000000000068212</v>
      </c>
      <c r="F28" s="4">
        <f ca="1">data_Pt1000[[#This Row],[Diff R]]/data_Pt1000[[#This Row],[Rsonde]]</f>
        <v>2.2983222247821846E-4</v>
      </c>
      <c r="G28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28" s="9" cm="1">
        <f t="array" aca="1" ref="H28" ca="1">MAX(IF(ResValuesR24&lt;=ROUND(data_Pt1000[[#This Row],[Rsonde]],2)-IF(data_Pt1000[[#This Row],[Rsonde]]=MIN(data_Pt1000[Rsonde]),100,$D27),ResValuesR24))</f>
        <v>5.6</v>
      </c>
      <c r="I28" s="9">
        <f ca="1">ROUND(data_Pt1000[[#This Row],[RaddLow]]+(IF(data_Pt1000[[#This Row],[Rsonde]]=MIN(data_Pt1000[Rsonde]),0,$D27)-data_Pt1000[[#This Row],[Rsonde]]),2)</f>
        <v>-0.35</v>
      </c>
      <c r="J28" s="9" cm="1">
        <f t="array" aca="1" ref="J28" ca="1">MIN(IF(ResValuesR24&gt;=ROUND(data_Pt1000[[#This Row],[Rsonde]],2)-IF(data_Pt1000[[#This Row],[Rsonde]]=MIN(data_Pt1000[Rsonde]),100,$D27),ResValuesR24))</f>
        <v>6.2</v>
      </c>
      <c r="K28" s="9">
        <f ca="1">ROUND(data_Pt1000[[#This Row],[RaddHigh]]+(IF(data_Pt1000[[#This Row],[Rsonde]]=MIN(data_Pt1000[Rsonde]),0,$D27)-data_Pt1000[[#This Row],[Rsonde]]),2)</f>
        <v>0.25</v>
      </c>
      <c r="L28" s="2" cm="1">
        <f t="array" aca="1" ref="L28" ca="1">IF(INDIRECT(RefCell_R77),(data_Pt1000[[#This Row],[Rpcb]]*INDIRECT(RefCell_R77))/(data_Pt1000[[#This Row],[Rpcb]]+INDIRECT(RefCell_R77)),data_Pt1000[[#This Row],[Rpcb]])</f>
        <v>1088.0000000000007</v>
      </c>
    </row>
    <row r="29" spans="1:15" x14ac:dyDescent="0.25">
      <c r="A29" t="s">
        <v>43</v>
      </c>
      <c r="B29" s="8">
        <v>24</v>
      </c>
      <c r="C29" s="9">
        <f>data_Pt1000[[#This Row],[θ]]*$N$23+$O$23</f>
        <v>1093.5999999999999</v>
      </c>
      <c r="D29" s="9" cm="1">
        <f t="array" aca="1" ref="D29" ca="1">INDIRECT(RefCell_Rpot)+SUM($G$3:G29)</f>
        <v>1093.6000000000008</v>
      </c>
      <c r="E29" s="9">
        <f ca="1">data_Pt1000[[#This Row],[Rpcb]]-data_Pt1000[[#This Row],[Rsonde]]</f>
        <v>0</v>
      </c>
      <c r="F29" s="4">
        <f ca="1">data_Pt1000[[#This Row],[Diff R]]/data_Pt1000[[#This Row],[Rsonde]]</f>
        <v>0</v>
      </c>
      <c r="G29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29" s="9" cm="1">
        <f t="array" aca="1" ref="H29" ca="1">MAX(IF(ResValuesR24&lt;=ROUND(data_Pt1000[[#This Row],[Rsonde]],2)-IF(data_Pt1000[[#This Row],[Rsonde]]=MIN(data_Pt1000[Rsonde]),100,$D28),ResValuesR24))</f>
        <v>5.0999999999999996</v>
      </c>
      <c r="I29" s="9">
        <f ca="1">ROUND(data_Pt1000[[#This Row],[RaddLow]]+(IF(data_Pt1000[[#This Row],[Rsonde]]=MIN(data_Pt1000[Rsonde]),0,$D28)-data_Pt1000[[#This Row],[Rsonde]]),2)</f>
        <v>-0.5</v>
      </c>
      <c r="J29" s="9" cm="1">
        <f t="array" aca="1" ref="J29" ca="1">MIN(IF(ResValuesR24&gt;=ROUND(data_Pt1000[[#This Row],[Rsonde]],2)-IF(data_Pt1000[[#This Row],[Rsonde]]=MIN(data_Pt1000[Rsonde]),100,$D28),ResValuesR24))</f>
        <v>5.6</v>
      </c>
      <c r="K29" s="9">
        <f ca="1">ROUND(data_Pt1000[[#This Row],[RaddHigh]]+(IF(data_Pt1000[[#This Row],[Rsonde]]=MIN(data_Pt1000[Rsonde]),0,$D28)-data_Pt1000[[#This Row],[Rsonde]]),2)</f>
        <v>0</v>
      </c>
      <c r="L29" s="2" cm="1">
        <f t="array" aca="1" ref="L29" ca="1">IF(INDIRECT(RefCell_R77),(data_Pt1000[[#This Row],[Rpcb]]*INDIRECT(RefCell_R77))/(data_Pt1000[[#This Row],[Rpcb]]+INDIRECT(RefCell_R77)),data_Pt1000[[#This Row],[Rpcb]])</f>
        <v>1093.6000000000008</v>
      </c>
    </row>
    <row r="30" spans="1:15" x14ac:dyDescent="0.25">
      <c r="A30" t="s">
        <v>44</v>
      </c>
      <c r="B30" s="8">
        <v>25.5</v>
      </c>
      <c r="C30" s="9">
        <f>data_Pt1000[[#This Row],[θ]]*$N$23+$O$23</f>
        <v>1099.45</v>
      </c>
      <c r="D30" s="9" cm="1">
        <f t="array" aca="1" ref="D30" ca="1">INDIRECT(RefCell_Rpot)+SUM($G$3:G30)</f>
        <v>1099.2000000000007</v>
      </c>
      <c r="E30" s="9">
        <f ca="1">data_Pt1000[[#This Row],[Rpcb]]-data_Pt1000[[#This Row],[Rsonde]]</f>
        <v>-0.24999999999931788</v>
      </c>
      <c r="F30" s="4">
        <f ca="1">data_Pt1000[[#This Row],[Diff R]]/data_Pt1000[[#This Row],[Rsonde]]</f>
        <v>-2.2738642048234832E-4</v>
      </c>
      <c r="G30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30" s="9" cm="1">
        <f t="array" aca="1" ref="H30" ca="1">MAX(IF(ResValuesR24&lt;=ROUND(data_Pt1000[[#This Row],[Rsonde]],2)-IF(data_Pt1000[[#This Row],[Rsonde]]=MIN(data_Pt1000[Rsonde]),100,$D29),ResValuesR24))</f>
        <v>5.6</v>
      </c>
      <c r="I30" s="9">
        <f ca="1">ROUND(data_Pt1000[[#This Row],[RaddLow]]+(IF(data_Pt1000[[#This Row],[Rsonde]]=MIN(data_Pt1000[Rsonde]),0,$D29)-data_Pt1000[[#This Row],[Rsonde]]),2)</f>
        <v>-0.25</v>
      </c>
      <c r="J30" s="9" cm="1">
        <f t="array" aca="1" ref="J30" ca="1">MIN(IF(ResValuesR24&gt;=ROUND(data_Pt1000[[#This Row],[Rsonde]],2)-IF(data_Pt1000[[#This Row],[Rsonde]]=MIN(data_Pt1000[Rsonde]),100,$D29),ResValuesR24))</f>
        <v>6.2</v>
      </c>
      <c r="K30" s="9">
        <f ca="1">ROUND(data_Pt1000[[#This Row],[RaddHigh]]+(IF(data_Pt1000[[#This Row],[Rsonde]]=MIN(data_Pt1000[Rsonde]),0,$D29)-data_Pt1000[[#This Row],[Rsonde]]),2)</f>
        <v>0.35</v>
      </c>
      <c r="L30" s="2" cm="1">
        <f t="array" aca="1" ref="L30" ca="1">IF(INDIRECT(RefCell_R77),(data_Pt1000[[#This Row],[Rpcb]]*INDIRECT(RefCell_R77))/(data_Pt1000[[#This Row],[Rpcb]]+INDIRECT(RefCell_R77)),data_Pt1000[[#This Row],[Rpcb]])</f>
        <v>1099.2000000000007</v>
      </c>
    </row>
    <row r="31" spans="1:15" x14ac:dyDescent="0.25">
      <c r="A31" t="s">
        <v>45</v>
      </c>
      <c r="B31" s="8">
        <v>27</v>
      </c>
      <c r="C31" s="9">
        <f>data_Pt1000[[#This Row],[θ]]*$N$23+$O$23</f>
        <v>1105.3</v>
      </c>
      <c r="D31" s="9" cm="1">
        <f t="array" aca="1" ref="D31" ca="1">INDIRECT(RefCell_Rpot)+SUM($G$3:G31)</f>
        <v>1105.4000000000008</v>
      </c>
      <c r="E31" s="9">
        <f ca="1">data_Pt1000[[#This Row],[Rpcb]]-data_Pt1000[[#This Row],[Rsonde]]</f>
        <v>0.10000000000081855</v>
      </c>
      <c r="F31" s="4">
        <f ca="1">data_Pt1000[[#This Row],[Diff R]]/data_Pt1000[[#This Row],[Rsonde]]</f>
        <v>9.0473174704440922E-5</v>
      </c>
      <c r="G31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31" s="9" cm="1">
        <f t="array" aca="1" ref="H31" ca="1">MAX(IF(ResValuesR24&lt;=ROUND(data_Pt1000[[#This Row],[Rsonde]],2)-IF(data_Pt1000[[#This Row],[Rsonde]]=MIN(data_Pt1000[Rsonde]),100,$D30),ResValuesR24))</f>
        <v>5.6</v>
      </c>
      <c r="I31" s="9">
        <f ca="1">ROUND(data_Pt1000[[#This Row],[RaddLow]]+(IF(data_Pt1000[[#This Row],[Rsonde]]=MIN(data_Pt1000[Rsonde]),0,$D30)-data_Pt1000[[#This Row],[Rsonde]]),2)</f>
        <v>-0.5</v>
      </c>
      <c r="J31" s="9" cm="1">
        <f t="array" aca="1" ref="J31" ca="1">MIN(IF(ResValuesR24&gt;=ROUND(data_Pt1000[[#This Row],[Rsonde]],2)-IF(data_Pt1000[[#This Row],[Rsonde]]=MIN(data_Pt1000[Rsonde]),100,$D30),ResValuesR24))</f>
        <v>6.2</v>
      </c>
      <c r="K31" s="9">
        <f ca="1">ROUND(data_Pt1000[[#This Row],[RaddHigh]]+(IF(data_Pt1000[[#This Row],[Rsonde]]=MIN(data_Pt1000[Rsonde]),0,$D30)-data_Pt1000[[#This Row],[Rsonde]]),2)</f>
        <v>0.1</v>
      </c>
      <c r="L31" s="2" cm="1">
        <f t="array" aca="1" ref="L31" ca="1">IF(INDIRECT(RefCell_R77),(data_Pt1000[[#This Row],[Rpcb]]*INDIRECT(RefCell_R77))/(data_Pt1000[[#This Row],[Rpcb]]+INDIRECT(RefCell_R77)),data_Pt1000[[#This Row],[Rpcb]])</f>
        <v>1105.4000000000008</v>
      </c>
    </row>
    <row r="32" spans="1:15" x14ac:dyDescent="0.25">
      <c r="A32" t="s">
        <v>46</v>
      </c>
      <c r="B32" s="8">
        <v>28.5</v>
      </c>
      <c r="C32" s="9">
        <f>data_Pt1000[[#This Row],[θ]]*$N$23+$O$23</f>
        <v>1111.1500000000001</v>
      </c>
      <c r="D32" s="9" cm="1">
        <f t="array" aca="1" ref="D32" ca="1">INDIRECT(RefCell_Rpot)+SUM($G$3:G32)</f>
        <v>1111.0000000000009</v>
      </c>
      <c r="E32" s="9">
        <f ca="1">data_Pt1000[[#This Row],[Rpcb]]-data_Pt1000[[#This Row],[Rsonde]]</f>
        <v>-0.14999999999918145</v>
      </c>
      <c r="F32" s="4">
        <f ca="1">data_Pt1000[[#This Row],[Diff R]]/data_Pt1000[[#This Row],[Rsonde]]</f>
        <v>-1.3499527516463254E-4</v>
      </c>
      <c r="G32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32" s="9" cm="1">
        <f t="array" aca="1" ref="H32" ca="1">MAX(IF(ResValuesR24&lt;=ROUND(data_Pt1000[[#This Row],[Rsonde]],2)-IF(data_Pt1000[[#This Row],[Rsonde]]=MIN(data_Pt1000[Rsonde]),100,$D31),ResValuesR24))</f>
        <v>5.6</v>
      </c>
      <c r="I32" s="9">
        <f ca="1">ROUND(data_Pt1000[[#This Row],[RaddLow]]+(IF(data_Pt1000[[#This Row],[Rsonde]]=MIN(data_Pt1000[Rsonde]),0,$D31)-data_Pt1000[[#This Row],[Rsonde]]),2)</f>
        <v>-0.15</v>
      </c>
      <c r="J32" s="9" cm="1">
        <f t="array" aca="1" ref="J32" ca="1">MIN(IF(ResValuesR24&gt;=ROUND(data_Pt1000[[#This Row],[Rsonde]],2)-IF(data_Pt1000[[#This Row],[Rsonde]]=MIN(data_Pt1000[Rsonde]),100,$D31),ResValuesR24))</f>
        <v>6.2</v>
      </c>
      <c r="K32" s="9">
        <f ca="1">ROUND(data_Pt1000[[#This Row],[RaddHigh]]+(IF(data_Pt1000[[#This Row],[Rsonde]]=MIN(data_Pt1000[Rsonde]),0,$D31)-data_Pt1000[[#This Row],[Rsonde]]),2)</f>
        <v>0.45</v>
      </c>
      <c r="L32" s="2" cm="1">
        <f t="array" aca="1" ref="L32" ca="1">IF(INDIRECT(RefCell_R77),(data_Pt1000[[#This Row],[Rpcb]]*INDIRECT(RefCell_R77))/(data_Pt1000[[#This Row],[Rpcb]]+INDIRECT(RefCell_R77)),data_Pt1000[[#This Row],[Rpcb]])</f>
        <v>1111.0000000000009</v>
      </c>
    </row>
    <row r="33" spans="1:12" x14ac:dyDescent="0.25">
      <c r="A33" t="s">
        <v>47</v>
      </c>
      <c r="B33" s="8">
        <v>30</v>
      </c>
      <c r="C33" s="9">
        <f>data_Pt1000[[#This Row],[θ]]*$N$23+$O$23</f>
        <v>1117</v>
      </c>
      <c r="D33" s="9" cm="1">
        <f t="array" aca="1" ref="D33" ca="1">INDIRECT(RefCell_Rpot)+SUM($G$3:G33)</f>
        <v>1117.2000000000007</v>
      </c>
      <c r="E33" s="9">
        <f ca="1">data_Pt1000[[#This Row],[Rpcb]]-data_Pt1000[[#This Row],[Rsonde]]</f>
        <v>0.2000000000007276</v>
      </c>
      <c r="F33" s="4">
        <f ca="1">data_Pt1000[[#This Row],[Diff R]]/data_Pt1000[[#This Row],[Rsonde]]</f>
        <v>1.7905102954407127E-4</v>
      </c>
      <c r="G33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33" s="9" cm="1">
        <f t="array" aca="1" ref="H33" ca="1">MAX(IF(ResValuesR24&lt;=ROUND(data_Pt1000[[#This Row],[Rsonde]],2)-IF(data_Pt1000[[#This Row],[Rsonde]]=MIN(data_Pt1000[Rsonde]),100,$D32),ResValuesR24))</f>
        <v>5.6</v>
      </c>
      <c r="I33" s="9">
        <f ca="1">ROUND(data_Pt1000[[#This Row],[RaddLow]]+(IF(data_Pt1000[[#This Row],[Rsonde]]=MIN(data_Pt1000[Rsonde]),0,$D32)-data_Pt1000[[#This Row],[Rsonde]]),2)</f>
        <v>-0.4</v>
      </c>
      <c r="J33" s="9" cm="1">
        <f t="array" aca="1" ref="J33" ca="1">MIN(IF(ResValuesR24&gt;=ROUND(data_Pt1000[[#This Row],[Rsonde]],2)-IF(data_Pt1000[[#This Row],[Rsonde]]=MIN(data_Pt1000[Rsonde]),100,$D32),ResValuesR24))</f>
        <v>6.2</v>
      </c>
      <c r="K33" s="9">
        <f ca="1">ROUND(data_Pt1000[[#This Row],[RaddHigh]]+(IF(data_Pt1000[[#This Row],[Rsonde]]=MIN(data_Pt1000[Rsonde]),0,$D32)-data_Pt1000[[#This Row],[Rsonde]]),2)</f>
        <v>0.2</v>
      </c>
      <c r="L33" s="2" cm="1">
        <f t="array" aca="1" ref="L33" ca="1">IF(INDIRECT(RefCell_R77),(data_Pt1000[[#This Row],[Rpcb]]*INDIRECT(RefCell_R77))/(data_Pt1000[[#This Row],[Rpcb]]+INDIRECT(RefCell_R77)),data_Pt1000[[#This Row],[Rpcb]])</f>
        <v>1117.2000000000007</v>
      </c>
    </row>
    <row r="34" spans="1:12" x14ac:dyDescent="0.25">
      <c r="A34" t="s">
        <v>48</v>
      </c>
      <c r="B34" s="8">
        <v>31.5</v>
      </c>
      <c r="C34" s="9">
        <f>data_Pt1000[[#This Row],[θ]]*$N$23+$O$23</f>
        <v>1122.8499999999999</v>
      </c>
      <c r="D34" s="9" cm="1">
        <f t="array" aca="1" ref="D34" ca="1">INDIRECT(RefCell_Rpot)+SUM($G$3:G34)</f>
        <v>1122.8000000000009</v>
      </c>
      <c r="E34" s="9">
        <f ca="1">data_Pt1000[[#This Row],[Rpcb]]-data_Pt1000[[#This Row],[Rsonde]]</f>
        <v>-4.9999999999045031E-2</v>
      </c>
      <c r="F34" s="4">
        <f ca="1">data_Pt1000[[#This Row],[Diff R]]/data_Pt1000[[#This Row],[Rsonde]]</f>
        <v>-4.4529545352491457E-5</v>
      </c>
      <c r="G34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34" s="9" cm="1">
        <f t="array" aca="1" ref="H34" ca="1">MAX(IF(ResValuesR24&lt;=ROUND(data_Pt1000[[#This Row],[Rsonde]],2)-IF(data_Pt1000[[#This Row],[Rsonde]]=MIN(data_Pt1000[Rsonde]),100,$D33),ResValuesR24))</f>
        <v>5.6</v>
      </c>
      <c r="I34" s="9">
        <f ca="1">ROUND(data_Pt1000[[#This Row],[RaddLow]]+(IF(data_Pt1000[[#This Row],[Rsonde]]=MIN(data_Pt1000[Rsonde]),0,$D33)-data_Pt1000[[#This Row],[Rsonde]]),2)</f>
        <v>-0.05</v>
      </c>
      <c r="J34" s="9" cm="1">
        <f t="array" aca="1" ref="J34" ca="1">MIN(IF(ResValuesR24&gt;=ROUND(data_Pt1000[[#This Row],[Rsonde]],2)-IF(data_Pt1000[[#This Row],[Rsonde]]=MIN(data_Pt1000[Rsonde]),100,$D33),ResValuesR24))</f>
        <v>6.2</v>
      </c>
      <c r="K34" s="9">
        <f ca="1">ROUND(data_Pt1000[[#This Row],[RaddHigh]]+(IF(data_Pt1000[[#This Row],[Rsonde]]=MIN(data_Pt1000[Rsonde]),0,$D33)-data_Pt1000[[#This Row],[Rsonde]]),2)</f>
        <v>0.55000000000000004</v>
      </c>
      <c r="L34" s="2" cm="1">
        <f t="array" aca="1" ref="L34" ca="1">IF(INDIRECT(RefCell_R77),(data_Pt1000[[#This Row],[Rpcb]]*INDIRECT(RefCell_R77))/(data_Pt1000[[#This Row],[Rpcb]]+INDIRECT(RefCell_R77)),data_Pt1000[[#This Row],[Rpcb]])</f>
        <v>1122.8000000000009</v>
      </c>
    </row>
  </sheetData>
  <mergeCells count="1">
    <mergeCell ref="A1:L1"/>
  </mergeCells>
  <conditionalFormatting sqref="F3:F34">
    <cfRule type="cellIs" dxfId="75" priority="1" operator="between">
      <formula>-0.005</formula>
      <formula>0.005</formula>
    </cfRule>
  </conditionalFormatting>
  <dataValidations count="1">
    <dataValidation type="list" allowBlank="1" showInputMessage="1" showErrorMessage="1" sqref="O3" xr:uid="{F25893E0-8ED7-4533-ACF6-F7EFCF946F2D}">
      <formula1>INDIRECT("TableR77[R]")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0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1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2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3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4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5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6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DD3F2-8B0B-47AD-A7B7-534E45CD7DC9}">
  <sheetPr codeName="Feuil24"/>
  <dimension ref="A1:Q71"/>
  <sheetViews>
    <sheetView workbookViewId="0">
      <selection sqref="A1:L1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82</v>
      </c>
      <c r="P2" s="7" t="s">
        <v>113</v>
      </c>
    </row>
    <row r="3" spans="1:16" x14ac:dyDescent="0.25">
      <c r="A3" t="s">
        <v>48</v>
      </c>
      <c r="B3" s="8">
        <v>-15</v>
      </c>
      <c r="C3" s="9">
        <f>data_Siemens_QAC32[[#This Row],[θ]]*P$21+Q$21</f>
        <v>652.89446455505276</v>
      </c>
      <c r="D3" s="9" cm="1">
        <f t="array" aca="1" ref="D3" ca="1">INDIRECT(RefCell_Rpot)+SUM(G3:G$34)</f>
        <v>652.79999999999995</v>
      </c>
      <c r="E3" s="9">
        <f ca="1">data_Siemens_QAC32[[#This Row],[Rpcb]]-data_Siemens_QAC32[[#This Row],[Rsonde]]</f>
        <v>-9.4464555052809374E-2</v>
      </c>
      <c r="F3" s="4">
        <f ca="1">data_Siemens_QAC32[[#This Row],[Diff R]]/data_Siemens_QAC32[[#This Row],[Rsonde]]</f>
        <v>-1.4468579560892268E-4</v>
      </c>
      <c r="G3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3" s="9" cm="1">
        <f t="array" aca="1" ref="H3" ca="1">MAX(IF(ResValuesR24&lt;=ROUND(data_Siemens_QAC32[[#This Row],[Rsonde]],2)-IF(data_Siemens_QAC32[[#This Row],[Rsonde]]=MIN(data_Siemens_QAC32[Rsonde]),100,$D4),ResValuesR24))</f>
        <v>3.3</v>
      </c>
      <c r="I3" s="9">
        <f ca="1">ROUND(data_Siemens_QAC32[[#This Row],[RaddLow]]+(IF(data_Siemens_QAC32[[#This Row],[Rsonde]]=MIN(data_Siemens_QAC32[Rsonde]),0,$D4)-data_Siemens_QAC32[[#This Row],[Rsonde]]),2)</f>
        <v>-0.09</v>
      </c>
      <c r="J3" s="9" cm="1">
        <f t="array" aca="1" ref="J3" ca="1">MIN(IF(ResValuesR24&gt;=ROUND(data_Siemens_QAC32[[#This Row],[Rsonde]],2)-IF(data_Siemens_QAC32[[#This Row],[Rsonde]]=MIN(data_Siemens_QAC32[Rsonde]),100,$D4),ResValuesR24))</f>
        <v>3.6</v>
      </c>
      <c r="K3" s="9">
        <f ca="1">ROUND(data_Siemens_QAC32[[#This Row],[RaddHigh]]+(IF(data_Siemens_QAC32[[#This Row],[Rsonde]]=MIN(data_Siemens_QAC32[Rsonde]),0,$D4)-data_Siemens_QAC32[[#This Row],[Rsonde]]),2)</f>
        <v>0.21</v>
      </c>
      <c r="L3" s="2" cm="1">
        <f t="array" aca="1" ref="L3" ca="1">IF(INDIRECT(RefCell_R77),(data_Siemens_QAC32[[#This Row],[Rpcb]]*INDIRECT(RefCell_R77))/(data_Siemens_QAC32[[#This Row],[Rpcb]]+INDIRECT(RefCell_R77)),data_Siemens_QAC32[[#This Row],[Rpcb]])</f>
        <v>652.79999999999995</v>
      </c>
      <c r="N3" t="s">
        <v>112</v>
      </c>
      <c r="P3" s="7" t="s">
        <v>113</v>
      </c>
    </row>
    <row r="4" spans="1:16" x14ac:dyDescent="0.25">
      <c r="A4" t="s">
        <v>47</v>
      </c>
      <c r="B4" s="8">
        <v>-13.5</v>
      </c>
      <c r="C4" s="9">
        <f>data_Siemens_QAC32[[#This Row],[θ]]*P$21+Q$21</f>
        <v>649.62874736048263</v>
      </c>
      <c r="D4" s="9" cm="1">
        <f t="array" aca="1" ref="D4" ca="1">INDIRECT(RefCell_Rpot)+SUM(G4:G$34)</f>
        <v>649.5</v>
      </c>
      <c r="E4" s="9">
        <f ca="1">data_Siemens_QAC32[[#This Row],[Rpcb]]-data_Siemens_QAC32[[#This Row],[Rsonde]]</f>
        <v>-0.12874736048263458</v>
      </c>
      <c r="F4" s="4">
        <f ca="1">data_Siemens_QAC32[[#This Row],[Diff R]]/data_Siemens_QAC32[[#This Row],[Rsonde]]</f>
        <v>-1.981860578149445E-4</v>
      </c>
      <c r="G4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</v>
      </c>
      <c r="H4" s="9" cm="1">
        <f t="array" aca="1" ref="H4" ca="1">MAX(IF(ResValuesR24&lt;=ROUND(data_Siemens_QAC32[[#This Row],[Rsonde]],2)-IF(data_Siemens_QAC32[[#This Row],[Rsonde]]=MIN(data_Siemens_QAC32[Rsonde]),100,$D5),ResValuesR24))</f>
        <v>3</v>
      </c>
      <c r="I4" s="9">
        <f ca="1">ROUND(data_Siemens_QAC32[[#This Row],[RaddLow]]+(IF(data_Siemens_QAC32[[#This Row],[Rsonde]]=MIN(data_Siemens_QAC32[Rsonde]),0,$D5)-data_Siemens_QAC32[[#This Row],[Rsonde]]),2)</f>
        <v>-0.13</v>
      </c>
      <c r="J4" s="9" cm="1">
        <f t="array" aca="1" ref="J4" ca="1">MIN(IF(ResValuesR24&gt;=ROUND(data_Siemens_QAC32[[#This Row],[Rsonde]],2)-IF(data_Siemens_QAC32[[#This Row],[Rsonde]]=MIN(data_Siemens_QAC32[Rsonde]),100,$D5),ResValuesR24))</f>
        <v>3.3</v>
      </c>
      <c r="K4" s="9">
        <f ca="1">ROUND(data_Siemens_QAC32[[#This Row],[RaddHigh]]+(IF(data_Siemens_QAC32[[#This Row],[Rsonde]]=MIN(data_Siemens_QAC32[Rsonde]),0,$D5)-data_Siemens_QAC32[[#This Row],[Rsonde]]),2)</f>
        <v>0.17</v>
      </c>
      <c r="L4" s="2" cm="1">
        <f t="array" aca="1" ref="L4" ca="1">IF(INDIRECT(RefCell_R77),(data_Siemens_QAC32[[#This Row],[Rpcb]]*INDIRECT(RefCell_R77))/(data_Siemens_QAC32[[#This Row],[Rpcb]]+INDIRECT(RefCell_R77)),data_Siemens_QAC32[[#This Row],[Rpcb]])</f>
        <v>649.5</v>
      </c>
    </row>
    <row r="5" spans="1:16" x14ac:dyDescent="0.25">
      <c r="A5" t="s">
        <v>46</v>
      </c>
      <c r="B5" s="8">
        <v>-12</v>
      </c>
      <c r="C5" s="9">
        <f>data_Siemens_QAC32[[#This Row],[θ]]*P$21+Q$21</f>
        <v>646.36303016591251</v>
      </c>
      <c r="D5" s="9" cm="1">
        <f t="array" aca="1" ref="D5" ca="1">INDIRECT(RefCell_Rpot)+SUM(G5:G$34)</f>
        <v>646.5</v>
      </c>
      <c r="E5" s="9">
        <f ca="1">data_Siemens_QAC32[[#This Row],[Rpcb]]-data_Siemens_QAC32[[#This Row],[Rsonde]]</f>
        <v>0.13696983408749475</v>
      </c>
      <c r="F5" s="4">
        <f ca="1">data_Siemens_QAC32[[#This Row],[Diff R]]/data_Siemens_QAC32[[#This Row],[Rsonde]]</f>
        <v>2.1190852151976649E-4</v>
      </c>
      <c r="G5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5" s="9" cm="1">
        <f t="array" aca="1" ref="H5" ca="1">MAX(IF(ResValuesR24&lt;=ROUND(data_Siemens_QAC32[[#This Row],[Rsonde]],2)-IF(data_Siemens_QAC32[[#This Row],[Rsonde]]=MIN(data_Siemens_QAC32[Rsonde]),100,$D6),ResValuesR24))</f>
        <v>3</v>
      </c>
      <c r="I5" s="9">
        <f ca="1">ROUND(data_Siemens_QAC32[[#This Row],[RaddLow]]+(IF(data_Siemens_QAC32[[#This Row],[Rsonde]]=MIN(data_Siemens_QAC32[Rsonde]),0,$D6)-data_Siemens_QAC32[[#This Row],[Rsonde]]),2)</f>
        <v>-0.16</v>
      </c>
      <c r="J5" s="9" cm="1">
        <f t="array" aca="1" ref="J5" ca="1">MIN(IF(ResValuesR24&gt;=ROUND(data_Siemens_QAC32[[#This Row],[Rsonde]],2)-IF(data_Siemens_QAC32[[#This Row],[Rsonde]]=MIN(data_Siemens_QAC32[Rsonde]),100,$D6),ResValuesR24))</f>
        <v>3.3</v>
      </c>
      <c r="K5" s="9">
        <f ca="1">ROUND(data_Siemens_QAC32[[#This Row],[RaddHigh]]+(IF(data_Siemens_QAC32[[#This Row],[Rsonde]]=MIN(data_Siemens_QAC32[Rsonde]),0,$D6)-data_Siemens_QAC32[[#This Row],[Rsonde]]),2)</f>
        <v>0.14000000000000001</v>
      </c>
      <c r="L5" s="2" cm="1">
        <f t="array" aca="1" ref="L5" ca="1">IF(INDIRECT(RefCell_R77),(data_Siemens_QAC32[[#This Row],[Rpcb]]*INDIRECT(RefCell_R77))/(data_Siemens_QAC32[[#This Row],[Rpcb]]+INDIRECT(RefCell_R77)),data_Siemens_QAC32[[#This Row],[Rpcb]])</f>
        <v>646.5</v>
      </c>
      <c r="N5" s="1" t="s">
        <v>215</v>
      </c>
    </row>
    <row r="6" spans="1:16" x14ac:dyDescent="0.25">
      <c r="A6" t="s">
        <v>45</v>
      </c>
      <c r="B6" s="8">
        <v>-10.5</v>
      </c>
      <c r="C6" s="9">
        <f>data_Siemens_QAC32[[#This Row],[θ]]*P$21+Q$21</f>
        <v>643.09731297134238</v>
      </c>
      <c r="D6" s="9" cm="1">
        <f t="array" aca="1" ref="D6" ca="1">INDIRECT(RefCell_Rpot)+SUM(G6:G$34)</f>
        <v>643.19999999999993</v>
      </c>
      <c r="E6" s="9">
        <f ca="1">data_Siemens_QAC32[[#This Row],[Rpcb]]-data_Siemens_QAC32[[#This Row],[Rsonde]]</f>
        <v>0.10268702865755586</v>
      </c>
      <c r="F6" s="4">
        <f ca="1">data_Siemens_QAC32[[#This Row],[Diff R]]/data_Siemens_QAC32[[#This Row],[Rsonde]]</f>
        <v>1.5967572338796538E-4</v>
      </c>
      <c r="G6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6" s="9" cm="1">
        <f t="array" aca="1" ref="H6" ca="1">MAX(IF(ResValuesR24&lt;=ROUND(data_Siemens_QAC32[[#This Row],[Rsonde]],2)-IF(data_Siemens_QAC32[[#This Row],[Rsonde]]=MIN(data_Siemens_QAC32[Rsonde]),100,$D7),ResValuesR24))</f>
        <v>3</v>
      </c>
      <c r="I6" s="9">
        <f ca="1">ROUND(data_Siemens_QAC32[[#This Row],[RaddLow]]+(IF(data_Siemens_QAC32[[#This Row],[Rsonde]]=MIN(data_Siemens_QAC32[Rsonde]),0,$D7)-data_Siemens_QAC32[[#This Row],[Rsonde]]),2)</f>
        <v>-0.2</v>
      </c>
      <c r="J6" s="9" cm="1">
        <f t="array" aca="1" ref="J6" ca="1">MIN(IF(ResValuesR24&gt;=ROUND(data_Siemens_QAC32[[#This Row],[Rsonde]],2)-IF(data_Siemens_QAC32[[#This Row],[Rsonde]]=MIN(data_Siemens_QAC32[Rsonde]),100,$D7),ResValuesR24))</f>
        <v>3.3</v>
      </c>
      <c r="K6" s="9">
        <f ca="1">ROUND(data_Siemens_QAC32[[#This Row],[RaddHigh]]+(IF(data_Siemens_QAC32[[#This Row],[Rsonde]]=MIN(data_Siemens_QAC32[Rsonde]),0,$D7)-data_Siemens_QAC32[[#This Row],[Rsonde]]),2)</f>
        <v>0.1</v>
      </c>
      <c r="L6" s="2" cm="1">
        <f t="array" aca="1" ref="L6" ca="1">IF(INDIRECT(RefCell_R77),(data_Siemens_QAC32[[#This Row],[Rpcb]]*INDIRECT(RefCell_R77))/(data_Siemens_QAC32[[#This Row],[Rpcb]]+INDIRECT(RefCell_R77)),data_Siemens_QAC32[[#This Row],[Rpcb]])</f>
        <v>643.19999999999993</v>
      </c>
      <c r="N6" s="35" t="s">
        <v>131</v>
      </c>
      <c r="O6">
        <f t="shared" ref="O6" si="0">O14 - O11*O7 - O11^3*O8</f>
        <v>0.12785320557871055</v>
      </c>
    </row>
    <row r="7" spans="1:16" x14ac:dyDescent="0.25">
      <c r="A7" t="s">
        <v>44</v>
      </c>
      <c r="B7" s="8">
        <v>-9</v>
      </c>
      <c r="C7" s="9">
        <f>data_Siemens_QAC32[[#This Row],[θ]]*P$21+Q$21</f>
        <v>639.83159577677225</v>
      </c>
      <c r="D7" s="9" cm="1">
        <f t="array" aca="1" ref="D7" ca="1">INDIRECT(RefCell_Rpot)+SUM(G7:G$34)</f>
        <v>639.9</v>
      </c>
      <c r="E7" s="9">
        <f ca="1">data_Siemens_QAC32[[#This Row],[Rpcb]]-data_Siemens_QAC32[[#This Row],[Rsonde]]</f>
        <v>6.8404223227730654E-2</v>
      </c>
      <c r="F7" s="4">
        <f ca="1">data_Siemens_QAC32[[#This Row],[Diff R]]/data_Siemens_QAC32[[#This Row],[Rsonde]]</f>
        <v>1.069097301215426E-4</v>
      </c>
      <c r="G7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7" s="9" cm="1">
        <f t="array" aca="1" ref="H7" ca="1">MAX(IF(ResValuesR24&lt;=ROUND(data_Siemens_QAC32[[#This Row],[Rsonde]],2)-IF(data_Siemens_QAC32[[#This Row],[Rsonde]]=MIN(data_Siemens_QAC32[Rsonde]),100,$D8),ResValuesR24))</f>
        <v>3</v>
      </c>
      <c r="I7" s="9">
        <f ca="1">ROUND(data_Siemens_QAC32[[#This Row],[RaddLow]]+(IF(data_Siemens_QAC32[[#This Row],[Rsonde]]=MIN(data_Siemens_QAC32[Rsonde]),0,$D8)-data_Siemens_QAC32[[#This Row],[Rsonde]]),2)</f>
        <v>-0.23</v>
      </c>
      <c r="J7" s="9" cm="1">
        <f t="array" aca="1" ref="J7" ca="1">MIN(IF(ResValuesR24&gt;=ROUND(data_Siemens_QAC32[[#This Row],[Rsonde]],2)-IF(data_Siemens_QAC32[[#This Row],[Rsonde]]=MIN(data_Siemens_QAC32[Rsonde]),100,$D8),ResValuesR24))</f>
        <v>3.3</v>
      </c>
      <c r="K7" s="9">
        <f ca="1">ROUND(data_Siemens_QAC32[[#This Row],[RaddHigh]]+(IF(data_Siemens_QAC32[[#This Row],[Rsonde]]=MIN(data_Siemens_QAC32[Rsonde]),0,$D8)-data_Siemens_QAC32[[#This Row],[Rsonde]]),2)</f>
        <v>7.0000000000000007E-2</v>
      </c>
      <c r="L7" s="2" cm="1">
        <f t="array" aca="1" ref="L7" ca="1">IF(INDIRECT(RefCell_R77),(data_Siemens_QAC32[[#This Row],[Rpcb]]*INDIRECT(RefCell_R77))/(data_Siemens_QAC32[[#This Row],[Rpcb]]+INDIRECT(RefCell_R77)),data_Siemens_QAC32[[#This Row],[Rpcb]])</f>
        <v>639.9</v>
      </c>
      <c r="N7" s="35" t="s">
        <v>130</v>
      </c>
      <c r="O7">
        <f t="shared" ref="O7" si="1">(1/(O11-O12)) * (O14-O15-(O11^3-O12^3)*O8)</f>
        <v>-3.0896672437266619E-2</v>
      </c>
    </row>
    <row r="8" spans="1:16" x14ac:dyDescent="0.25">
      <c r="A8" t="s">
        <v>43</v>
      </c>
      <c r="B8" s="8">
        <v>-7.5</v>
      </c>
      <c r="C8" s="9">
        <f>data_Siemens_QAC32[[#This Row],[θ]]*P$21+Q$21</f>
        <v>636.56587858220212</v>
      </c>
      <c r="D8" s="9" cm="1">
        <f t="array" aca="1" ref="D8" ca="1">INDIRECT(RefCell_Rpot)+SUM(G8:G$34)</f>
        <v>636.59999999999991</v>
      </c>
      <c r="E8" s="9">
        <f ca="1">data_Siemens_QAC32[[#This Row],[Rpcb]]-data_Siemens_QAC32[[#This Row],[Rsonde]]</f>
        <v>3.4121417797791764E-2</v>
      </c>
      <c r="F8" s="4">
        <f ca="1">data_Siemens_QAC32[[#This Row],[Diff R]]/data_Siemens_QAC32[[#This Row],[Rsonde]]</f>
        <v>5.3602335509702533E-5</v>
      </c>
      <c r="G8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8" s="9" cm="1">
        <f t="array" aca="1" ref="H8" ca="1">MAX(IF(ResValuesR24&lt;=ROUND(data_Siemens_QAC32[[#This Row],[Rsonde]],2)-IF(data_Siemens_QAC32[[#This Row],[Rsonde]]=MIN(data_Siemens_QAC32[Rsonde]),100,$D9),ResValuesR24))</f>
        <v>3</v>
      </c>
      <c r="I8" s="9">
        <f ca="1">ROUND(data_Siemens_QAC32[[#This Row],[RaddLow]]+(IF(data_Siemens_QAC32[[#This Row],[Rsonde]]=MIN(data_Siemens_QAC32[Rsonde]),0,$D9)-data_Siemens_QAC32[[#This Row],[Rsonde]]),2)</f>
        <v>-0.27</v>
      </c>
      <c r="J8" s="9" cm="1">
        <f t="array" aca="1" ref="J8" ca="1">MIN(IF(ResValuesR24&gt;=ROUND(data_Siemens_QAC32[[#This Row],[Rsonde]],2)-IF(data_Siemens_QAC32[[#This Row],[Rsonde]]=MIN(data_Siemens_QAC32[Rsonde]),100,$D9),ResValuesR24))</f>
        <v>3.3</v>
      </c>
      <c r="K8" s="9">
        <f ca="1">ROUND(data_Siemens_QAC32[[#This Row],[RaddHigh]]+(IF(data_Siemens_QAC32[[#This Row],[Rsonde]]=MIN(data_Siemens_QAC32[Rsonde]),0,$D9)-data_Siemens_QAC32[[#This Row],[Rsonde]]),2)</f>
        <v>0.03</v>
      </c>
      <c r="L8" s="2" cm="1">
        <f t="array" aca="1" ref="L8" ca="1">IF(INDIRECT(RefCell_R77),(data_Siemens_QAC32[[#This Row],[Rpcb]]*INDIRECT(RefCell_R77))/(data_Siemens_QAC32[[#This Row],[Rpcb]]+INDIRECT(RefCell_R77)),data_Siemens_QAC32[[#This Row],[Rpcb]])</f>
        <v>636.59999999999991</v>
      </c>
      <c r="N8" s="35" t="s">
        <v>129</v>
      </c>
      <c r="O8">
        <f t="shared" ref="O8" si="2">O10/O9</f>
        <v>2.8013722389864525E-4</v>
      </c>
    </row>
    <row r="9" spans="1:16" x14ac:dyDescent="0.25">
      <c r="A9" t="s">
        <v>42</v>
      </c>
      <c r="B9" s="8">
        <v>-6</v>
      </c>
      <c r="C9" s="9">
        <f>data_Siemens_QAC32[[#This Row],[θ]]*P$21+Q$21</f>
        <v>633.30016138763199</v>
      </c>
      <c r="D9" s="9" cm="1">
        <f t="array" aca="1" ref="D9" ca="1">INDIRECT(RefCell_Rpot)+SUM(G9:G$34)</f>
        <v>633.29999999999995</v>
      </c>
      <c r="E9" s="9">
        <f ca="1">data_Siemens_QAC32[[#This Row],[Rpcb]]-data_Siemens_QAC32[[#This Row],[Rsonde]]</f>
        <v>-1.6138763203343842E-4</v>
      </c>
      <c r="F9" s="4">
        <f ca="1">data_Siemens_QAC32[[#This Row],[Diff R]]/data_Siemens_QAC32[[#This Row],[Rsonde]]</f>
        <v>-2.5483592437402816E-7</v>
      </c>
      <c r="G9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9" s="9" cm="1">
        <f t="array" aca="1" ref="H9" ca="1">MAX(IF(ResValuesR24&lt;=ROUND(data_Siemens_QAC32[[#This Row],[Rsonde]],2)-IF(data_Siemens_QAC32[[#This Row],[Rsonde]]=MIN(data_Siemens_QAC32[Rsonde]),100,$D10),ResValuesR24))</f>
        <v>3</v>
      </c>
      <c r="I9" s="9">
        <f ca="1">ROUND(data_Siemens_QAC32[[#This Row],[RaddLow]]+(IF(data_Siemens_QAC32[[#This Row],[Rsonde]]=MIN(data_Siemens_QAC32[Rsonde]),0,$D10)-data_Siemens_QAC32[[#This Row],[Rsonde]]),2)</f>
        <v>-0.3</v>
      </c>
      <c r="J9" s="9" cm="1">
        <f t="array" aca="1" ref="J9" ca="1">MIN(IF(ResValuesR24&gt;=ROUND(data_Siemens_QAC32[[#This Row],[Rsonde]],2)-IF(data_Siemens_QAC32[[#This Row],[Rsonde]]=MIN(data_Siemens_QAC32[Rsonde]),100,$D10),ResValuesR24))</f>
        <v>3.3</v>
      </c>
      <c r="K9" s="9">
        <f ca="1">ROUND(data_Siemens_QAC32[[#This Row],[RaddHigh]]+(IF(data_Siemens_QAC32[[#This Row],[Rsonde]]=MIN(data_Siemens_QAC32[Rsonde]),0,$D10)-data_Siemens_QAC32[[#This Row],[Rsonde]]),2)</f>
        <v>0</v>
      </c>
      <c r="L9" s="2" cm="1">
        <f t="array" aca="1" ref="L9" ca="1">IF(INDIRECT(RefCell_R77),(data_Siemens_QAC32[[#This Row],[Rpcb]]*INDIRECT(RefCell_R77))/(data_Siemens_QAC32[[#This Row],[Rpcb]]+INDIRECT(RefCell_R77)),data_Siemens_QAC32[[#This Row],[Rpcb]])</f>
        <v>633.29999999999995</v>
      </c>
      <c r="N9" s="3" t="s">
        <v>181</v>
      </c>
      <c r="O9">
        <f t="shared" ref="O9" si="3">(O12-O13)/(O11-O12) * (O12^3-O11^3) + (O12^3-O13^3)</f>
        <v>-0.22703788134638359</v>
      </c>
    </row>
    <row r="10" spans="1:16" x14ac:dyDescent="0.25">
      <c r="A10" t="s">
        <v>41</v>
      </c>
      <c r="B10" s="8">
        <v>-4.5</v>
      </c>
      <c r="C10" s="9">
        <f>data_Siemens_QAC32[[#This Row],[θ]]*P$21+Q$21</f>
        <v>630.03444419306186</v>
      </c>
      <c r="D10" s="9" cm="1">
        <f t="array" aca="1" ref="D10" ca="1">INDIRECT(RefCell_Rpot)+SUM(G10:G$34)</f>
        <v>630</v>
      </c>
      <c r="E10" s="9">
        <f ca="1">data_Siemens_QAC32[[#This Row],[Rpcb]]-data_Siemens_QAC32[[#This Row],[Rsonde]]</f>
        <v>-3.4444193061858641E-2</v>
      </c>
      <c r="F10" s="4">
        <f ca="1">data_Siemens_QAC32[[#This Row],[Diff R]]/data_Siemens_QAC32[[#This Row],[Rsonde]]</f>
        <v>-5.467033331165603E-5</v>
      </c>
      <c r="G10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0" s="9" cm="1">
        <f t="array" aca="1" ref="H10" ca="1">MAX(IF(ResValuesR24&lt;=ROUND(data_Siemens_QAC32[[#This Row],[Rsonde]],2)-IF(data_Siemens_QAC32[[#This Row],[Rsonde]]=MIN(data_Siemens_QAC32[Rsonde]),100,$D11),ResValuesR24))</f>
        <v>3.3</v>
      </c>
      <c r="I10" s="9">
        <f ca="1">ROUND(data_Siemens_QAC32[[#This Row],[RaddLow]]+(IF(data_Siemens_QAC32[[#This Row],[Rsonde]]=MIN(data_Siemens_QAC32[Rsonde]),0,$D11)-data_Siemens_QAC32[[#This Row],[Rsonde]]),2)</f>
        <v>-0.03</v>
      </c>
      <c r="J10" s="9" cm="1">
        <f t="array" aca="1" ref="J10" ca="1">MIN(IF(ResValuesR24&gt;=ROUND(data_Siemens_QAC32[[#This Row],[Rsonde]],2)-IF(data_Siemens_QAC32[[#This Row],[Rsonde]]=MIN(data_Siemens_QAC32[Rsonde]),100,$D11),ResValuesR24))</f>
        <v>3.6</v>
      </c>
      <c r="K10" s="9">
        <f ca="1">ROUND(data_Siemens_QAC32[[#This Row],[RaddHigh]]+(IF(data_Siemens_QAC32[[#This Row],[Rsonde]]=MIN(data_Siemens_QAC32[Rsonde]),0,$D11)-data_Siemens_QAC32[[#This Row],[Rsonde]]),2)</f>
        <v>0.27</v>
      </c>
      <c r="L10" s="2" cm="1">
        <f t="array" aca="1" ref="L10" ca="1">IF(INDIRECT(RefCell_R77),(data_Siemens_QAC32[[#This Row],[Rpcb]]*INDIRECT(RefCell_R77))/(data_Siemens_QAC32[[#This Row],[Rpcb]]+INDIRECT(RefCell_R77)),data_Siemens_QAC32[[#This Row],[Rpcb]])</f>
        <v>630</v>
      </c>
      <c r="N10" s="3" t="s">
        <v>182</v>
      </c>
      <c r="O10">
        <f t="shared" ref="O10" si="4">O15 - O16 - ( (O12-O13)/(O11-O12) ) * (O14-O15)</f>
        <v>-6.3601761800205915E-5</v>
      </c>
    </row>
    <row r="11" spans="1:16" x14ac:dyDescent="0.25">
      <c r="A11" t="s">
        <v>40</v>
      </c>
      <c r="B11" s="8">
        <v>-3</v>
      </c>
      <c r="C11" s="9">
        <f>data_Siemens_QAC32[[#This Row],[θ]]*P$21+Q$21</f>
        <v>626.76872699849173</v>
      </c>
      <c r="D11" s="9" cm="1">
        <f t="array" aca="1" ref="D11" ca="1">INDIRECT(RefCell_Rpot)+SUM(G11:G$34)</f>
        <v>626.69999999999993</v>
      </c>
      <c r="E11" s="9">
        <f ca="1">data_Siemens_QAC32[[#This Row],[Rpcb]]-data_Siemens_QAC32[[#This Row],[Rsonde]]</f>
        <v>-6.8726998491797531E-2</v>
      </c>
      <c r="F11" s="4">
        <f ca="1">data_Siemens_QAC32[[#This Row],[Diff R]]/data_Siemens_QAC32[[#This Row],[Rsonde]]</f>
        <v>-1.0965288396075785E-4</v>
      </c>
      <c r="G11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1" s="9" cm="1">
        <f t="array" aca="1" ref="H11" ca="1">MAX(IF(ResValuesR24&lt;=ROUND(data_Siemens_QAC32[[#This Row],[Rsonde]],2)-IF(data_Siemens_QAC32[[#This Row],[Rsonde]]=MIN(data_Siemens_QAC32[Rsonde]),100,$D12),ResValuesR24))</f>
        <v>3.3</v>
      </c>
      <c r="I11" s="9">
        <f ca="1">ROUND(data_Siemens_QAC32[[#This Row],[RaddLow]]+(IF(data_Siemens_QAC32[[#This Row],[Rsonde]]=MIN(data_Siemens_QAC32[Rsonde]),0,$D12)-data_Siemens_QAC32[[#This Row],[Rsonde]]),2)</f>
        <v>-7.0000000000000007E-2</v>
      </c>
      <c r="J11" s="9" cm="1">
        <f t="array" aca="1" ref="J11" ca="1">MIN(IF(ResValuesR24&gt;=ROUND(data_Siemens_QAC32[[#This Row],[Rsonde]],2)-IF(data_Siemens_QAC32[[#This Row],[Rsonde]]=MIN(data_Siemens_QAC32[Rsonde]),100,$D12),ResValuesR24))</f>
        <v>3.6</v>
      </c>
      <c r="K11" s="9">
        <f ca="1">ROUND(data_Siemens_QAC32[[#This Row],[RaddHigh]]+(IF(data_Siemens_QAC32[[#This Row],[Rsonde]]=MIN(data_Siemens_QAC32[Rsonde]),0,$D12)-data_Siemens_QAC32[[#This Row],[Rsonde]]),2)</f>
        <v>0.23</v>
      </c>
      <c r="L11" s="2" cm="1">
        <f t="array" aca="1" ref="L11" ca="1">IF(INDIRECT(RefCell_R77),(data_Siemens_QAC32[[#This Row],[Rpcb]]*INDIRECT(RefCell_R77))/(data_Siemens_QAC32[[#This Row],[Rpcb]]+INDIRECT(RefCell_R77)),data_Siemens_QAC32[[#This Row],[Rpcb]])</f>
        <v>626.69999999999993</v>
      </c>
      <c r="N11" s="3" t="s">
        <v>178</v>
      </c>
      <c r="O11">
        <f>LN(C3)</f>
        <v>6.4814154999135054</v>
      </c>
    </row>
    <row r="12" spans="1:16" x14ac:dyDescent="0.25">
      <c r="A12" t="s">
        <v>39</v>
      </c>
      <c r="B12" s="8">
        <v>-1.5</v>
      </c>
      <c r="C12" s="9">
        <f>data_Siemens_QAC32[[#This Row],[θ]]*P$21+Q$21</f>
        <v>623.5030098039216</v>
      </c>
      <c r="D12" s="9" cm="1">
        <f t="array" aca="1" ref="D12" ca="1">INDIRECT(RefCell_Rpot)+SUM(G12:G$34)</f>
        <v>623.4</v>
      </c>
      <c r="E12" s="9">
        <f ca="1">data_Siemens_QAC32[[#This Row],[Rpcb]]-data_Siemens_QAC32[[#This Row],[Rsonde]]</f>
        <v>-0.10300980392162273</v>
      </c>
      <c r="F12" s="4">
        <f ca="1">data_Siemens_QAC32[[#This Row],[Diff R]]/data_Siemens_QAC32[[#This Row],[Rsonde]]</f>
        <v>-1.6521139802359112E-4</v>
      </c>
      <c r="G12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2" s="9" cm="1">
        <f t="array" aca="1" ref="H12" ca="1">MAX(IF(ResValuesR24&lt;=ROUND(data_Siemens_QAC32[[#This Row],[Rsonde]],2)-IF(data_Siemens_QAC32[[#This Row],[Rsonde]]=MIN(data_Siemens_QAC32[Rsonde]),100,$D13),ResValuesR24))</f>
        <v>3.3</v>
      </c>
      <c r="I12" s="9">
        <f ca="1">ROUND(data_Siemens_QAC32[[#This Row],[RaddLow]]+(IF(data_Siemens_QAC32[[#This Row],[Rsonde]]=MIN(data_Siemens_QAC32[Rsonde]),0,$D13)-data_Siemens_QAC32[[#This Row],[Rsonde]]),2)</f>
        <v>-0.1</v>
      </c>
      <c r="J12" s="9" cm="1">
        <f t="array" aca="1" ref="J12" ca="1">MIN(IF(ResValuesR24&gt;=ROUND(data_Siemens_QAC32[[#This Row],[Rsonde]],2)-IF(data_Siemens_QAC32[[#This Row],[Rsonde]]=MIN(data_Siemens_QAC32[Rsonde]),100,$D13),ResValuesR24))</f>
        <v>3.6</v>
      </c>
      <c r="K12" s="9">
        <f ca="1">ROUND(data_Siemens_QAC32[[#This Row],[RaddHigh]]+(IF(data_Siemens_QAC32[[#This Row],[Rsonde]]=MIN(data_Siemens_QAC32[Rsonde]),0,$D13)-data_Siemens_QAC32[[#This Row],[Rsonde]]),2)</f>
        <v>0.2</v>
      </c>
      <c r="L12" s="2" cm="1">
        <f t="array" aca="1" ref="L12" ca="1">IF(INDIRECT(RefCell_R77),(data_Siemens_QAC32[[#This Row],[Rpcb]]*INDIRECT(RefCell_R77))/(data_Siemens_QAC32[[#This Row],[Rpcb]]+INDIRECT(RefCell_R77)),data_Siemens_QAC32[[#This Row],[Rpcb]])</f>
        <v>623.4</v>
      </c>
      <c r="N12" s="3" t="s">
        <v>179</v>
      </c>
      <c r="O12">
        <f>LN(C17)</f>
        <v>6.4088161037039546</v>
      </c>
    </row>
    <row r="13" spans="1:16" x14ac:dyDescent="0.25">
      <c r="A13" t="s">
        <v>38</v>
      </c>
      <c r="B13" s="8">
        <v>0</v>
      </c>
      <c r="C13" s="9">
        <f>data_Siemens_QAC32[[#This Row],[θ]]*P$21+Q$21</f>
        <v>620.23729260935147</v>
      </c>
      <c r="D13" s="9" cm="1">
        <f t="array" aca="1" ref="D13" ca="1">INDIRECT(RefCell_Rpot)+SUM(G13:G$34)</f>
        <v>620.1</v>
      </c>
      <c r="E13" s="9">
        <f ca="1">data_Siemens_QAC32[[#This Row],[Rpcb]]-data_Siemens_QAC32[[#This Row],[Rsonde]]</f>
        <v>-0.13729260935144794</v>
      </c>
      <c r="F13" s="4">
        <f ca="1">data_Siemens_QAC32[[#This Row],[Diff R]]/data_Siemens_QAC32[[#This Row],[Rsonde]]</f>
        <v>-2.2135497331006172E-4</v>
      </c>
      <c r="G13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</v>
      </c>
      <c r="H13" s="9" cm="1">
        <f t="array" aca="1" ref="H13" ca="1">MAX(IF(ResValuesR24&lt;=ROUND(data_Siemens_QAC32[[#This Row],[Rsonde]],2)-IF(data_Siemens_QAC32[[#This Row],[Rsonde]]=MIN(data_Siemens_QAC32[Rsonde]),100,$D14),ResValuesR24))</f>
        <v>3</v>
      </c>
      <c r="I13" s="9">
        <f ca="1">ROUND(data_Siemens_QAC32[[#This Row],[RaddLow]]+(IF(data_Siemens_QAC32[[#This Row],[Rsonde]]=MIN(data_Siemens_QAC32[Rsonde]),0,$D14)-data_Siemens_QAC32[[#This Row],[Rsonde]]),2)</f>
        <v>-0.14000000000000001</v>
      </c>
      <c r="J13" s="9" cm="1">
        <f t="array" aca="1" ref="J13" ca="1">MIN(IF(ResValuesR24&gt;=ROUND(data_Siemens_QAC32[[#This Row],[Rsonde]],2)-IF(data_Siemens_QAC32[[#This Row],[Rsonde]]=MIN(data_Siemens_QAC32[Rsonde]),100,$D14),ResValuesR24))</f>
        <v>3.3</v>
      </c>
      <c r="K13" s="9">
        <f ca="1">ROUND(data_Siemens_QAC32[[#This Row],[RaddHigh]]+(IF(data_Siemens_QAC32[[#This Row],[Rsonde]]=MIN(data_Siemens_QAC32[Rsonde]),0,$D14)-data_Siemens_QAC32[[#This Row],[Rsonde]]),2)</f>
        <v>0.16</v>
      </c>
      <c r="L13" s="2" cm="1">
        <f t="array" aca="1" ref="L13" ca="1">IF(INDIRECT(RefCell_R77),(data_Siemens_QAC32[[#This Row],[Rpcb]]*INDIRECT(RefCell_R77))/(data_Siemens_QAC32[[#This Row],[Rpcb]]+INDIRECT(RefCell_R77)),data_Siemens_QAC32[[#This Row],[Rpcb]])</f>
        <v>620.1</v>
      </c>
      <c r="N13" s="3" t="s">
        <v>180</v>
      </c>
      <c r="O13">
        <f>LN(C31)</f>
        <v>6.3305305297510799</v>
      </c>
    </row>
    <row r="14" spans="1:16" x14ac:dyDescent="0.25">
      <c r="A14" t="s">
        <v>37</v>
      </c>
      <c r="B14" s="8">
        <v>1.5</v>
      </c>
      <c r="C14" s="9">
        <f>data_Siemens_QAC32[[#This Row],[θ]]*P$21+Q$21</f>
        <v>616.97157541478134</v>
      </c>
      <c r="D14" s="9" cm="1">
        <f t="array" aca="1" ref="D14" ca="1">INDIRECT(RefCell_Rpot)+SUM(G14:G$34)</f>
        <v>617.1</v>
      </c>
      <c r="E14" s="9">
        <f ca="1">data_Siemens_QAC32[[#This Row],[Rpcb]]-data_Siemens_QAC32[[#This Row],[Rsonde]]</f>
        <v>0.12842458521868139</v>
      </c>
      <c r="F14" s="4">
        <f ca="1">data_Siemens_QAC32[[#This Row],[Diff R]]/data_Siemens_QAC32[[#This Row],[Rsonde]]</f>
        <v>2.0815316351056098E-4</v>
      </c>
      <c r="G14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4" s="9" cm="1">
        <f t="array" aca="1" ref="H14" ca="1">MAX(IF(ResValuesR24&lt;=ROUND(data_Siemens_QAC32[[#This Row],[Rsonde]],2)-IF(data_Siemens_QAC32[[#This Row],[Rsonde]]=MIN(data_Siemens_QAC32[Rsonde]),100,$D15),ResValuesR24))</f>
        <v>3</v>
      </c>
      <c r="I14" s="9">
        <f ca="1">ROUND(data_Siemens_QAC32[[#This Row],[RaddLow]]+(IF(data_Siemens_QAC32[[#This Row],[Rsonde]]=MIN(data_Siemens_QAC32[Rsonde]),0,$D15)-data_Siemens_QAC32[[#This Row],[Rsonde]]),2)</f>
        <v>-0.17</v>
      </c>
      <c r="J14" s="9" cm="1">
        <f t="array" aca="1" ref="J14" ca="1">MIN(IF(ResValuesR24&gt;=ROUND(data_Siemens_QAC32[[#This Row],[Rsonde]],2)-IF(data_Siemens_QAC32[[#This Row],[Rsonde]]=MIN(data_Siemens_QAC32[Rsonde]),100,$D15),ResValuesR24))</f>
        <v>3.3</v>
      </c>
      <c r="K14" s="9">
        <f ca="1">ROUND(data_Siemens_QAC32[[#This Row],[RaddHigh]]+(IF(data_Siemens_QAC32[[#This Row],[Rsonde]]=MIN(data_Siemens_QAC32[Rsonde]),0,$D15)-data_Siemens_QAC32[[#This Row],[Rsonde]]),2)</f>
        <v>0.13</v>
      </c>
      <c r="L14" s="2" cm="1">
        <f t="array" aca="1" ref="L14" ca="1">IF(INDIRECT(RefCell_R77),(data_Siemens_QAC32[[#This Row],[Rpcb]]*INDIRECT(RefCell_R77))/(data_Siemens_QAC32[[#This Row],[Rpcb]]+INDIRECT(RefCell_R77)),data_Siemens_QAC32[[#This Row],[Rpcb]])</f>
        <v>617.1</v>
      </c>
      <c r="N14" s="3" t="s">
        <v>175</v>
      </c>
      <c r="O14">
        <f>1/(B3+273.15)</f>
        <v>3.8737168312996321E-3</v>
      </c>
    </row>
    <row r="15" spans="1:16" x14ac:dyDescent="0.25">
      <c r="A15" t="s">
        <v>36</v>
      </c>
      <c r="B15" s="8">
        <v>3</v>
      </c>
      <c r="C15" s="9">
        <f>data_Siemens_QAC32[[#This Row],[θ]]*P$21+Q$21</f>
        <v>613.70585822021121</v>
      </c>
      <c r="D15" s="9" cm="1">
        <f t="array" aca="1" ref="D15" ca="1">INDIRECT(RefCell_Rpot)+SUM(G15:G$34)</f>
        <v>613.79999999999995</v>
      </c>
      <c r="E15" s="9">
        <f ca="1">data_Siemens_QAC32[[#This Row],[Rpcb]]-data_Siemens_QAC32[[#This Row],[Rsonde]]</f>
        <v>9.4141779788742497E-2</v>
      </c>
      <c r="F15" s="4">
        <f ca="1">data_Siemens_QAC32[[#This Row],[Diff R]]/data_Siemens_QAC32[[#This Row],[Rsonde]]</f>
        <v>1.5339886124235487E-4</v>
      </c>
      <c r="G15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5" s="9" cm="1">
        <f t="array" aca="1" ref="H15" ca="1">MAX(IF(ResValuesR24&lt;=ROUND(data_Siemens_QAC32[[#This Row],[Rsonde]],2)-IF(data_Siemens_QAC32[[#This Row],[Rsonde]]=MIN(data_Siemens_QAC32[Rsonde]),100,$D16),ResValuesR24))</f>
        <v>3</v>
      </c>
      <c r="I15" s="9">
        <f ca="1">ROUND(data_Siemens_QAC32[[#This Row],[RaddLow]]+(IF(data_Siemens_QAC32[[#This Row],[Rsonde]]=MIN(data_Siemens_QAC32[Rsonde]),0,$D16)-data_Siemens_QAC32[[#This Row],[Rsonde]]),2)</f>
        <v>-0.21</v>
      </c>
      <c r="J15" s="9" cm="1">
        <f t="array" aca="1" ref="J15" ca="1">MIN(IF(ResValuesR24&gt;=ROUND(data_Siemens_QAC32[[#This Row],[Rsonde]],2)-IF(data_Siemens_QAC32[[#This Row],[Rsonde]]=MIN(data_Siemens_QAC32[Rsonde]),100,$D16),ResValuesR24))</f>
        <v>3.3</v>
      </c>
      <c r="K15" s="9">
        <f ca="1">ROUND(data_Siemens_QAC32[[#This Row],[RaddHigh]]+(IF(data_Siemens_QAC32[[#This Row],[Rsonde]]=MIN(data_Siemens_QAC32[Rsonde]),0,$D16)-data_Siemens_QAC32[[#This Row],[Rsonde]]),2)</f>
        <v>0.09</v>
      </c>
      <c r="L15" s="2" cm="1">
        <f t="array" aca="1" ref="L15" ca="1">IF(INDIRECT(RefCell_R77),(data_Siemens_QAC32[[#This Row],[Rpcb]]*INDIRECT(RefCell_R77))/(data_Siemens_QAC32[[#This Row],[Rpcb]]+INDIRECT(RefCell_R77)),data_Siemens_QAC32[[#This Row],[Rpcb]])</f>
        <v>613.79999999999995</v>
      </c>
      <c r="N15" s="3" t="s">
        <v>176</v>
      </c>
      <c r="O15">
        <f>1/(B17+273.15)</f>
        <v>3.5823034210997673E-3</v>
      </c>
    </row>
    <row r="16" spans="1:16" x14ac:dyDescent="0.25">
      <c r="A16" t="s">
        <v>35</v>
      </c>
      <c r="B16" s="8">
        <v>4.5</v>
      </c>
      <c r="C16" s="9">
        <f>data_Siemens_QAC32[[#This Row],[θ]]*P$21+Q$21</f>
        <v>610.44014102564108</v>
      </c>
      <c r="D16" s="9" cm="1">
        <f t="array" aca="1" ref="D16" ca="1">INDIRECT(RefCell_Rpot)+SUM(G16:G$34)</f>
        <v>610.5</v>
      </c>
      <c r="E16" s="9">
        <f ca="1">data_Siemens_QAC32[[#This Row],[Rpcb]]-data_Siemens_QAC32[[#This Row],[Rsonde]]</f>
        <v>5.9858974358917294E-2</v>
      </c>
      <c r="F16" s="4">
        <f ca="1">data_Siemens_QAC32[[#This Row],[Diff R]]/data_Siemens_QAC32[[#This Row],[Rsonde]]</f>
        <v>9.805871261733255E-5</v>
      </c>
      <c r="G16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6" s="9" cm="1">
        <f t="array" aca="1" ref="H16" ca="1">MAX(IF(ResValuesR24&lt;=ROUND(data_Siemens_QAC32[[#This Row],[Rsonde]],2)-IF(data_Siemens_QAC32[[#This Row],[Rsonde]]=MIN(data_Siemens_QAC32[Rsonde]),100,$D17),ResValuesR24))</f>
        <v>3</v>
      </c>
      <c r="I16" s="9">
        <f ca="1">ROUND(data_Siemens_QAC32[[#This Row],[RaddLow]]+(IF(data_Siemens_QAC32[[#This Row],[Rsonde]]=MIN(data_Siemens_QAC32[Rsonde]),0,$D17)-data_Siemens_QAC32[[#This Row],[Rsonde]]),2)</f>
        <v>-0.24</v>
      </c>
      <c r="J16" s="9" cm="1">
        <f t="array" aca="1" ref="J16" ca="1">MIN(IF(ResValuesR24&gt;=ROUND(data_Siemens_QAC32[[#This Row],[Rsonde]],2)-IF(data_Siemens_QAC32[[#This Row],[Rsonde]]=MIN(data_Siemens_QAC32[Rsonde]),100,$D17),ResValuesR24))</f>
        <v>3.3</v>
      </c>
      <c r="K16" s="9">
        <f ca="1">ROUND(data_Siemens_QAC32[[#This Row],[RaddHigh]]+(IF(data_Siemens_QAC32[[#This Row],[Rsonde]]=MIN(data_Siemens_QAC32[Rsonde]),0,$D17)-data_Siemens_QAC32[[#This Row],[Rsonde]]),2)</f>
        <v>0.06</v>
      </c>
      <c r="L16" s="2" cm="1">
        <f t="array" aca="1" ref="L16" ca="1">IF(INDIRECT(RefCell_R77),(data_Siemens_QAC32[[#This Row],[Rpcb]]*INDIRECT(RefCell_R77))/(data_Siemens_QAC32[[#This Row],[Rpcb]]+INDIRECT(RefCell_R77)),data_Siemens_QAC32[[#This Row],[Rpcb]])</f>
        <v>610.5</v>
      </c>
      <c r="N16" s="3" t="s">
        <v>177</v>
      </c>
      <c r="O16">
        <f>1/(B31+273.15)</f>
        <v>3.331667499583542E-3</v>
      </c>
    </row>
    <row r="17" spans="1:17" x14ac:dyDescent="0.25">
      <c r="A17" t="s">
        <v>34</v>
      </c>
      <c r="B17" s="8">
        <v>6</v>
      </c>
      <c r="C17" s="9">
        <f>data_Siemens_QAC32[[#This Row],[θ]]*P$21+Q$21</f>
        <v>607.17442383107095</v>
      </c>
      <c r="D17" s="9" cm="1">
        <f t="array" aca="1" ref="D17" ca="1">INDIRECT(RefCell_Rpot)+SUM(G17:G$34)</f>
        <v>607.20000000000005</v>
      </c>
      <c r="E17" s="9">
        <f ca="1">data_Siemens_QAC32[[#This Row],[Rpcb]]-data_Siemens_QAC32[[#This Row],[Rsonde]]</f>
        <v>2.5576168929092091E-2</v>
      </c>
      <c r="F17" s="4">
        <f ca="1">data_Siemens_QAC32[[#This Row],[Diff R]]/data_Siemens_QAC32[[#This Row],[Rsonde]]</f>
        <v>4.2123264625862987E-5</v>
      </c>
      <c r="G17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7" s="9" cm="1">
        <f t="array" aca="1" ref="H17" ca="1">MAX(IF(ResValuesR24&lt;=ROUND(data_Siemens_QAC32[[#This Row],[Rsonde]],2)-IF(data_Siemens_QAC32[[#This Row],[Rsonde]]=MIN(data_Siemens_QAC32[Rsonde]),100,$D18),ResValuesR24))</f>
        <v>3</v>
      </c>
      <c r="I17" s="9">
        <f ca="1">ROUND(data_Siemens_QAC32[[#This Row],[RaddLow]]+(IF(data_Siemens_QAC32[[#This Row],[Rsonde]]=MIN(data_Siemens_QAC32[Rsonde]),0,$D18)-data_Siemens_QAC32[[#This Row],[Rsonde]]),2)</f>
        <v>-0.27</v>
      </c>
      <c r="J17" s="9" cm="1">
        <f t="array" aca="1" ref="J17" ca="1">MIN(IF(ResValuesR24&gt;=ROUND(data_Siemens_QAC32[[#This Row],[Rsonde]],2)-IF(data_Siemens_QAC32[[#This Row],[Rsonde]]=MIN(data_Siemens_QAC32[Rsonde]),100,$D18),ResValuesR24))</f>
        <v>3.3</v>
      </c>
      <c r="K17" s="9">
        <f ca="1">ROUND(data_Siemens_QAC32[[#This Row],[RaddHigh]]+(IF(data_Siemens_QAC32[[#This Row],[Rsonde]]=MIN(data_Siemens_QAC32[Rsonde]),0,$D18)-data_Siemens_QAC32[[#This Row],[Rsonde]]),2)</f>
        <v>0.03</v>
      </c>
      <c r="L17" s="2" cm="1">
        <f t="array" aca="1" ref="L17" ca="1">IF(INDIRECT(RefCell_R77),(data_Siemens_QAC32[[#This Row],[Rpcb]]*INDIRECT(RefCell_R77))/(data_Siemens_QAC32[[#This Row],[Rpcb]]+INDIRECT(RefCell_R77)),data_Siemens_QAC32[[#This Row],[Rpcb]])</f>
        <v>607.20000000000005</v>
      </c>
    </row>
    <row r="18" spans="1:17" x14ac:dyDescent="0.25">
      <c r="A18" t="s">
        <v>33</v>
      </c>
      <c r="B18" s="8">
        <v>7.5</v>
      </c>
      <c r="C18" s="9">
        <f>data_Siemens_QAC32[[#This Row],[θ]]*P$21+Q$21</f>
        <v>603.90870663650082</v>
      </c>
      <c r="D18" s="9" cm="1">
        <f t="array" aca="1" ref="D18" ca="1">INDIRECT(RefCell_Rpot)+SUM(G18:G$34)</f>
        <v>603.9</v>
      </c>
      <c r="E18" s="9">
        <f ca="1">data_Siemens_QAC32[[#This Row],[Rpcb]]-data_Siemens_QAC32[[#This Row],[Rsonde]]</f>
        <v>-8.7066365008467983E-3</v>
      </c>
      <c r="F18" s="4">
        <f ca="1">data_Siemens_QAC32[[#This Row],[Diff R]]/data_Siemens_QAC32[[#This Row],[Rsonde]]</f>
        <v>-1.4417140215346186E-5</v>
      </c>
      <c r="G18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8" s="9" cm="1">
        <f t="array" aca="1" ref="H18" ca="1">MAX(IF(ResValuesR24&lt;=ROUND(data_Siemens_QAC32[[#This Row],[Rsonde]],2)-IF(data_Siemens_QAC32[[#This Row],[Rsonde]]=MIN(data_Siemens_QAC32[Rsonde]),100,$D19),ResValuesR24))</f>
        <v>3.3</v>
      </c>
      <c r="I18" s="9">
        <f ca="1">ROUND(data_Siemens_QAC32[[#This Row],[RaddLow]]+(IF(data_Siemens_QAC32[[#This Row],[Rsonde]]=MIN(data_Siemens_QAC32[Rsonde]),0,$D19)-data_Siemens_QAC32[[#This Row],[Rsonde]]),2)</f>
        <v>-0.01</v>
      </c>
      <c r="J18" s="9" cm="1">
        <f t="array" aca="1" ref="J18" ca="1">MIN(IF(ResValuesR24&gt;=ROUND(data_Siemens_QAC32[[#This Row],[Rsonde]],2)-IF(data_Siemens_QAC32[[#This Row],[Rsonde]]=MIN(data_Siemens_QAC32[Rsonde]),100,$D19),ResValuesR24))</f>
        <v>3.6</v>
      </c>
      <c r="K18" s="9">
        <f ca="1">ROUND(data_Siemens_QAC32[[#This Row],[RaddHigh]]+(IF(data_Siemens_QAC32[[#This Row],[Rsonde]]=MIN(data_Siemens_QAC32[Rsonde]),0,$D19)-data_Siemens_QAC32[[#This Row],[Rsonde]]),2)</f>
        <v>0.28999999999999998</v>
      </c>
      <c r="L18" s="2" cm="1">
        <f t="array" aca="1" ref="L18" ca="1">IF(INDIRECT(RefCell_R77),(data_Siemens_QAC32[[#This Row],[Rpcb]]*INDIRECT(RefCell_R77))/(data_Siemens_QAC32[[#This Row],[Rpcb]]+INDIRECT(RefCell_R77)),data_Siemens_QAC32[[#This Row],[Rpcb]])</f>
        <v>603.9</v>
      </c>
    </row>
    <row r="19" spans="1:17" x14ac:dyDescent="0.25">
      <c r="A19" t="s">
        <v>32</v>
      </c>
      <c r="B19" s="8">
        <v>9</v>
      </c>
      <c r="C19" s="9">
        <f>data_Siemens_QAC32[[#This Row],[θ]]*P$21+Q$21</f>
        <v>600.64298944193069</v>
      </c>
      <c r="D19" s="9" cm="1">
        <f t="array" aca="1" ref="D19" ca="1">INDIRECT(RefCell_Rpot)+SUM(G19:G$34)</f>
        <v>600.6</v>
      </c>
      <c r="E19" s="9">
        <f ca="1">data_Siemens_QAC32[[#This Row],[Rpcb]]-data_Siemens_QAC32[[#This Row],[Rsonde]]</f>
        <v>-4.2989441930672001E-2</v>
      </c>
      <c r="F19" s="4">
        <f ca="1">data_Siemens_QAC32[[#This Row],[Diff R]]/data_Siemens_QAC32[[#This Row],[Rsonde]]</f>
        <v>-7.1572369421333529E-5</v>
      </c>
      <c r="G19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9" s="9" cm="1">
        <f t="array" aca="1" ref="H19" ca="1">MAX(IF(ResValuesR24&lt;=ROUND(data_Siemens_QAC32[[#This Row],[Rsonde]],2)-IF(data_Siemens_QAC32[[#This Row],[Rsonde]]=MIN(data_Siemens_QAC32[Rsonde]),100,$D20),ResValuesR24))</f>
        <v>3.3</v>
      </c>
      <c r="I19" s="9">
        <f ca="1">ROUND(data_Siemens_QAC32[[#This Row],[RaddLow]]+(IF(data_Siemens_QAC32[[#This Row],[Rsonde]]=MIN(data_Siemens_QAC32[Rsonde]),0,$D20)-data_Siemens_QAC32[[#This Row],[Rsonde]]),2)</f>
        <v>-0.04</v>
      </c>
      <c r="J19" s="9" cm="1">
        <f t="array" aca="1" ref="J19" ca="1">MIN(IF(ResValuesR24&gt;=ROUND(data_Siemens_QAC32[[#This Row],[Rsonde]],2)-IF(data_Siemens_QAC32[[#This Row],[Rsonde]]=MIN(data_Siemens_QAC32[Rsonde]),100,$D20),ResValuesR24))</f>
        <v>3.6</v>
      </c>
      <c r="K19" s="9">
        <f ca="1">ROUND(data_Siemens_QAC32[[#This Row],[RaddHigh]]+(IF(data_Siemens_QAC32[[#This Row],[Rsonde]]=MIN(data_Siemens_QAC32[Rsonde]),0,$D20)-data_Siemens_QAC32[[#This Row],[Rsonde]]),2)</f>
        <v>0.26</v>
      </c>
      <c r="L19" s="2" cm="1">
        <f t="array" aca="1" ref="L19" ca="1">IF(INDIRECT(RefCell_R77),(data_Siemens_QAC32[[#This Row],[Rpcb]]*INDIRECT(RefCell_R77))/(data_Siemens_QAC32[[#This Row],[Rpcb]]+INDIRECT(RefCell_R77)),data_Siemens_QAC32[[#This Row],[Rpcb]])</f>
        <v>600.6</v>
      </c>
    </row>
    <row r="20" spans="1:17" x14ac:dyDescent="0.25">
      <c r="A20" t="s">
        <v>31</v>
      </c>
      <c r="B20" s="8">
        <v>10.5</v>
      </c>
      <c r="C20" s="9">
        <f>data_Siemens_QAC32[[#This Row],[θ]]*P$21+Q$21</f>
        <v>597.37727224736057</v>
      </c>
      <c r="D20" s="9" cm="1">
        <f t="array" aca="1" ref="D20" ca="1">INDIRECT(RefCell_Rpot)+SUM(G20:G$34)</f>
        <v>597.29999999999995</v>
      </c>
      <c r="E20" s="9">
        <f ca="1">data_Siemens_QAC32[[#This Row],[Rpcb]]-data_Siemens_QAC32[[#This Row],[Rsonde]]</f>
        <v>-7.7272247360610891E-2</v>
      </c>
      <c r="F20" s="4">
        <f ca="1">data_Siemens_QAC32[[#This Row],[Diff R]]/data_Siemens_QAC32[[#This Row],[Rsonde]]</f>
        <v>-1.2935250628118002E-4</v>
      </c>
      <c r="G20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0" s="9" cm="1">
        <f t="array" aca="1" ref="H20" ca="1">MAX(IF(ResValuesR24&lt;=ROUND(data_Siemens_QAC32[[#This Row],[Rsonde]],2)-IF(data_Siemens_QAC32[[#This Row],[Rsonde]]=MIN(data_Siemens_QAC32[Rsonde]),100,$D21),ResValuesR24))</f>
        <v>3.3</v>
      </c>
      <c r="I20" s="9">
        <f ca="1">ROUND(data_Siemens_QAC32[[#This Row],[RaddLow]]+(IF(data_Siemens_QAC32[[#This Row],[Rsonde]]=MIN(data_Siemens_QAC32[Rsonde]),0,$D21)-data_Siemens_QAC32[[#This Row],[Rsonde]]),2)</f>
        <v>-0.08</v>
      </c>
      <c r="J20" s="9" cm="1">
        <f t="array" aca="1" ref="J20" ca="1">MIN(IF(ResValuesR24&gt;=ROUND(data_Siemens_QAC32[[#This Row],[Rsonde]],2)-IF(data_Siemens_QAC32[[#This Row],[Rsonde]]=MIN(data_Siemens_QAC32[Rsonde]),100,$D21),ResValuesR24))</f>
        <v>3.6</v>
      </c>
      <c r="K20" s="9">
        <f ca="1">ROUND(data_Siemens_QAC32[[#This Row],[RaddHigh]]+(IF(data_Siemens_QAC32[[#This Row],[Rsonde]]=MIN(data_Siemens_QAC32[Rsonde]),0,$D21)-data_Siemens_QAC32[[#This Row],[Rsonde]]),2)</f>
        <v>0.22</v>
      </c>
      <c r="L20" s="2" cm="1">
        <f t="array" aca="1" ref="L20" ca="1">IF(INDIRECT(RefCell_R77),(data_Siemens_QAC32[[#This Row],[Rpcb]]*INDIRECT(RefCell_R77))/(data_Siemens_QAC32[[#This Row],[Rpcb]]+INDIRECT(RefCell_R77)),data_Siemens_QAC32[[#This Row],[Rpcb]])</f>
        <v>597.29999999999995</v>
      </c>
      <c r="N20" t="s">
        <v>183</v>
      </c>
      <c r="O20" t="s">
        <v>184</v>
      </c>
      <c r="P20" t="s">
        <v>181</v>
      </c>
      <c r="Q20" t="s">
        <v>182</v>
      </c>
    </row>
    <row r="21" spans="1:17" x14ac:dyDescent="0.25">
      <c r="A21" t="s">
        <v>30</v>
      </c>
      <c r="B21" s="8">
        <v>12</v>
      </c>
      <c r="C21" s="9">
        <f>data_Siemens_QAC32[[#This Row],[θ]]*P$21+Q$21</f>
        <v>594.11155505279044</v>
      </c>
      <c r="D21" s="9" cm="1">
        <f t="array" aca="1" ref="D21" ca="1">INDIRECT(RefCell_Rpot)+SUM(G21:G$34)</f>
        <v>594</v>
      </c>
      <c r="E21" s="9">
        <f ca="1">data_Siemens_QAC32[[#This Row],[Rpcb]]-data_Siemens_QAC32[[#This Row],[Rsonde]]</f>
        <v>-0.11155505279043609</v>
      </c>
      <c r="F21" s="4">
        <f ca="1">data_Siemens_QAC32[[#This Row],[Diff R]]/data_Siemens_QAC32[[#This Row],[Rsonde]]</f>
        <v>-1.8776785578682062E-4</v>
      </c>
      <c r="G21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1" s="9" cm="1">
        <f t="array" aca="1" ref="H21" ca="1">MAX(IF(ResValuesR24&lt;=ROUND(data_Siemens_QAC32[[#This Row],[Rsonde]],2)-IF(data_Siemens_QAC32[[#This Row],[Rsonde]]=MIN(data_Siemens_QAC32[Rsonde]),100,$D22),ResValuesR24))</f>
        <v>3.3</v>
      </c>
      <c r="I21" s="9">
        <f ca="1">ROUND(data_Siemens_QAC32[[#This Row],[RaddLow]]+(IF(data_Siemens_QAC32[[#This Row],[Rsonde]]=MIN(data_Siemens_QAC32[Rsonde]),0,$D22)-data_Siemens_QAC32[[#This Row],[Rsonde]]),2)</f>
        <v>-0.11</v>
      </c>
      <c r="J21" s="9" cm="1">
        <f t="array" aca="1" ref="J21" ca="1">MIN(IF(ResValuesR24&gt;=ROUND(data_Siemens_QAC32[[#This Row],[Rsonde]],2)-IF(data_Siemens_QAC32[[#This Row],[Rsonde]]=MIN(data_Siemens_QAC32[Rsonde]),100,$D22),ResValuesR24))</f>
        <v>3.6</v>
      </c>
      <c r="K21" s="9">
        <f ca="1">ROUND(data_Siemens_QAC32[[#This Row],[RaddHigh]]+(IF(data_Siemens_QAC32[[#This Row],[Rsonde]]=MIN(data_Siemens_QAC32[Rsonde]),0,$D22)-data_Siemens_QAC32[[#This Row],[Rsonde]]),2)</f>
        <v>0.19</v>
      </c>
      <c r="L21" s="2" cm="1">
        <f t="array" aca="1" ref="L21" ca="1">IF(INDIRECT(RefCell_R77),(data_Siemens_QAC32[[#This Row],[Rpcb]]*INDIRECT(RefCell_R77))/(data_Siemens_QAC32[[#This Row],[Rpcb]]+INDIRECT(RefCell_R77)),data_Siemens_QAC32[[#This Row],[Rpcb]])</f>
        <v>594</v>
      </c>
      <c r="N21">
        <v>-20</v>
      </c>
      <c r="O21">
        <v>657.34</v>
      </c>
      <c r="P21" cm="1">
        <f t="array" ref="P21:Q21">LINEST(O21:O71,N21:N71,TRUE,FALSE)</f>
        <v>-2.1771447963800901</v>
      </c>
      <c r="Q21">
        <v>620.23729260935147</v>
      </c>
    </row>
    <row r="22" spans="1:17" x14ac:dyDescent="0.25">
      <c r="A22" t="s">
        <v>29</v>
      </c>
      <c r="B22" s="8">
        <v>13.5</v>
      </c>
      <c r="C22" s="9">
        <f>data_Siemens_QAC32[[#This Row],[θ]]*P$21+Q$21</f>
        <v>590.84583785822031</v>
      </c>
      <c r="D22" s="9" cm="1">
        <f t="array" aca="1" ref="D22" ca="1">INDIRECT(RefCell_Rpot)+SUM(G22:G$34)</f>
        <v>590.70000000000005</v>
      </c>
      <c r="E22" s="9">
        <f ca="1">data_Siemens_QAC32[[#This Row],[Rpcb]]-data_Siemens_QAC32[[#This Row],[Rsonde]]</f>
        <v>-0.1458378582202613</v>
      </c>
      <c r="F22" s="4">
        <f ca="1">data_Siemens_QAC32[[#This Row],[Diff R]]/data_Siemens_QAC32[[#This Row],[Rsonde]]</f>
        <v>-2.4682895076136025E-4</v>
      </c>
      <c r="G22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</v>
      </c>
      <c r="H22" s="9" cm="1">
        <f t="array" aca="1" ref="H22" ca="1">MAX(IF(ResValuesR24&lt;=ROUND(data_Siemens_QAC32[[#This Row],[Rsonde]],2)-IF(data_Siemens_QAC32[[#This Row],[Rsonde]]=MIN(data_Siemens_QAC32[Rsonde]),100,$D23),ResValuesR24))</f>
        <v>3</v>
      </c>
      <c r="I22" s="9">
        <f ca="1">ROUND(data_Siemens_QAC32[[#This Row],[RaddLow]]+(IF(data_Siemens_QAC32[[#This Row],[Rsonde]]=MIN(data_Siemens_QAC32[Rsonde]),0,$D23)-data_Siemens_QAC32[[#This Row],[Rsonde]]),2)</f>
        <v>-0.15</v>
      </c>
      <c r="J22" s="9" cm="1">
        <f t="array" aca="1" ref="J22" ca="1">MIN(IF(ResValuesR24&gt;=ROUND(data_Siemens_QAC32[[#This Row],[Rsonde]],2)-IF(data_Siemens_QAC32[[#This Row],[Rsonde]]=MIN(data_Siemens_QAC32[Rsonde]),100,$D23),ResValuesR24))</f>
        <v>3.3</v>
      </c>
      <c r="K22" s="9">
        <f ca="1">ROUND(data_Siemens_QAC32[[#This Row],[RaddHigh]]+(IF(data_Siemens_QAC32[[#This Row],[Rsonde]]=MIN(data_Siemens_QAC32[Rsonde]),0,$D23)-data_Siemens_QAC32[[#This Row],[Rsonde]]),2)</f>
        <v>0.15</v>
      </c>
      <c r="L22" s="2" cm="1">
        <f t="array" aca="1" ref="L22" ca="1">IF(INDIRECT(RefCell_R77),(data_Siemens_QAC32[[#This Row],[Rpcb]]*INDIRECT(RefCell_R77))/(data_Siemens_QAC32[[#This Row],[Rpcb]]+INDIRECT(RefCell_R77)),data_Siemens_QAC32[[#This Row],[Rpcb]])</f>
        <v>590.70000000000005</v>
      </c>
      <c r="N22">
        <v>-19</v>
      </c>
      <c r="O22">
        <v>656.04</v>
      </c>
    </row>
    <row r="23" spans="1:17" x14ac:dyDescent="0.25">
      <c r="A23" t="s">
        <v>28</v>
      </c>
      <c r="B23" s="8">
        <v>15</v>
      </c>
      <c r="C23" s="9">
        <f>data_Siemens_QAC32[[#This Row],[θ]]*P$21+Q$21</f>
        <v>587.58012066365018</v>
      </c>
      <c r="D23" s="9" cm="1">
        <f t="array" aca="1" ref="D23" ca="1">INDIRECT(RefCell_Rpot)+SUM(G23:G$34)</f>
        <v>587.70000000000005</v>
      </c>
      <c r="E23" s="9">
        <f ca="1">data_Siemens_QAC32[[#This Row],[Rpcb]]-data_Siemens_QAC32[[#This Row],[Rsonde]]</f>
        <v>0.11987933634986803</v>
      </c>
      <c r="F23" s="4">
        <f ca="1">data_Siemens_QAC32[[#This Row],[Diff R]]/data_Siemens_QAC32[[#This Row],[Rsonde]]</f>
        <v>2.0402211057526712E-4</v>
      </c>
      <c r="G23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3" s="9" cm="1">
        <f t="array" aca="1" ref="H23" ca="1">MAX(IF(ResValuesR24&lt;=ROUND(data_Siemens_QAC32[[#This Row],[Rsonde]],2)-IF(data_Siemens_QAC32[[#This Row],[Rsonde]]=MIN(data_Siemens_QAC32[Rsonde]),100,$D24),ResValuesR24))</f>
        <v>3</v>
      </c>
      <c r="I23" s="9">
        <f ca="1">ROUND(data_Siemens_QAC32[[#This Row],[RaddLow]]+(IF(data_Siemens_QAC32[[#This Row],[Rsonde]]=MIN(data_Siemens_QAC32[Rsonde]),0,$D24)-data_Siemens_QAC32[[#This Row],[Rsonde]]),2)</f>
        <v>-0.18</v>
      </c>
      <c r="J23" s="9" cm="1">
        <f t="array" aca="1" ref="J23" ca="1">MIN(IF(ResValuesR24&gt;=ROUND(data_Siemens_QAC32[[#This Row],[Rsonde]],2)-IF(data_Siemens_QAC32[[#This Row],[Rsonde]]=MIN(data_Siemens_QAC32[Rsonde]),100,$D24),ResValuesR24))</f>
        <v>3.3</v>
      </c>
      <c r="K23" s="9">
        <f ca="1">ROUND(data_Siemens_QAC32[[#This Row],[RaddHigh]]+(IF(data_Siemens_QAC32[[#This Row],[Rsonde]]=MIN(data_Siemens_QAC32[Rsonde]),0,$D24)-data_Siemens_QAC32[[#This Row],[Rsonde]]),2)</f>
        <v>0.12</v>
      </c>
      <c r="L23" s="2" cm="1">
        <f t="array" aca="1" ref="L23" ca="1">IF(INDIRECT(RefCell_R77),(data_Siemens_QAC32[[#This Row],[Rpcb]]*INDIRECT(RefCell_R77))/(data_Siemens_QAC32[[#This Row],[Rpcb]]+INDIRECT(RefCell_R77)),data_Siemens_QAC32[[#This Row],[Rpcb]])</f>
        <v>587.70000000000005</v>
      </c>
      <c r="N23">
        <v>-18</v>
      </c>
      <c r="O23">
        <v>654.69000000000005</v>
      </c>
    </row>
    <row r="24" spans="1:17" x14ac:dyDescent="0.25">
      <c r="A24" t="s">
        <v>27</v>
      </c>
      <c r="B24" s="8">
        <v>16.5</v>
      </c>
      <c r="C24" s="9">
        <f>data_Siemens_QAC32[[#This Row],[θ]]*P$21+Q$21</f>
        <v>584.31440346907993</v>
      </c>
      <c r="D24" s="9" cm="1">
        <f t="array" aca="1" ref="D24" ca="1">INDIRECT(RefCell_Rpot)+SUM(G24:G$34)</f>
        <v>584.4</v>
      </c>
      <c r="E24" s="9">
        <f ca="1">data_Siemens_QAC32[[#This Row],[Rpcb]]-data_Siemens_QAC32[[#This Row],[Rsonde]]</f>
        <v>8.5596530920042824E-2</v>
      </c>
      <c r="F24" s="4">
        <f ca="1">data_Siemens_QAC32[[#This Row],[Diff R]]/data_Siemens_QAC32[[#This Row],[Rsonde]]</f>
        <v>1.4649053730638066E-4</v>
      </c>
      <c r="G24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4" s="9" cm="1">
        <f t="array" aca="1" ref="H24" ca="1">MAX(IF(ResValuesR24&lt;=ROUND(data_Siemens_QAC32[[#This Row],[Rsonde]],2)-IF(data_Siemens_QAC32[[#This Row],[Rsonde]]=MIN(data_Siemens_QAC32[Rsonde]),100,$D25),ResValuesR24))</f>
        <v>3</v>
      </c>
      <c r="I24" s="9">
        <f ca="1">ROUND(data_Siemens_QAC32[[#This Row],[RaddLow]]+(IF(data_Siemens_QAC32[[#This Row],[Rsonde]]=MIN(data_Siemens_QAC32[Rsonde]),0,$D25)-data_Siemens_QAC32[[#This Row],[Rsonde]]),2)</f>
        <v>-0.21</v>
      </c>
      <c r="J24" s="9" cm="1">
        <f t="array" aca="1" ref="J24" ca="1">MIN(IF(ResValuesR24&gt;=ROUND(data_Siemens_QAC32[[#This Row],[Rsonde]],2)-IF(data_Siemens_QAC32[[#This Row],[Rsonde]]=MIN(data_Siemens_QAC32[Rsonde]),100,$D25),ResValuesR24))</f>
        <v>3.3</v>
      </c>
      <c r="K24" s="9">
        <f ca="1">ROUND(data_Siemens_QAC32[[#This Row],[RaddHigh]]+(IF(data_Siemens_QAC32[[#This Row],[Rsonde]]=MIN(data_Siemens_QAC32[Rsonde]),0,$D25)-data_Siemens_QAC32[[#This Row],[Rsonde]]),2)</f>
        <v>0.09</v>
      </c>
      <c r="L24" s="2" cm="1">
        <f t="array" aca="1" ref="L24" ca="1">IF(INDIRECT(RefCell_R77),(data_Siemens_QAC32[[#This Row],[Rpcb]]*INDIRECT(RefCell_R77))/(data_Siemens_QAC32[[#This Row],[Rpcb]]+INDIRECT(RefCell_R77)),data_Siemens_QAC32[[#This Row],[Rpcb]])</f>
        <v>584.4</v>
      </c>
      <c r="N24">
        <v>-17</v>
      </c>
      <c r="O24">
        <v>653.30999999999995</v>
      </c>
    </row>
    <row r="25" spans="1:17" x14ac:dyDescent="0.25">
      <c r="A25" t="s">
        <v>26</v>
      </c>
      <c r="B25" s="8">
        <v>18</v>
      </c>
      <c r="C25" s="9">
        <f>data_Siemens_QAC32[[#This Row],[θ]]*P$21+Q$21</f>
        <v>581.04868627450981</v>
      </c>
      <c r="D25" s="9" cm="1">
        <f t="array" aca="1" ref="D25" ca="1">INDIRECT(RefCell_Rpot)+SUM(G25:G$34)</f>
        <v>581.1</v>
      </c>
      <c r="E25" s="9">
        <f ca="1">data_Siemens_QAC32[[#This Row],[Rpcb]]-data_Siemens_QAC32[[#This Row],[Rsonde]]</f>
        <v>5.1313725490217621E-2</v>
      </c>
      <c r="F25" s="4">
        <f ca="1">data_Siemens_QAC32[[#This Row],[Diff R]]/data_Siemens_QAC32[[#This Row],[Rsonde]]</f>
        <v>8.8312264879599161E-5</v>
      </c>
      <c r="G25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5" s="9" cm="1">
        <f t="array" aca="1" ref="H25" ca="1">MAX(IF(ResValuesR24&lt;=ROUND(data_Siemens_QAC32[[#This Row],[Rsonde]],2)-IF(data_Siemens_QAC32[[#This Row],[Rsonde]]=MIN(data_Siemens_QAC32[Rsonde]),100,$D26),ResValuesR24))</f>
        <v>3</v>
      </c>
      <c r="I25" s="9">
        <f ca="1">ROUND(data_Siemens_QAC32[[#This Row],[RaddLow]]+(IF(data_Siemens_QAC32[[#This Row],[Rsonde]]=MIN(data_Siemens_QAC32[Rsonde]),0,$D26)-data_Siemens_QAC32[[#This Row],[Rsonde]]),2)</f>
        <v>-0.25</v>
      </c>
      <c r="J25" s="9" cm="1">
        <f t="array" aca="1" ref="J25" ca="1">MIN(IF(ResValuesR24&gt;=ROUND(data_Siemens_QAC32[[#This Row],[Rsonde]],2)-IF(data_Siemens_QAC32[[#This Row],[Rsonde]]=MIN(data_Siemens_QAC32[Rsonde]),100,$D26),ResValuesR24))</f>
        <v>3.3</v>
      </c>
      <c r="K25" s="9">
        <f ca="1">ROUND(data_Siemens_QAC32[[#This Row],[RaddHigh]]+(IF(data_Siemens_QAC32[[#This Row],[Rsonde]]=MIN(data_Siemens_QAC32[Rsonde]),0,$D26)-data_Siemens_QAC32[[#This Row],[Rsonde]]),2)</f>
        <v>0.05</v>
      </c>
      <c r="L25" s="2" cm="1">
        <f t="array" aca="1" ref="L25" ca="1">IF(INDIRECT(RefCell_R77),(data_Siemens_QAC32[[#This Row],[Rpcb]]*INDIRECT(RefCell_R77))/(data_Siemens_QAC32[[#This Row],[Rpcb]]+INDIRECT(RefCell_R77)),data_Siemens_QAC32[[#This Row],[Rpcb]])</f>
        <v>581.1</v>
      </c>
      <c r="N25">
        <v>-16</v>
      </c>
      <c r="O25">
        <v>651.88</v>
      </c>
    </row>
    <row r="26" spans="1:17" x14ac:dyDescent="0.25">
      <c r="A26" t="s">
        <v>25</v>
      </c>
      <c r="B26" s="8">
        <v>19.5</v>
      </c>
      <c r="C26" s="9">
        <f>data_Siemens_QAC32[[#This Row],[θ]]*P$21+Q$21</f>
        <v>577.78296907993968</v>
      </c>
      <c r="D26" s="9" cm="1">
        <f t="array" aca="1" ref="D26" ca="1">INDIRECT(RefCell_Rpot)+SUM(G26:G$34)</f>
        <v>577.79999999999995</v>
      </c>
      <c r="E26" s="9">
        <f ca="1">data_Siemens_QAC32[[#This Row],[Rpcb]]-data_Siemens_QAC32[[#This Row],[Rsonde]]</f>
        <v>1.7030920060278731E-2</v>
      </c>
      <c r="F26" s="4">
        <f ca="1">data_Siemens_QAC32[[#This Row],[Diff R]]/data_Siemens_QAC32[[#This Row],[Rsonde]]</f>
        <v>2.9476327568807938E-5</v>
      </c>
      <c r="G26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6" s="9" cm="1">
        <f t="array" aca="1" ref="H26" ca="1">MAX(IF(ResValuesR24&lt;=ROUND(data_Siemens_QAC32[[#This Row],[Rsonde]],2)-IF(data_Siemens_QAC32[[#This Row],[Rsonde]]=MIN(data_Siemens_QAC32[Rsonde]),100,$D27),ResValuesR24))</f>
        <v>3</v>
      </c>
      <c r="I26" s="9">
        <f ca="1">ROUND(data_Siemens_QAC32[[#This Row],[RaddLow]]+(IF(data_Siemens_QAC32[[#This Row],[Rsonde]]=MIN(data_Siemens_QAC32[Rsonde]),0,$D27)-data_Siemens_QAC32[[#This Row],[Rsonde]]),2)</f>
        <v>-0.28000000000000003</v>
      </c>
      <c r="J26" s="9" cm="1">
        <f t="array" aca="1" ref="J26" ca="1">MIN(IF(ResValuesR24&gt;=ROUND(data_Siemens_QAC32[[#This Row],[Rsonde]],2)-IF(data_Siemens_QAC32[[#This Row],[Rsonde]]=MIN(data_Siemens_QAC32[Rsonde]),100,$D27),ResValuesR24))</f>
        <v>3.3</v>
      </c>
      <c r="K26" s="9">
        <f ca="1">ROUND(data_Siemens_QAC32[[#This Row],[RaddHigh]]+(IF(data_Siemens_QAC32[[#This Row],[Rsonde]]=MIN(data_Siemens_QAC32[Rsonde]),0,$D27)-data_Siemens_QAC32[[#This Row],[Rsonde]]),2)</f>
        <v>0.02</v>
      </c>
      <c r="L26" s="2" cm="1">
        <f t="array" aca="1" ref="L26" ca="1">IF(INDIRECT(RefCell_R77),(data_Siemens_QAC32[[#This Row],[Rpcb]]*INDIRECT(RefCell_R77))/(data_Siemens_QAC32[[#This Row],[Rpcb]]+INDIRECT(RefCell_R77)),data_Siemens_QAC32[[#This Row],[Rpcb]])</f>
        <v>577.79999999999995</v>
      </c>
      <c r="N26">
        <v>-15</v>
      </c>
      <c r="O26">
        <v>650.4</v>
      </c>
    </row>
    <row r="27" spans="1:17" x14ac:dyDescent="0.25">
      <c r="A27" t="s">
        <v>24</v>
      </c>
      <c r="B27" s="8">
        <v>21</v>
      </c>
      <c r="C27" s="9">
        <f>data_Siemens_QAC32[[#This Row],[θ]]*P$21+Q$21</f>
        <v>574.51725188536955</v>
      </c>
      <c r="D27" s="9" cm="1">
        <f t="array" aca="1" ref="D27" ca="1">INDIRECT(RefCell_Rpot)+SUM(G27:G$34)</f>
        <v>574.5</v>
      </c>
      <c r="E27" s="9">
        <f ca="1">data_Siemens_QAC32[[#This Row],[Rpcb]]-data_Siemens_QAC32[[#This Row],[Rsonde]]</f>
        <v>-1.7251885369546471E-2</v>
      </c>
      <c r="F27" s="4">
        <f ca="1">data_Siemens_QAC32[[#This Row],[Diff R]]/data_Siemens_QAC32[[#This Row],[Rsonde]]</f>
        <v>-3.0028489680565154E-5</v>
      </c>
      <c r="G27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7" s="9" cm="1">
        <f t="array" aca="1" ref="H27" ca="1">MAX(IF(ResValuesR24&lt;=ROUND(data_Siemens_QAC32[[#This Row],[Rsonde]],2)-IF(data_Siemens_QAC32[[#This Row],[Rsonde]]=MIN(data_Siemens_QAC32[Rsonde]),100,$D28),ResValuesR24))</f>
        <v>3.3</v>
      </c>
      <c r="I27" s="9">
        <f ca="1">ROUND(data_Siemens_QAC32[[#This Row],[RaddLow]]+(IF(data_Siemens_QAC32[[#This Row],[Rsonde]]=MIN(data_Siemens_QAC32[Rsonde]),0,$D28)-data_Siemens_QAC32[[#This Row],[Rsonde]]),2)</f>
        <v>-0.02</v>
      </c>
      <c r="J27" s="9" cm="1">
        <f t="array" aca="1" ref="J27" ca="1">MIN(IF(ResValuesR24&gt;=ROUND(data_Siemens_QAC32[[#This Row],[Rsonde]],2)-IF(data_Siemens_QAC32[[#This Row],[Rsonde]]=MIN(data_Siemens_QAC32[Rsonde]),100,$D28),ResValuesR24))</f>
        <v>3.6</v>
      </c>
      <c r="K27" s="9">
        <f ca="1">ROUND(data_Siemens_QAC32[[#This Row],[RaddHigh]]+(IF(data_Siemens_QAC32[[#This Row],[Rsonde]]=MIN(data_Siemens_QAC32[Rsonde]),0,$D28)-data_Siemens_QAC32[[#This Row],[Rsonde]]),2)</f>
        <v>0.28000000000000003</v>
      </c>
      <c r="L27" s="2" cm="1">
        <f t="array" aca="1" ref="L27" ca="1">IF(INDIRECT(RefCell_R77),(data_Siemens_QAC32[[#This Row],[Rpcb]]*INDIRECT(RefCell_R77))/(data_Siemens_QAC32[[#This Row],[Rpcb]]+INDIRECT(RefCell_R77)),data_Siemens_QAC32[[#This Row],[Rpcb]])</f>
        <v>574.5</v>
      </c>
      <c r="N27">
        <v>-14</v>
      </c>
      <c r="O27">
        <v>648.89</v>
      </c>
    </row>
    <row r="28" spans="1:17" x14ac:dyDescent="0.25">
      <c r="A28" t="s">
        <v>23</v>
      </c>
      <c r="B28" s="8">
        <v>22.5</v>
      </c>
      <c r="C28" s="9">
        <f>data_Siemens_QAC32[[#This Row],[θ]]*P$21+Q$21</f>
        <v>571.25153469079942</v>
      </c>
      <c r="D28" s="9" cm="1">
        <f t="array" aca="1" ref="D28" ca="1">INDIRECT(RefCell_Rpot)+SUM(G28:G$34)</f>
        <v>571.20000000000005</v>
      </c>
      <c r="E28" s="9">
        <f ca="1">data_Siemens_QAC32[[#This Row],[Rpcb]]-data_Siemens_QAC32[[#This Row],[Rsonde]]</f>
        <v>-5.1534690799371674E-2</v>
      </c>
      <c r="F28" s="4">
        <f ca="1">data_Siemens_QAC32[[#This Row],[Diff R]]/data_Siemens_QAC32[[#This Row],[Rsonde]]</f>
        <v>-9.0213658379518911E-5</v>
      </c>
      <c r="G28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8" s="9" cm="1">
        <f t="array" aca="1" ref="H28" ca="1">MAX(IF(ResValuesR24&lt;=ROUND(data_Siemens_QAC32[[#This Row],[Rsonde]],2)-IF(data_Siemens_QAC32[[#This Row],[Rsonde]]=MIN(data_Siemens_QAC32[Rsonde]),100,$D29),ResValuesR24))</f>
        <v>3.3</v>
      </c>
      <c r="I28" s="9">
        <f ca="1">ROUND(data_Siemens_QAC32[[#This Row],[RaddLow]]+(IF(data_Siemens_QAC32[[#This Row],[Rsonde]]=MIN(data_Siemens_QAC32[Rsonde]),0,$D29)-data_Siemens_QAC32[[#This Row],[Rsonde]]),2)</f>
        <v>-0.05</v>
      </c>
      <c r="J28" s="9" cm="1">
        <f t="array" aca="1" ref="J28" ca="1">MIN(IF(ResValuesR24&gt;=ROUND(data_Siemens_QAC32[[#This Row],[Rsonde]],2)-IF(data_Siemens_QAC32[[#This Row],[Rsonde]]=MIN(data_Siemens_QAC32[Rsonde]),100,$D29),ResValuesR24))</f>
        <v>3.6</v>
      </c>
      <c r="K28" s="9">
        <f ca="1">ROUND(data_Siemens_QAC32[[#This Row],[RaddHigh]]+(IF(data_Siemens_QAC32[[#This Row],[Rsonde]]=MIN(data_Siemens_QAC32[Rsonde]),0,$D29)-data_Siemens_QAC32[[#This Row],[Rsonde]]),2)</f>
        <v>0.25</v>
      </c>
      <c r="L28" s="2" cm="1">
        <f t="array" aca="1" ref="L28" ca="1">IF(INDIRECT(RefCell_R77),(data_Siemens_QAC32[[#This Row],[Rpcb]]*INDIRECT(RefCell_R77))/(data_Siemens_QAC32[[#This Row],[Rpcb]]+INDIRECT(RefCell_R77)),data_Siemens_QAC32[[#This Row],[Rpcb]])</f>
        <v>571.20000000000005</v>
      </c>
      <c r="N28">
        <v>-13</v>
      </c>
      <c r="O28">
        <v>647.33000000000004</v>
      </c>
    </row>
    <row r="29" spans="1:17" x14ac:dyDescent="0.25">
      <c r="A29" t="s">
        <v>22</v>
      </c>
      <c r="B29" s="8">
        <v>24</v>
      </c>
      <c r="C29" s="9">
        <f>data_Siemens_QAC32[[#This Row],[θ]]*P$21+Q$21</f>
        <v>567.98581749622929</v>
      </c>
      <c r="D29" s="9" cm="1">
        <f t="array" aca="1" ref="D29" ca="1">INDIRECT(RefCell_Rpot)+SUM(G29:G$34)</f>
        <v>567.9</v>
      </c>
      <c r="E29" s="9">
        <f ca="1">data_Siemens_QAC32[[#This Row],[Rpcb]]-data_Siemens_QAC32[[#This Row],[Rsonde]]</f>
        <v>-8.5817496229310564E-2</v>
      </c>
      <c r="F29" s="4">
        <f ca="1">data_Siemens_QAC32[[#This Row],[Diff R]]/data_Siemens_QAC32[[#This Row],[Rsonde]]</f>
        <v>-1.5109091386754614E-4</v>
      </c>
      <c r="G29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9" s="9" cm="1">
        <f t="array" aca="1" ref="H29" ca="1">MAX(IF(ResValuesR24&lt;=ROUND(data_Siemens_QAC32[[#This Row],[Rsonde]],2)-IF(data_Siemens_QAC32[[#This Row],[Rsonde]]=MIN(data_Siemens_QAC32[Rsonde]),100,$D30),ResValuesR24))</f>
        <v>3.3</v>
      </c>
      <c r="I29" s="9">
        <f ca="1">ROUND(data_Siemens_QAC32[[#This Row],[RaddLow]]+(IF(data_Siemens_QAC32[[#This Row],[Rsonde]]=MIN(data_Siemens_QAC32[Rsonde]),0,$D30)-data_Siemens_QAC32[[#This Row],[Rsonde]]),2)</f>
        <v>-0.09</v>
      </c>
      <c r="J29" s="9" cm="1">
        <f t="array" aca="1" ref="J29" ca="1">MIN(IF(ResValuesR24&gt;=ROUND(data_Siemens_QAC32[[#This Row],[Rsonde]],2)-IF(data_Siemens_QAC32[[#This Row],[Rsonde]]=MIN(data_Siemens_QAC32[Rsonde]),100,$D30),ResValuesR24))</f>
        <v>3.6</v>
      </c>
      <c r="K29" s="9">
        <f ca="1">ROUND(data_Siemens_QAC32[[#This Row],[RaddHigh]]+(IF(data_Siemens_QAC32[[#This Row],[Rsonde]]=MIN(data_Siemens_QAC32[Rsonde]),0,$D30)-data_Siemens_QAC32[[#This Row],[Rsonde]]),2)</f>
        <v>0.21</v>
      </c>
      <c r="L29" s="2" cm="1">
        <f t="array" aca="1" ref="L29" ca="1">IF(INDIRECT(RefCell_R77),(data_Siemens_QAC32[[#This Row],[Rpcb]]*INDIRECT(RefCell_R77))/(data_Siemens_QAC32[[#This Row],[Rpcb]]+INDIRECT(RefCell_R77)),data_Siemens_QAC32[[#This Row],[Rpcb]])</f>
        <v>567.9</v>
      </c>
      <c r="N29">
        <v>-12</v>
      </c>
      <c r="O29">
        <v>645.72</v>
      </c>
    </row>
    <row r="30" spans="1:17" x14ac:dyDescent="0.25">
      <c r="A30" t="s">
        <v>21</v>
      </c>
      <c r="B30" s="8">
        <v>25.5</v>
      </c>
      <c r="C30" s="9">
        <f>data_Siemens_QAC32[[#This Row],[θ]]*P$21+Q$21</f>
        <v>564.72010030165916</v>
      </c>
      <c r="D30" s="9" cm="1">
        <f t="array" aca="1" ref="D30" ca="1">INDIRECT(RefCell_Rpot)+SUM(G30:G$34)</f>
        <v>564.6</v>
      </c>
      <c r="E30" s="9">
        <f ca="1">data_Siemens_QAC32[[#This Row],[Rpcb]]-data_Siemens_QAC32[[#This Row],[Rsonde]]</f>
        <v>-0.12010030165913577</v>
      </c>
      <c r="F30" s="4">
        <f ca="1">data_Siemens_QAC32[[#This Row],[Diff R]]/data_Siemens_QAC32[[#This Row],[Rsonde]]</f>
        <v>-2.1267226294049253E-4</v>
      </c>
      <c r="G30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30" s="9" cm="1">
        <f t="array" aca="1" ref="H30" ca="1">MAX(IF(ResValuesR24&lt;=ROUND(data_Siemens_QAC32[[#This Row],[Rsonde]],2)-IF(data_Siemens_QAC32[[#This Row],[Rsonde]]=MIN(data_Siemens_QAC32[Rsonde]),100,$D31),ResValuesR24))</f>
        <v>3.3</v>
      </c>
      <c r="I30" s="9">
        <f ca="1">ROUND(data_Siemens_QAC32[[#This Row],[RaddLow]]+(IF(data_Siemens_QAC32[[#This Row],[Rsonde]]=MIN(data_Siemens_QAC32[Rsonde]),0,$D31)-data_Siemens_QAC32[[#This Row],[Rsonde]]),2)</f>
        <v>-0.12</v>
      </c>
      <c r="J30" s="9" cm="1">
        <f t="array" aca="1" ref="J30" ca="1">MIN(IF(ResValuesR24&gt;=ROUND(data_Siemens_QAC32[[#This Row],[Rsonde]],2)-IF(data_Siemens_QAC32[[#This Row],[Rsonde]]=MIN(data_Siemens_QAC32[Rsonde]),100,$D31),ResValuesR24))</f>
        <v>3.6</v>
      </c>
      <c r="K30" s="9">
        <f ca="1">ROUND(data_Siemens_QAC32[[#This Row],[RaddHigh]]+(IF(data_Siemens_QAC32[[#This Row],[Rsonde]]=MIN(data_Siemens_QAC32[Rsonde]),0,$D31)-data_Siemens_QAC32[[#This Row],[Rsonde]]),2)</f>
        <v>0.18</v>
      </c>
      <c r="L30" s="2" cm="1">
        <f t="array" aca="1" ref="L30" ca="1">IF(INDIRECT(RefCell_R77),(data_Siemens_QAC32[[#This Row],[Rpcb]]*INDIRECT(RefCell_R77))/(data_Siemens_QAC32[[#This Row],[Rpcb]]+INDIRECT(RefCell_R77)),data_Siemens_QAC32[[#This Row],[Rpcb]])</f>
        <v>564.6</v>
      </c>
      <c r="N30">
        <v>-11</v>
      </c>
      <c r="O30">
        <v>644.07000000000005</v>
      </c>
    </row>
    <row r="31" spans="1:17" x14ac:dyDescent="0.25">
      <c r="A31" t="s">
        <v>20</v>
      </c>
      <c r="B31" s="8">
        <v>27</v>
      </c>
      <c r="C31" s="9">
        <f>data_Siemens_QAC32[[#This Row],[θ]]*P$21+Q$21</f>
        <v>561.45438310708903</v>
      </c>
      <c r="D31" s="9" cm="1">
        <f t="array" aca="1" ref="D31" ca="1">INDIRECT(RefCell_Rpot)+SUM(G31:G$34)</f>
        <v>561.29999999999995</v>
      </c>
      <c r="E31" s="9">
        <f ca="1">data_Siemens_QAC32[[#This Row],[Rpcb]]-data_Siemens_QAC32[[#This Row],[Rsonde]]</f>
        <v>-0.15438310708907466</v>
      </c>
      <c r="F31" s="4">
        <f ca="1">data_Siemens_QAC32[[#This Row],[Diff R]]/data_Siemens_QAC32[[#This Row],[Rsonde]]</f>
        <v>-2.749699917466463E-4</v>
      </c>
      <c r="G31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</v>
      </c>
      <c r="H31" s="9" cm="1">
        <f t="array" aca="1" ref="H31" ca="1">MAX(IF(ResValuesR24&lt;=ROUND(data_Siemens_QAC32[[#This Row],[Rsonde]],2)-IF(data_Siemens_QAC32[[#This Row],[Rsonde]]=MIN(data_Siemens_QAC32[Rsonde]),100,$D32),ResValuesR24))</f>
        <v>3</v>
      </c>
      <c r="I31" s="9">
        <f ca="1">ROUND(data_Siemens_QAC32[[#This Row],[RaddLow]]+(IF(data_Siemens_QAC32[[#This Row],[Rsonde]]=MIN(data_Siemens_QAC32[Rsonde]),0,$D32)-data_Siemens_QAC32[[#This Row],[Rsonde]]),2)</f>
        <v>-0.15</v>
      </c>
      <c r="J31" s="9" cm="1">
        <f t="array" aca="1" ref="J31" ca="1">MIN(IF(ResValuesR24&gt;=ROUND(data_Siemens_QAC32[[#This Row],[Rsonde]],2)-IF(data_Siemens_QAC32[[#This Row],[Rsonde]]=MIN(data_Siemens_QAC32[Rsonde]),100,$D32),ResValuesR24))</f>
        <v>3.3</v>
      </c>
      <c r="K31" s="9">
        <f ca="1">ROUND(data_Siemens_QAC32[[#This Row],[RaddHigh]]+(IF(data_Siemens_QAC32[[#This Row],[Rsonde]]=MIN(data_Siemens_QAC32[Rsonde]),0,$D32)-data_Siemens_QAC32[[#This Row],[Rsonde]]),2)</f>
        <v>0.15</v>
      </c>
      <c r="L31" s="2" cm="1">
        <f t="array" aca="1" ref="L31" ca="1">IF(INDIRECT(RefCell_R77),(data_Siemens_QAC32[[#This Row],[Rpcb]]*INDIRECT(RefCell_R77))/(data_Siemens_QAC32[[#This Row],[Rpcb]]+INDIRECT(RefCell_R77)),data_Siemens_QAC32[[#This Row],[Rpcb]])</f>
        <v>561.29999999999995</v>
      </c>
      <c r="N31">
        <v>-10</v>
      </c>
      <c r="O31">
        <v>642.38</v>
      </c>
    </row>
    <row r="32" spans="1:17" x14ac:dyDescent="0.25">
      <c r="A32" t="s">
        <v>19</v>
      </c>
      <c r="B32" s="8">
        <v>28.5</v>
      </c>
      <c r="C32" s="9">
        <f>data_Siemens_QAC32[[#This Row],[θ]]*P$21+Q$21</f>
        <v>558.1886659125189</v>
      </c>
      <c r="D32" s="9" cm="1">
        <f t="array" aca="1" ref="D32" ca="1">INDIRECT(RefCell_Rpot)+SUM(G32:G$34)</f>
        <v>558.29999999999995</v>
      </c>
      <c r="E32" s="9">
        <f ca="1">data_Siemens_QAC32[[#This Row],[Rpcb]]-data_Siemens_QAC32[[#This Row],[Rsonde]]</f>
        <v>0.11133408748105467</v>
      </c>
      <c r="F32" s="4">
        <f ca="1">data_Siemens_QAC32[[#This Row],[Diff R]]/data_Siemens_QAC32[[#This Row],[Rsonde]]</f>
        <v>1.9945601600320436E-4</v>
      </c>
      <c r="G32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32" s="9" cm="1">
        <f t="array" aca="1" ref="H32" ca="1">MAX(IF(ResValuesR24&lt;=ROUND(data_Siemens_QAC32[[#This Row],[Rsonde]],2)-IF(data_Siemens_QAC32[[#This Row],[Rsonde]]=MIN(data_Siemens_QAC32[Rsonde]),100,$D33),ResValuesR24))</f>
        <v>3</v>
      </c>
      <c r="I32" s="9">
        <f ca="1">ROUND(data_Siemens_QAC32[[#This Row],[RaddLow]]+(IF(data_Siemens_QAC32[[#This Row],[Rsonde]]=MIN(data_Siemens_QAC32[Rsonde]),0,$D33)-data_Siemens_QAC32[[#This Row],[Rsonde]]),2)</f>
        <v>-0.19</v>
      </c>
      <c r="J32" s="9" cm="1">
        <f t="array" aca="1" ref="J32" ca="1">MIN(IF(ResValuesR24&gt;=ROUND(data_Siemens_QAC32[[#This Row],[Rsonde]],2)-IF(data_Siemens_QAC32[[#This Row],[Rsonde]]=MIN(data_Siemens_QAC32[Rsonde]),100,$D33),ResValuesR24))</f>
        <v>3.3</v>
      </c>
      <c r="K32" s="9">
        <f ca="1">ROUND(data_Siemens_QAC32[[#This Row],[RaddHigh]]+(IF(data_Siemens_QAC32[[#This Row],[Rsonde]]=MIN(data_Siemens_QAC32[Rsonde]),0,$D33)-data_Siemens_QAC32[[#This Row],[Rsonde]]),2)</f>
        <v>0.11</v>
      </c>
      <c r="L32" s="2" cm="1">
        <f t="array" aca="1" ref="L32" ca="1">IF(INDIRECT(RefCell_R77),(data_Siemens_QAC32[[#This Row],[Rpcb]]*INDIRECT(RefCell_R77))/(data_Siemens_QAC32[[#This Row],[Rpcb]]+INDIRECT(RefCell_R77)),data_Siemens_QAC32[[#This Row],[Rpcb]])</f>
        <v>558.29999999999995</v>
      </c>
      <c r="N32">
        <v>-9</v>
      </c>
      <c r="O32">
        <v>640.65</v>
      </c>
    </row>
    <row r="33" spans="1:15" x14ac:dyDescent="0.25">
      <c r="A33" t="s">
        <v>18</v>
      </c>
      <c r="B33" s="8">
        <v>30</v>
      </c>
      <c r="C33" s="9">
        <f>data_Siemens_QAC32[[#This Row],[θ]]*P$21+Q$21</f>
        <v>554.92294871794877</v>
      </c>
      <c r="D33" s="9" cm="1">
        <f t="array" aca="1" ref="D33" ca="1">INDIRECT(RefCell_Rpot)+SUM(G33:G$34)</f>
        <v>555</v>
      </c>
      <c r="E33" s="9">
        <f ca="1">data_Siemens_QAC32[[#This Row],[Rpcb]]-data_Siemens_QAC32[[#This Row],[Rsonde]]</f>
        <v>7.7051282051229464E-2</v>
      </c>
      <c r="F33" s="4">
        <f ca="1">data_Siemens_QAC32[[#This Row],[Diff R]]/data_Siemens_QAC32[[#This Row],[Rsonde]]</f>
        <v>1.3885041559236793E-4</v>
      </c>
      <c r="G33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</v>
      </c>
      <c r="H33" s="9" cm="1">
        <f t="array" aca="1" ref="H33" ca="1">MAX(IF(ResValuesR24&lt;=ROUND(data_Siemens_QAC32[[#This Row],[Rsonde]],2)-IF(data_Siemens_QAC32[[#This Row],[Rsonde]]=MIN(data_Siemens_QAC32[Rsonde]),100,$D34),ResValuesR24))</f>
        <v>2.7</v>
      </c>
      <c r="I33" s="9">
        <f ca="1">ROUND(data_Siemens_QAC32[[#This Row],[RaddLow]]+(IF(data_Siemens_QAC32[[#This Row],[Rsonde]]=MIN(data_Siemens_QAC32[Rsonde]),0,$D34)-data_Siemens_QAC32[[#This Row],[Rsonde]]),2)</f>
        <v>-0.22</v>
      </c>
      <c r="J33" s="9" cm="1">
        <f t="array" aca="1" ref="J33" ca="1">MIN(IF(ResValuesR24&gt;=ROUND(data_Siemens_QAC32[[#This Row],[Rsonde]],2)-IF(data_Siemens_QAC32[[#This Row],[Rsonde]]=MIN(data_Siemens_QAC32[Rsonde]),100,$D34),ResValuesR24))</f>
        <v>3</v>
      </c>
      <c r="K33" s="9">
        <f ca="1">ROUND(data_Siemens_QAC32[[#This Row],[RaddHigh]]+(IF(data_Siemens_QAC32[[#This Row],[Rsonde]]=MIN(data_Siemens_QAC32[Rsonde]),0,$D34)-data_Siemens_QAC32[[#This Row],[Rsonde]]),2)</f>
        <v>0.08</v>
      </c>
      <c r="L33" s="2" cm="1">
        <f t="array" aca="1" ref="L33" ca="1">IF(INDIRECT(RefCell_R77),(data_Siemens_QAC32[[#This Row],[Rpcb]]*INDIRECT(RefCell_R77))/(data_Siemens_QAC32[[#This Row],[Rpcb]]+INDIRECT(RefCell_R77)),data_Siemens_QAC32[[#This Row],[Rpcb]])</f>
        <v>555</v>
      </c>
      <c r="N33">
        <v>-8</v>
      </c>
      <c r="O33">
        <v>638.87</v>
      </c>
    </row>
    <row r="34" spans="1:15" x14ac:dyDescent="0.25">
      <c r="A34" t="s">
        <v>17</v>
      </c>
      <c r="B34" s="8">
        <v>31.5</v>
      </c>
      <c r="C34" s="9">
        <f>data_Siemens_QAC32[[#This Row],[θ]]*P$21+Q$21</f>
        <v>551.65723152337864</v>
      </c>
      <c r="D34" s="9" cm="1">
        <f t="array" aca="1" ref="D34" ca="1">INDIRECT(RefCell_Rpot)+SUM(G34:G$34)</f>
        <v>552</v>
      </c>
      <c r="E34" s="9">
        <f ca="1">data_Siemens_QAC32[[#This Row],[Rpcb]]-data_Siemens_QAC32[[#This Row],[Rsonde]]</f>
        <v>0.34276847662135879</v>
      </c>
      <c r="F34" s="4">
        <f ca="1">data_Siemens_QAC32[[#This Row],[Diff R]]/data_Siemens_QAC32[[#This Row],[Rsonde]]</f>
        <v>6.2134321284036795E-4</v>
      </c>
      <c r="G34" s="9">
        <f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470</v>
      </c>
      <c r="H34" s="9" cm="1">
        <f t="array" ref="H34">MAX(IF(ResValuesR24&lt;=ROUND(data_Siemens_QAC32[[#This Row],[Rsonde]],2)-IF(data_Siemens_QAC32[[#This Row],[Rsonde]]=MIN(data_Siemens_QAC32[Rsonde]),100,$D35),ResValuesR24))</f>
        <v>430</v>
      </c>
      <c r="I34" s="9">
        <f>ROUND(data_Siemens_QAC32[[#This Row],[RaddLow]]+(IF(data_Siemens_QAC32[[#This Row],[Rsonde]]=MIN(data_Siemens_QAC32[Rsonde]),0,$D35)-data_Siemens_QAC32[[#This Row],[Rsonde]]),2)</f>
        <v>-121.66</v>
      </c>
      <c r="J34" s="9" cm="1">
        <f t="array" ref="J34">MIN(IF(ResValuesR24&gt;=ROUND(data_Siemens_QAC32[[#This Row],[Rsonde]],2)-IF(data_Siemens_QAC32[[#This Row],[Rsonde]]=MIN(data_Siemens_QAC32[Rsonde]),100,$D35),ResValuesR24))</f>
        <v>470</v>
      </c>
      <c r="K34" s="9">
        <f>ROUND(data_Siemens_QAC32[[#This Row],[RaddHigh]]+(IF(data_Siemens_QAC32[[#This Row],[Rsonde]]=MIN(data_Siemens_QAC32[Rsonde]),0,$D35)-data_Siemens_QAC32[[#This Row],[Rsonde]]),2)</f>
        <v>-81.66</v>
      </c>
      <c r="L34" s="2" cm="1">
        <f t="array" aca="1" ref="L34" ca="1">IF(INDIRECT(RefCell_R77),(data_Siemens_QAC32[[#This Row],[Rpcb]]*INDIRECT(RefCell_R77))/(data_Siemens_QAC32[[#This Row],[Rpcb]]+INDIRECT(RefCell_R77)),data_Siemens_QAC32[[#This Row],[Rpcb]])</f>
        <v>552</v>
      </c>
      <c r="N34">
        <v>-7</v>
      </c>
      <c r="O34">
        <v>637.04999999999995</v>
      </c>
    </row>
    <row r="35" spans="1:15" x14ac:dyDescent="0.25">
      <c r="N35">
        <v>-6</v>
      </c>
      <c r="O35">
        <v>635.19000000000005</v>
      </c>
    </row>
    <row r="36" spans="1:15" x14ac:dyDescent="0.25">
      <c r="N36">
        <v>-5</v>
      </c>
      <c r="O36">
        <v>633.29</v>
      </c>
    </row>
    <row r="37" spans="1:15" x14ac:dyDescent="0.25">
      <c r="N37">
        <v>-4</v>
      </c>
      <c r="O37">
        <v>631.35</v>
      </c>
    </row>
    <row r="38" spans="1:15" x14ac:dyDescent="0.25">
      <c r="N38">
        <v>-3</v>
      </c>
      <c r="O38">
        <v>629.37</v>
      </c>
    </row>
    <row r="39" spans="1:15" x14ac:dyDescent="0.25">
      <c r="N39">
        <v>-2</v>
      </c>
      <c r="O39">
        <v>627.36</v>
      </c>
    </row>
    <row r="40" spans="1:15" x14ac:dyDescent="0.25">
      <c r="N40">
        <v>-1</v>
      </c>
      <c r="O40">
        <v>625.29999999999995</v>
      </c>
    </row>
    <row r="41" spans="1:15" x14ac:dyDescent="0.25">
      <c r="N41">
        <v>0</v>
      </c>
      <c r="O41">
        <v>623.21</v>
      </c>
    </row>
    <row r="42" spans="1:15" x14ac:dyDescent="0.25">
      <c r="N42">
        <v>1</v>
      </c>
      <c r="O42">
        <v>621.08000000000004</v>
      </c>
    </row>
    <row r="43" spans="1:15" x14ac:dyDescent="0.25">
      <c r="N43">
        <v>2</v>
      </c>
      <c r="O43">
        <v>618.91999999999996</v>
      </c>
    </row>
    <row r="44" spans="1:15" x14ac:dyDescent="0.25">
      <c r="N44">
        <v>3</v>
      </c>
      <c r="O44">
        <v>616.73</v>
      </c>
    </row>
    <row r="45" spans="1:15" x14ac:dyDescent="0.25">
      <c r="N45">
        <v>4</v>
      </c>
      <c r="O45">
        <v>614.5</v>
      </c>
    </row>
    <row r="46" spans="1:15" x14ac:dyDescent="0.25">
      <c r="N46">
        <v>5</v>
      </c>
      <c r="O46">
        <v>612.24</v>
      </c>
    </row>
    <row r="47" spans="1:15" x14ac:dyDescent="0.25">
      <c r="N47">
        <v>6</v>
      </c>
      <c r="O47">
        <v>609.96</v>
      </c>
    </row>
    <row r="48" spans="1:15" x14ac:dyDescent="0.25">
      <c r="N48">
        <v>7</v>
      </c>
      <c r="O48">
        <v>607.65</v>
      </c>
    </row>
    <row r="49" spans="14:15" x14ac:dyDescent="0.25">
      <c r="N49">
        <v>8</v>
      </c>
      <c r="O49">
        <v>605.32000000000005</v>
      </c>
    </row>
    <row r="50" spans="14:15" x14ac:dyDescent="0.25">
      <c r="N50">
        <v>9</v>
      </c>
      <c r="O50">
        <v>602.96</v>
      </c>
    </row>
    <row r="51" spans="14:15" x14ac:dyDescent="0.25">
      <c r="N51">
        <v>10</v>
      </c>
      <c r="O51">
        <v>600.58000000000004</v>
      </c>
    </row>
    <row r="52" spans="14:15" x14ac:dyDescent="0.25">
      <c r="N52">
        <v>11</v>
      </c>
      <c r="O52">
        <v>598.17999999999995</v>
      </c>
    </row>
    <row r="53" spans="14:15" x14ac:dyDescent="0.25">
      <c r="N53">
        <v>12</v>
      </c>
      <c r="O53">
        <v>595.76</v>
      </c>
    </row>
    <row r="54" spans="14:15" x14ac:dyDescent="0.25">
      <c r="N54">
        <v>13</v>
      </c>
      <c r="O54">
        <v>593.32000000000005</v>
      </c>
    </row>
    <row r="55" spans="14:15" x14ac:dyDescent="0.25">
      <c r="N55">
        <v>14</v>
      </c>
      <c r="O55">
        <v>590.87</v>
      </c>
    </row>
    <row r="56" spans="14:15" x14ac:dyDescent="0.25">
      <c r="N56">
        <v>15</v>
      </c>
      <c r="O56">
        <v>588.41</v>
      </c>
    </row>
    <row r="57" spans="14:15" x14ac:dyDescent="0.25">
      <c r="N57">
        <v>16</v>
      </c>
      <c r="O57">
        <v>585.94000000000005</v>
      </c>
    </row>
    <row r="58" spans="14:15" x14ac:dyDescent="0.25">
      <c r="N58">
        <v>17</v>
      </c>
      <c r="O58">
        <v>583.45000000000005</v>
      </c>
    </row>
    <row r="59" spans="14:15" x14ac:dyDescent="0.25">
      <c r="N59">
        <v>18</v>
      </c>
      <c r="O59">
        <v>580.97</v>
      </c>
    </row>
    <row r="60" spans="14:15" x14ac:dyDescent="0.25">
      <c r="N60">
        <v>19</v>
      </c>
      <c r="O60">
        <v>578.47</v>
      </c>
    </row>
    <row r="61" spans="14:15" x14ac:dyDescent="0.25">
      <c r="N61">
        <v>20</v>
      </c>
      <c r="O61">
        <v>575</v>
      </c>
    </row>
    <row r="62" spans="14:15" x14ac:dyDescent="0.25">
      <c r="N62">
        <v>21</v>
      </c>
      <c r="O62">
        <v>573.47</v>
      </c>
    </row>
    <row r="63" spans="14:15" x14ac:dyDescent="0.25">
      <c r="N63">
        <v>22</v>
      </c>
      <c r="O63">
        <v>570.98</v>
      </c>
    </row>
    <row r="64" spans="14:15" x14ac:dyDescent="0.25">
      <c r="N64">
        <v>23</v>
      </c>
      <c r="O64">
        <v>568.48</v>
      </c>
    </row>
    <row r="65" spans="14:15" x14ac:dyDescent="0.25">
      <c r="N65">
        <v>24</v>
      </c>
      <c r="O65">
        <v>565.99</v>
      </c>
    </row>
    <row r="66" spans="14:15" x14ac:dyDescent="0.25">
      <c r="N66">
        <v>25</v>
      </c>
      <c r="O66">
        <v>563.5</v>
      </c>
    </row>
    <row r="67" spans="14:15" x14ac:dyDescent="0.25">
      <c r="N67">
        <v>26</v>
      </c>
      <c r="O67">
        <v>561.02</v>
      </c>
    </row>
    <row r="68" spans="14:15" x14ac:dyDescent="0.25">
      <c r="N68">
        <v>27</v>
      </c>
      <c r="O68">
        <v>558.54999999999995</v>
      </c>
    </row>
    <row r="69" spans="14:15" x14ac:dyDescent="0.25">
      <c r="N69">
        <v>28</v>
      </c>
      <c r="O69">
        <v>556.09</v>
      </c>
    </row>
    <row r="70" spans="14:15" x14ac:dyDescent="0.25">
      <c r="N70">
        <v>29</v>
      </c>
      <c r="O70">
        <v>553.64</v>
      </c>
    </row>
    <row r="71" spans="14:15" x14ac:dyDescent="0.25">
      <c r="N71">
        <v>30</v>
      </c>
      <c r="O71">
        <v>551.21</v>
      </c>
    </row>
  </sheetData>
  <mergeCells count="1">
    <mergeCell ref="A1:L1"/>
  </mergeCells>
  <conditionalFormatting sqref="F3:F34">
    <cfRule type="cellIs" dxfId="63" priority="1" operator="between">
      <formula>-0.005</formula>
      <formula>0.005</formula>
    </cfRule>
  </conditionalFormatting>
  <dataValidations disablePrompts="1" count="1">
    <dataValidation type="list" allowBlank="1" showInputMessage="1" showErrorMessage="1" sqref="O3" xr:uid="{7A3F04E6-44C3-4489-BA5E-7ACF047E7FEA}">
      <formula1>INDIRECT("TableR77[R]")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9265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6" r:id="rId5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7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8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9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0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1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2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3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4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23B44-86C5-4537-B339-A9C11A5B696B}">
  <sheetPr codeName="Feuil23"/>
  <dimension ref="A1:Q34"/>
  <sheetViews>
    <sheetView workbookViewId="0">
      <selection activeCell="N26" sqref="N26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2">
        <f>ROUND(C3-G3,0)</f>
        <v>110</v>
      </c>
      <c r="P2" s="7" t="s">
        <v>113</v>
      </c>
    </row>
    <row r="3" spans="1:16" x14ac:dyDescent="0.25">
      <c r="A3" t="s">
        <v>17</v>
      </c>
      <c r="B3" s="8">
        <v>-15</v>
      </c>
      <c r="C3" s="9">
        <f>data_Viessmann_AV17[[#This Row],[θ]]*$P$24+$Q$24</f>
        <v>470.21428571428572</v>
      </c>
      <c r="D3" s="9" cm="1">
        <f t="array" aca="1" ref="D3" ca="1">INDIRECT(RefCell_Rpot)+SUM($G$3:G3)</f>
        <v>470</v>
      </c>
      <c r="E3" s="9">
        <f ca="1">data_Viessmann_AV17[[#This Row],[Rpcb]]-data_Viessmann_AV17[[#This Row],[Rsonde]]</f>
        <v>-0.21428571428572241</v>
      </c>
      <c r="F3" s="4">
        <f ca="1">data_Viessmann_AV17[[#This Row],[Diff R]]/data_Viessmann_AV17[[#This Row],[Rsonde]]</f>
        <v>-4.557192769254312E-4</v>
      </c>
      <c r="G3" s="9">
        <f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360</v>
      </c>
      <c r="H3" s="9" cm="1">
        <f t="array" ref="H3">MAX(IF(ResValuesR24&lt;=ROUND(data_Viessmann_AV17[[#This Row],[Rsonde]],2)-IF(data_Viessmann_AV17[[#This Row],[Rsonde]]=MIN(data_Viessmann_AV17[Rsonde]),100,$D2),ResValuesR24))</f>
        <v>360</v>
      </c>
      <c r="I3" s="9">
        <f>ROUND(data_Viessmann_AV17[[#This Row],[RaddLow]]+(IF(data_Viessmann_AV17[[#This Row],[Rsonde]]=MIN(data_Viessmann_AV17[Rsonde]),0,$D2)-data_Viessmann_AV17[[#This Row],[Rsonde]]),2)</f>
        <v>-110.21</v>
      </c>
      <c r="J3" s="9" cm="1">
        <f t="array" ref="J3">MIN(IF(ResValuesR24&gt;=ROUND(data_Viessmann_AV17[[#This Row],[Rsonde]],2)-IF(data_Viessmann_AV17[[#This Row],[Rsonde]]=MIN(data_Viessmann_AV17[Rsonde]),100,$D2),ResValuesR24))</f>
        <v>390</v>
      </c>
      <c r="K3" s="9">
        <f>ROUND(data_Viessmann_AV17[[#This Row],[RaddHigh]]+(IF(data_Viessmann_AV17[[#This Row],[Rsonde]]=MIN(data_Viessmann_AV17[Rsonde]),0,$D2)-data_Viessmann_AV17[[#This Row],[Rsonde]]),2)</f>
        <v>-80.209999999999994</v>
      </c>
      <c r="L3" s="2" cm="1">
        <f t="array" aca="1" ref="L3" ca="1">IF(INDIRECT(RefCell_R77),(data_Viessmann_AV17[[#This Row],[Rpcb]]*INDIRECT(RefCell_R77))/(data_Viessmann_AV17[[#This Row],[Rpcb]]+INDIRECT(RefCell_R77)),data_Viessmann_AV17[[#This Row],[Rpcb]])</f>
        <v>470</v>
      </c>
      <c r="N3" t="s">
        <v>112</v>
      </c>
      <c r="P3" s="7" t="s">
        <v>113</v>
      </c>
    </row>
    <row r="4" spans="1:16" x14ac:dyDescent="0.25">
      <c r="A4" t="s">
        <v>18</v>
      </c>
      <c r="B4" s="8">
        <v>-13.5</v>
      </c>
      <c r="C4" s="9">
        <f>data_Viessmann_AV17[[#This Row],[θ]]*$P$24+$Q$24</f>
        <v>473.4071428571429</v>
      </c>
      <c r="D4" s="9" cm="1">
        <f t="array" aca="1" ref="D4" ca="1">INDIRECT(RefCell_Rpot)+SUM($G$3:G4)</f>
        <v>473.3</v>
      </c>
      <c r="E4" s="9">
        <f ca="1">data_Viessmann_AV17[[#This Row],[Rpcb]]-data_Viessmann_AV17[[#This Row],[Rsonde]]</f>
        <v>-0.10714285714288962</v>
      </c>
      <c r="F4" s="4">
        <f ca="1">data_Viessmann_AV17[[#This Row],[Diff R]]/data_Viessmann_AV17[[#This Row],[Rsonde]]</f>
        <v>-2.2632285709981662E-4</v>
      </c>
      <c r="G4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4" s="9" cm="1">
        <f t="array" aca="1" ref="H4" ca="1">MAX(IF(ResValuesR24&lt;=ROUND(data_Viessmann_AV17[[#This Row],[Rsonde]],2)-IF(data_Viessmann_AV17[[#This Row],[Rsonde]]=MIN(data_Viessmann_AV17[Rsonde]),100,$D3),ResValuesR24))</f>
        <v>3.3</v>
      </c>
      <c r="I4" s="9">
        <f ca="1">ROUND(data_Viessmann_AV17[[#This Row],[RaddLow]]+(IF(data_Viessmann_AV17[[#This Row],[Rsonde]]=MIN(data_Viessmann_AV17[Rsonde]),0,$D3)-data_Viessmann_AV17[[#This Row],[Rsonde]]),2)</f>
        <v>-0.11</v>
      </c>
      <c r="J4" s="9" cm="1">
        <f t="array" aca="1" ref="J4" ca="1">MIN(IF(ResValuesR24&gt;=ROUND(data_Viessmann_AV17[[#This Row],[Rsonde]],2)-IF(data_Viessmann_AV17[[#This Row],[Rsonde]]=MIN(data_Viessmann_AV17[Rsonde]),100,$D3),ResValuesR24))</f>
        <v>3.6</v>
      </c>
      <c r="K4" s="9">
        <f ca="1">ROUND(data_Viessmann_AV17[[#This Row],[RaddHigh]]+(IF(data_Viessmann_AV17[[#This Row],[Rsonde]]=MIN(data_Viessmann_AV17[Rsonde]),0,$D3)-data_Viessmann_AV17[[#This Row],[Rsonde]]),2)</f>
        <v>0.19</v>
      </c>
      <c r="L4" s="2" cm="1">
        <f t="array" aca="1" ref="L4" ca="1">IF(INDIRECT(RefCell_R77),(data_Viessmann_AV17[[#This Row],[Rpcb]]*INDIRECT(RefCell_R77))/(data_Viessmann_AV17[[#This Row],[Rpcb]]+INDIRECT(RefCell_R77)),data_Viessmann_AV17[[#This Row],[Rpcb]])</f>
        <v>473.3</v>
      </c>
    </row>
    <row r="5" spans="1:16" x14ac:dyDescent="0.25">
      <c r="A5" t="s">
        <v>19</v>
      </c>
      <c r="B5" s="8">
        <v>-12</v>
      </c>
      <c r="C5" s="9">
        <f>data_Viessmann_AV17[[#This Row],[θ]]*$P$24+$Q$24</f>
        <v>476.6</v>
      </c>
      <c r="D5" s="9" cm="1">
        <f t="array" aca="1" ref="D5" ca="1">INDIRECT(RefCell_Rpot)+SUM($G$3:G5)</f>
        <v>476.6</v>
      </c>
      <c r="E5" s="9">
        <f ca="1">data_Viessmann_AV17[[#This Row],[Rpcb]]-data_Viessmann_AV17[[#This Row],[Rsonde]]</f>
        <v>0</v>
      </c>
      <c r="F5" s="4">
        <f ca="1">data_Viessmann_AV17[[#This Row],[Diff R]]/data_Viessmann_AV17[[#This Row],[Rsonde]]</f>
        <v>0</v>
      </c>
      <c r="G5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5" s="9" cm="1">
        <f t="array" aca="1" ref="H5" ca="1">MAX(IF(ResValuesR24&lt;=ROUND(data_Viessmann_AV17[[#This Row],[Rsonde]],2)-IF(data_Viessmann_AV17[[#This Row],[Rsonde]]=MIN(data_Viessmann_AV17[Rsonde]),100,$D4),ResValuesR24))</f>
        <v>3.3</v>
      </c>
      <c r="I5" s="9">
        <f ca="1">ROUND(data_Viessmann_AV17[[#This Row],[RaddLow]]+(IF(data_Viessmann_AV17[[#This Row],[Rsonde]]=MIN(data_Viessmann_AV17[Rsonde]),0,$D4)-data_Viessmann_AV17[[#This Row],[Rsonde]]),2)</f>
        <v>0</v>
      </c>
      <c r="J5" s="9" cm="1">
        <f t="array" aca="1" ref="J5" ca="1">MIN(IF(ResValuesR24&gt;=ROUND(data_Viessmann_AV17[[#This Row],[Rsonde]],2)-IF(data_Viessmann_AV17[[#This Row],[Rsonde]]=MIN(data_Viessmann_AV17[Rsonde]),100,$D4),ResValuesR24))</f>
        <v>3.6</v>
      </c>
      <c r="K5" s="9">
        <f ca="1">ROUND(data_Viessmann_AV17[[#This Row],[RaddHigh]]+(IF(data_Viessmann_AV17[[#This Row],[Rsonde]]=MIN(data_Viessmann_AV17[Rsonde]),0,$D4)-data_Viessmann_AV17[[#This Row],[Rsonde]]),2)</f>
        <v>0.3</v>
      </c>
      <c r="L5" s="2" cm="1">
        <f t="array" aca="1" ref="L5" ca="1">IF(INDIRECT(RefCell_R77),(data_Viessmann_AV17[[#This Row],[Rpcb]]*INDIRECT(RefCell_R77))/(data_Viessmann_AV17[[#This Row],[Rpcb]]+INDIRECT(RefCell_R77)),data_Viessmann_AV17[[#This Row],[Rpcb]])</f>
        <v>476.6</v>
      </c>
      <c r="N5" s="1" t="s">
        <v>215</v>
      </c>
    </row>
    <row r="6" spans="1:16" x14ac:dyDescent="0.25">
      <c r="A6" t="s">
        <v>20</v>
      </c>
      <c r="B6" s="8">
        <v>-10.5</v>
      </c>
      <c r="C6" s="9">
        <f>data_Viessmann_AV17[[#This Row],[θ]]*$P$24+$Q$24</f>
        <v>479.79285714285714</v>
      </c>
      <c r="D6" s="9" cm="1">
        <f t="array" aca="1" ref="D6" ca="1">INDIRECT(RefCell_Rpot)+SUM($G$3:G6)</f>
        <v>479.90000000000003</v>
      </c>
      <c r="E6" s="9">
        <f ca="1">data_Viessmann_AV17[[#This Row],[Rpcb]]-data_Viessmann_AV17[[#This Row],[Rsonde]]</f>
        <v>0.10714285714288962</v>
      </c>
      <c r="F6" s="4">
        <f ca="1">data_Viessmann_AV17[[#This Row],[Diff R]]/data_Viessmann_AV17[[#This Row],[Rsonde]]</f>
        <v>2.2331065489578162E-4</v>
      </c>
      <c r="G6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6" s="9" cm="1">
        <f t="array" aca="1" ref="H6" ca="1">MAX(IF(ResValuesR24&lt;=ROUND(data_Viessmann_AV17[[#This Row],[Rsonde]],2)-IF(data_Viessmann_AV17[[#This Row],[Rsonde]]=MIN(data_Viessmann_AV17[Rsonde]),100,$D5),ResValuesR24))</f>
        <v>3</v>
      </c>
      <c r="I6" s="9">
        <f ca="1">ROUND(data_Viessmann_AV17[[#This Row],[RaddLow]]+(IF(data_Viessmann_AV17[[#This Row],[Rsonde]]=MIN(data_Viessmann_AV17[Rsonde]),0,$D5)-data_Viessmann_AV17[[#This Row],[Rsonde]]),2)</f>
        <v>-0.19</v>
      </c>
      <c r="J6" s="9" cm="1">
        <f t="array" aca="1" ref="J6" ca="1">MIN(IF(ResValuesR24&gt;=ROUND(data_Viessmann_AV17[[#This Row],[Rsonde]],2)-IF(data_Viessmann_AV17[[#This Row],[Rsonde]]=MIN(data_Viessmann_AV17[Rsonde]),100,$D5),ResValuesR24))</f>
        <v>3.3</v>
      </c>
      <c r="K6" s="9">
        <f ca="1">ROUND(data_Viessmann_AV17[[#This Row],[RaddHigh]]+(IF(data_Viessmann_AV17[[#This Row],[Rsonde]]=MIN(data_Viessmann_AV17[Rsonde]),0,$D5)-data_Viessmann_AV17[[#This Row],[Rsonde]]),2)</f>
        <v>0.11</v>
      </c>
      <c r="L6" s="2" cm="1">
        <f t="array" aca="1" ref="L6" ca="1">IF(INDIRECT(RefCell_R77),(data_Viessmann_AV17[[#This Row],[Rpcb]]*INDIRECT(RefCell_R77))/(data_Viessmann_AV17[[#This Row],[Rpcb]]+INDIRECT(RefCell_R77)),data_Viessmann_AV17[[#This Row],[Rpcb]])</f>
        <v>479.90000000000003</v>
      </c>
      <c r="N6" s="35" t="s">
        <v>131</v>
      </c>
      <c r="O6">
        <f t="shared" ref="O6" si="0">O14 - O11*O7 - O11^3*O8</f>
        <v>5.2590478705518015E-2</v>
      </c>
    </row>
    <row r="7" spans="1:16" x14ac:dyDescent="0.25">
      <c r="A7" t="s">
        <v>21</v>
      </c>
      <c r="B7" s="8">
        <v>-9</v>
      </c>
      <c r="C7" s="9">
        <f>data_Viessmann_AV17[[#This Row],[θ]]*$P$24+$Q$24</f>
        <v>482.98571428571432</v>
      </c>
      <c r="D7" s="9" cm="1">
        <f t="array" aca="1" ref="D7" ca="1">INDIRECT(RefCell_Rpot)+SUM($G$3:G7)</f>
        <v>482.90000000000003</v>
      </c>
      <c r="E7" s="9">
        <f ca="1">data_Viessmann_AV17[[#This Row],[Rpcb]]-data_Viessmann_AV17[[#This Row],[Rsonde]]</f>
        <v>-8.5714285714288962E-2</v>
      </c>
      <c r="F7" s="4">
        <f ca="1">data_Viessmann_AV17[[#This Row],[Diff R]]/data_Viessmann_AV17[[#This Row],[Rsonde]]</f>
        <v>-1.7746753822947225E-4</v>
      </c>
      <c r="G7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7" s="9" cm="1">
        <f t="array" aca="1" ref="H7" ca="1">MAX(IF(ResValuesR24&lt;=ROUND(data_Viessmann_AV17[[#This Row],[Rsonde]],2)-IF(data_Viessmann_AV17[[#This Row],[Rsonde]]=MIN(data_Viessmann_AV17[Rsonde]),100,$D6),ResValuesR24))</f>
        <v>3</v>
      </c>
      <c r="I7" s="9">
        <f ca="1">ROUND(data_Viessmann_AV17[[#This Row],[RaddLow]]+(IF(data_Viessmann_AV17[[#This Row],[Rsonde]]=MIN(data_Viessmann_AV17[Rsonde]),0,$D6)-data_Viessmann_AV17[[#This Row],[Rsonde]]),2)</f>
        <v>-0.09</v>
      </c>
      <c r="J7" s="9" cm="1">
        <f t="array" aca="1" ref="J7" ca="1">MIN(IF(ResValuesR24&gt;=ROUND(data_Viessmann_AV17[[#This Row],[Rsonde]],2)-IF(data_Viessmann_AV17[[#This Row],[Rsonde]]=MIN(data_Viessmann_AV17[Rsonde]),100,$D6),ResValuesR24))</f>
        <v>3.3</v>
      </c>
      <c r="K7" s="9">
        <f ca="1">ROUND(data_Viessmann_AV17[[#This Row],[RaddHigh]]+(IF(data_Viessmann_AV17[[#This Row],[Rsonde]]=MIN(data_Viessmann_AV17[Rsonde]),0,$D6)-data_Viessmann_AV17[[#This Row],[Rsonde]]),2)</f>
        <v>0.21</v>
      </c>
      <c r="L7" s="2" cm="1">
        <f t="array" aca="1" ref="L7" ca="1">IF(INDIRECT(RefCell_R77),(data_Viessmann_AV17[[#This Row],[Rpcb]]*INDIRECT(RefCell_R77))/(data_Viessmann_AV17[[#This Row],[Rpcb]]+INDIRECT(RefCell_R77)),data_Viessmann_AV17[[#This Row],[Rpcb]])</f>
        <v>482.90000000000003</v>
      </c>
      <c r="N7" s="35" t="s">
        <v>130</v>
      </c>
      <c r="O7">
        <f t="shared" ref="O7" si="1">(1/(O11-O12)) * (O14-O15-(O11^3-O12^3)*O8)</f>
        <v>-1.0220258575924358E-2</v>
      </c>
    </row>
    <row r="8" spans="1:16" x14ac:dyDescent="0.25">
      <c r="A8" t="s">
        <v>22</v>
      </c>
      <c r="B8" s="8">
        <v>-7.5</v>
      </c>
      <c r="C8" s="9">
        <f>data_Viessmann_AV17[[#This Row],[θ]]*$P$24+$Q$24</f>
        <v>486.17857142857144</v>
      </c>
      <c r="D8" s="9" cm="1">
        <f t="array" aca="1" ref="D8" ca="1">INDIRECT(RefCell_Rpot)+SUM($G$3:G8)</f>
        <v>486.20000000000005</v>
      </c>
      <c r="E8" s="9">
        <f ca="1">data_Viessmann_AV17[[#This Row],[Rpcb]]-data_Viessmann_AV17[[#This Row],[Rsonde]]</f>
        <v>2.1428571428600662E-2</v>
      </c>
      <c r="F8" s="4">
        <f ca="1">data_Viessmann_AV17[[#This Row],[Diff R]]/data_Viessmann_AV17[[#This Row],[Rsonde]]</f>
        <v>4.4075516050893892E-5</v>
      </c>
      <c r="G8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8" s="9" cm="1">
        <f t="array" aca="1" ref="H8" ca="1">MAX(IF(ResValuesR24&lt;=ROUND(data_Viessmann_AV17[[#This Row],[Rsonde]],2)-IF(data_Viessmann_AV17[[#This Row],[Rsonde]]=MIN(data_Viessmann_AV17[Rsonde]),100,$D7),ResValuesR24))</f>
        <v>3</v>
      </c>
      <c r="I8" s="9">
        <f ca="1">ROUND(data_Viessmann_AV17[[#This Row],[RaddLow]]+(IF(data_Viessmann_AV17[[#This Row],[Rsonde]]=MIN(data_Viessmann_AV17[Rsonde]),0,$D7)-data_Viessmann_AV17[[#This Row],[Rsonde]]),2)</f>
        <v>-0.28000000000000003</v>
      </c>
      <c r="J8" s="9" cm="1">
        <f t="array" aca="1" ref="J8" ca="1">MIN(IF(ResValuesR24&gt;=ROUND(data_Viessmann_AV17[[#This Row],[Rsonde]],2)-IF(data_Viessmann_AV17[[#This Row],[Rsonde]]=MIN(data_Viessmann_AV17[Rsonde]),100,$D7),ResValuesR24))</f>
        <v>3.3</v>
      </c>
      <c r="K8" s="9">
        <f ca="1">ROUND(data_Viessmann_AV17[[#This Row],[RaddHigh]]+(IF(data_Viessmann_AV17[[#This Row],[Rsonde]]=MIN(data_Viessmann_AV17[Rsonde]),0,$D7)-data_Viessmann_AV17[[#This Row],[Rsonde]]),2)</f>
        <v>0.02</v>
      </c>
      <c r="L8" s="2" cm="1">
        <f t="array" aca="1" ref="L8" ca="1">IF(INDIRECT(RefCell_R77),(data_Viessmann_AV17[[#This Row],[Rpcb]]*INDIRECT(RefCell_R77))/(data_Viessmann_AV17[[#This Row],[Rpcb]]+INDIRECT(RefCell_R77)),data_Viessmann_AV17[[#This Row],[Rpcb]])</f>
        <v>486.20000000000005</v>
      </c>
      <c r="N8" s="35" t="s">
        <v>129</v>
      </c>
      <c r="O8">
        <f t="shared" ref="O8" si="2">O10/O9</f>
        <v>6.0824974055738979E-5</v>
      </c>
    </row>
    <row r="9" spans="1:16" x14ac:dyDescent="0.25">
      <c r="A9" t="s">
        <v>23</v>
      </c>
      <c r="B9" s="8">
        <v>-6</v>
      </c>
      <c r="C9" s="9">
        <f>data_Viessmann_AV17[[#This Row],[θ]]*$P$24+$Q$24</f>
        <v>489.37142857142862</v>
      </c>
      <c r="D9" s="9" cm="1">
        <f t="array" aca="1" ref="D9" ca="1">INDIRECT(RefCell_Rpot)+SUM($G$3:G9)</f>
        <v>489.50000000000006</v>
      </c>
      <c r="E9" s="9">
        <f ca="1">data_Viessmann_AV17[[#This Row],[Rpcb]]-data_Viessmann_AV17[[#This Row],[Rsonde]]</f>
        <v>0.12857142857143344</v>
      </c>
      <c r="F9" s="4">
        <f ca="1">data_Viessmann_AV17[[#This Row],[Diff R]]/data_Viessmann_AV17[[#This Row],[Rsonde]]</f>
        <v>2.6272769733770259E-4</v>
      </c>
      <c r="G9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9" s="9" cm="1">
        <f t="array" aca="1" ref="H9" ca="1">MAX(IF(ResValuesR24&lt;=ROUND(data_Viessmann_AV17[[#This Row],[Rsonde]],2)-IF(data_Viessmann_AV17[[#This Row],[Rsonde]]=MIN(data_Viessmann_AV17[Rsonde]),100,$D8),ResValuesR24))</f>
        <v>3</v>
      </c>
      <c r="I9" s="9">
        <f ca="1">ROUND(data_Viessmann_AV17[[#This Row],[RaddLow]]+(IF(data_Viessmann_AV17[[#This Row],[Rsonde]]=MIN(data_Viessmann_AV17[Rsonde]),0,$D8)-data_Viessmann_AV17[[#This Row],[Rsonde]]),2)</f>
        <v>-0.17</v>
      </c>
      <c r="J9" s="9" cm="1">
        <f t="array" aca="1" ref="J9" ca="1">MIN(IF(ResValuesR24&gt;=ROUND(data_Viessmann_AV17[[#This Row],[Rsonde]],2)-IF(data_Viessmann_AV17[[#This Row],[Rsonde]]=MIN(data_Viessmann_AV17[Rsonde]),100,$D8),ResValuesR24))</f>
        <v>3.3</v>
      </c>
      <c r="K9" s="9">
        <f ca="1">ROUND(data_Viessmann_AV17[[#This Row],[RaddHigh]]+(IF(data_Viessmann_AV17[[#This Row],[Rsonde]]=MIN(data_Viessmann_AV17[Rsonde]),0,$D8)-data_Viessmann_AV17[[#This Row],[Rsonde]]),2)</f>
        <v>0.13</v>
      </c>
      <c r="L9" s="2" cm="1">
        <f t="array" aca="1" ref="L9" ca="1">IF(INDIRECT(RefCell_R77),(data_Viessmann_AV17[[#This Row],[Rpcb]]*INDIRECT(RefCell_R77))/(data_Viessmann_AV17[[#This Row],[Rpcb]]+INDIRECT(RefCell_R77)),data_Viessmann_AV17[[#This Row],[Rpcb]])</f>
        <v>489.50000000000006</v>
      </c>
      <c r="N9" s="3" t="s">
        <v>181</v>
      </c>
      <c r="O9">
        <f t="shared" ref="O9" si="3">(O12-O13)/(O11-O12) * (O12^3-O11^3) + (O12^3-O13^3)</f>
        <v>-0.27131645674847427</v>
      </c>
    </row>
    <row r="10" spans="1:16" x14ac:dyDescent="0.25">
      <c r="A10" t="s">
        <v>24</v>
      </c>
      <c r="B10" s="8">
        <v>-4.5</v>
      </c>
      <c r="C10" s="9">
        <f>data_Viessmann_AV17[[#This Row],[θ]]*$P$24+$Q$24</f>
        <v>492.56428571428575</v>
      </c>
      <c r="D10" s="9" cm="1">
        <f t="array" aca="1" ref="D10" ca="1">INDIRECT(RefCell_Rpot)+SUM($G$3:G10)</f>
        <v>492.50000000000006</v>
      </c>
      <c r="E10" s="9">
        <f ca="1">data_Viessmann_AV17[[#This Row],[Rpcb]]-data_Viessmann_AV17[[#This Row],[Rsonde]]</f>
        <v>-6.42857142856883E-2</v>
      </c>
      <c r="F10" s="4">
        <f ca="1">data_Viessmann_AV17[[#This Row],[Diff R]]/data_Viessmann_AV17[[#This Row],[Rsonde]]</f>
        <v>-1.3051233341545499E-4</v>
      </c>
      <c r="G10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10" s="9" cm="1">
        <f t="array" aca="1" ref="H10" ca="1">MAX(IF(ResValuesR24&lt;=ROUND(data_Viessmann_AV17[[#This Row],[Rsonde]],2)-IF(data_Viessmann_AV17[[#This Row],[Rsonde]]=MIN(data_Viessmann_AV17[Rsonde]),100,$D9),ResValuesR24))</f>
        <v>3</v>
      </c>
      <c r="I10" s="9">
        <f ca="1">ROUND(data_Viessmann_AV17[[#This Row],[RaddLow]]+(IF(data_Viessmann_AV17[[#This Row],[Rsonde]]=MIN(data_Viessmann_AV17[Rsonde]),0,$D9)-data_Viessmann_AV17[[#This Row],[Rsonde]]),2)</f>
        <v>-0.06</v>
      </c>
      <c r="J10" s="9" cm="1">
        <f t="array" aca="1" ref="J10" ca="1">MIN(IF(ResValuesR24&gt;=ROUND(data_Viessmann_AV17[[#This Row],[Rsonde]],2)-IF(data_Viessmann_AV17[[#This Row],[Rsonde]]=MIN(data_Viessmann_AV17[Rsonde]),100,$D9),ResValuesR24))</f>
        <v>3.3</v>
      </c>
      <c r="K10" s="9">
        <f ca="1">ROUND(data_Viessmann_AV17[[#This Row],[RaddHigh]]+(IF(data_Viessmann_AV17[[#This Row],[Rsonde]]=MIN(data_Viessmann_AV17[Rsonde]),0,$D9)-data_Viessmann_AV17[[#This Row],[Rsonde]]),2)</f>
        <v>0.24</v>
      </c>
      <c r="L10" s="2" cm="1">
        <f t="array" aca="1" ref="L10" ca="1">IF(INDIRECT(RefCell_R77),(data_Viessmann_AV17[[#This Row],[Rpcb]]*INDIRECT(RefCell_R77))/(data_Viessmann_AV17[[#This Row],[Rpcb]]+INDIRECT(RefCell_R77)),data_Viessmann_AV17[[#This Row],[Rpcb]])</f>
        <v>492.50000000000006</v>
      </c>
      <c r="N10" s="3" t="s">
        <v>182</v>
      </c>
      <c r="O10">
        <f t="shared" ref="O10" si="4">O15 - O16 - ( (O12-O13)/(O11-O12) ) * (O14-O15)</f>
        <v>-1.6502816442620974E-5</v>
      </c>
    </row>
    <row r="11" spans="1:16" x14ac:dyDescent="0.25">
      <c r="A11" t="s">
        <v>25</v>
      </c>
      <c r="B11" s="8">
        <v>-3</v>
      </c>
      <c r="C11" s="9">
        <f>data_Viessmann_AV17[[#This Row],[θ]]*$P$24+$Q$24</f>
        <v>495.75714285714287</v>
      </c>
      <c r="D11" s="9" cm="1">
        <f t="array" aca="1" ref="D11" ca="1">INDIRECT(RefCell_Rpot)+SUM($G$3:G11)</f>
        <v>495.80000000000007</v>
      </c>
      <c r="E11" s="9">
        <f ca="1">data_Viessmann_AV17[[#This Row],[Rpcb]]-data_Viessmann_AV17[[#This Row],[Rsonde]]</f>
        <v>4.2857142857201325E-2</v>
      </c>
      <c r="F11" s="4">
        <f ca="1">data_Viessmann_AV17[[#This Row],[Diff R]]/data_Viessmann_AV17[[#This Row],[Rsonde]]</f>
        <v>8.6447857534048715E-5</v>
      </c>
      <c r="G11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11" s="9" cm="1">
        <f t="array" aca="1" ref="H11" ca="1">MAX(IF(ResValuesR24&lt;=ROUND(data_Viessmann_AV17[[#This Row],[Rsonde]],2)-IF(data_Viessmann_AV17[[#This Row],[Rsonde]]=MIN(data_Viessmann_AV17[Rsonde]),100,$D10),ResValuesR24))</f>
        <v>3</v>
      </c>
      <c r="I11" s="9">
        <f ca="1">ROUND(data_Viessmann_AV17[[#This Row],[RaddLow]]+(IF(data_Viessmann_AV17[[#This Row],[Rsonde]]=MIN(data_Viessmann_AV17[Rsonde]),0,$D10)-data_Viessmann_AV17[[#This Row],[Rsonde]]),2)</f>
        <v>-0.26</v>
      </c>
      <c r="J11" s="9" cm="1">
        <f t="array" aca="1" ref="J11" ca="1">MIN(IF(ResValuesR24&gt;=ROUND(data_Viessmann_AV17[[#This Row],[Rsonde]],2)-IF(data_Viessmann_AV17[[#This Row],[Rsonde]]=MIN(data_Viessmann_AV17[Rsonde]),100,$D10),ResValuesR24))</f>
        <v>3.3</v>
      </c>
      <c r="K11" s="9">
        <f ca="1">ROUND(data_Viessmann_AV17[[#This Row],[RaddHigh]]+(IF(data_Viessmann_AV17[[#This Row],[Rsonde]]=MIN(data_Viessmann_AV17[Rsonde]),0,$D10)-data_Viessmann_AV17[[#This Row],[Rsonde]]),2)</f>
        <v>0.04</v>
      </c>
      <c r="L11" s="2" cm="1">
        <f t="array" aca="1" ref="L11" ca="1">IF(INDIRECT(RefCell_R77),(data_Viessmann_AV17[[#This Row],[Rpcb]]*INDIRECT(RefCell_R77))/(data_Viessmann_AV17[[#This Row],[Rpcb]]+INDIRECT(RefCell_R77)),data_Viessmann_AV17[[#This Row],[Rpcb]])</f>
        <v>495.80000000000007</v>
      </c>
      <c r="N11" s="3" t="s">
        <v>178</v>
      </c>
      <c r="O11">
        <f>LN(C3)</f>
        <v>6.1531885178526178</v>
      </c>
    </row>
    <row r="12" spans="1:16" x14ac:dyDescent="0.25">
      <c r="A12" t="s">
        <v>26</v>
      </c>
      <c r="B12" s="8">
        <v>-1.5</v>
      </c>
      <c r="C12" s="9">
        <f>data_Viessmann_AV17[[#This Row],[θ]]*$P$24+$Q$24</f>
        <v>498.95000000000005</v>
      </c>
      <c r="D12" s="9" cm="1">
        <f t="array" aca="1" ref="D12" ca="1">INDIRECT(RefCell_Rpot)+SUM($G$3:G12)</f>
        <v>499.10000000000008</v>
      </c>
      <c r="E12" s="9">
        <f ca="1">data_Viessmann_AV17[[#This Row],[Rpcb]]-data_Viessmann_AV17[[#This Row],[Rsonde]]</f>
        <v>0.15000000000003411</v>
      </c>
      <c r="F12" s="4">
        <f ca="1">data_Viessmann_AV17[[#This Row],[Diff R]]/data_Viessmann_AV17[[#This Row],[Rsonde]]</f>
        <v>3.0063132578421502E-4</v>
      </c>
      <c r="G12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12" s="9" cm="1">
        <f t="array" aca="1" ref="H12" ca="1">MAX(IF(ResValuesR24&lt;=ROUND(data_Viessmann_AV17[[#This Row],[Rsonde]],2)-IF(data_Viessmann_AV17[[#This Row],[Rsonde]]=MIN(data_Viessmann_AV17[Rsonde]),100,$D11),ResValuesR24))</f>
        <v>3</v>
      </c>
      <c r="I12" s="9">
        <f ca="1">ROUND(data_Viessmann_AV17[[#This Row],[RaddLow]]+(IF(data_Viessmann_AV17[[#This Row],[Rsonde]]=MIN(data_Viessmann_AV17[Rsonde]),0,$D11)-data_Viessmann_AV17[[#This Row],[Rsonde]]),2)</f>
        <v>-0.15</v>
      </c>
      <c r="J12" s="9" cm="1">
        <f t="array" aca="1" ref="J12" ca="1">MIN(IF(ResValuesR24&gt;=ROUND(data_Viessmann_AV17[[#This Row],[Rsonde]],2)-IF(data_Viessmann_AV17[[#This Row],[Rsonde]]=MIN(data_Viessmann_AV17[Rsonde]),100,$D11),ResValuesR24))</f>
        <v>3.3</v>
      </c>
      <c r="K12" s="9">
        <f ca="1">ROUND(data_Viessmann_AV17[[#This Row],[RaddHigh]]+(IF(data_Viessmann_AV17[[#This Row],[Rsonde]]=MIN(data_Viessmann_AV17[Rsonde]),0,$D11)-data_Viessmann_AV17[[#This Row],[Rsonde]]),2)</f>
        <v>0.15</v>
      </c>
      <c r="L12" s="2" cm="1">
        <f t="array" aca="1" ref="L12" ca="1">IF(INDIRECT(RefCell_R77),(data_Viessmann_AV17[[#This Row],[Rpcb]]*INDIRECT(RefCell_R77))/(data_Viessmann_AV17[[#This Row],[Rpcb]]+INDIRECT(RefCell_R77)),data_Viessmann_AV17[[#This Row],[Rpcb]])</f>
        <v>499.10000000000008</v>
      </c>
      <c r="N12" s="3" t="s">
        <v>179</v>
      </c>
      <c r="O12">
        <f>LN(C17)</f>
        <v>6.2440004513055687</v>
      </c>
    </row>
    <row r="13" spans="1:16" x14ac:dyDescent="0.25">
      <c r="A13" t="s">
        <v>27</v>
      </c>
      <c r="B13" s="8">
        <v>0</v>
      </c>
      <c r="C13" s="9">
        <f>data_Viessmann_AV17[[#This Row],[θ]]*$P$24+$Q$24</f>
        <v>502.14285714285717</v>
      </c>
      <c r="D13" s="9" cm="1">
        <f t="array" aca="1" ref="D13" ca="1">INDIRECT(RefCell_Rpot)+SUM($G$3:G13)</f>
        <v>502.10000000000008</v>
      </c>
      <c r="E13" s="9">
        <f ca="1">data_Viessmann_AV17[[#This Row],[Rpcb]]-data_Viessmann_AV17[[#This Row],[Rsonde]]</f>
        <v>-4.2857142857087638E-2</v>
      </c>
      <c r="F13" s="4">
        <f ca="1">data_Viessmann_AV17[[#This Row],[Diff R]]/data_Viessmann_AV17[[#This Row],[Rsonde]]</f>
        <v>-8.5348506401028014E-5</v>
      </c>
      <c r="G13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13" s="9" cm="1">
        <f t="array" aca="1" ref="H13" ca="1">MAX(IF(ResValuesR24&lt;=ROUND(data_Viessmann_AV17[[#This Row],[Rsonde]],2)-IF(data_Viessmann_AV17[[#This Row],[Rsonde]]=MIN(data_Viessmann_AV17[Rsonde]),100,$D12),ResValuesR24))</f>
        <v>3</v>
      </c>
      <c r="I13" s="9">
        <f ca="1">ROUND(data_Viessmann_AV17[[#This Row],[RaddLow]]+(IF(data_Viessmann_AV17[[#This Row],[Rsonde]]=MIN(data_Viessmann_AV17[Rsonde]),0,$D12)-data_Viessmann_AV17[[#This Row],[Rsonde]]),2)</f>
        <v>-0.04</v>
      </c>
      <c r="J13" s="9" cm="1">
        <f t="array" aca="1" ref="J13" ca="1">MIN(IF(ResValuesR24&gt;=ROUND(data_Viessmann_AV17[[#This Row],[Rsonde]],2)-IF(data_Viessmann_AV17[[#This Row],[Rsonde]]=MIN(data_Viessmann_AV17[Rsonde]),100,$D12),ResValuesR24))</f>
        <v>3.3</v>
      </c>
      <c r="K13" s="9">
        <f ca="1">ROUND(data_Viessmann_AV17[[#This Row],[RaddHigh]]+(IF(data_Viessmann_AV17[[#This Row],[Rsonde]]=MIN(data_Viessmann_AV17[Rsonde]),0,$D12)-data_Viessmann_AV17[[#This Row],[Rsonde]]),2)</f>
        <v>0.26</v>
      </c>
      <c r="L13" s="2" cm="1">
        <f t="array" aca="1" ref="L13" ca="1">IF(INDIRECT(RefCell_R77),(data_Viessmann_AV17[[#This Row],[Rpcb]]*INDIRECT(RefCell_R77))/(data_Viessmann_AV17[[#This Row],[Rpcb]]+INDIRECT(RefCell_R77)),data_Viessmann_AV17[[#This Row],[Rpcb]])</f>
        <v>502.10000000000008</v>
      </c>
      <c r="N13" s="3" t="s">
        <v>180</v>
      </c>
      <c r="O13">
        <f>LN(C31)</f>
        <v>6.3272477709041617</v>
      </c>
    </row>
    <row r="14" spans="1:16" x14ac:dyDescent="0.25">
      <c r="A14" t="s">
        <v>28</v>
      </c>
      <c r="B14" s="8">
        <v>1.5</v>
      </c>
      <c r="C14" s="9">
        <f>data_Viessmann_AV17[[#This Row],[θ]]*$P$24+$Q$24</f>
        <v>505.33571428571429</v>
      </c>
      <c r="D14" s="9" cm="1">
        <f t="array" aca="1" ref="D14" ca="1">INDIRECT(RefCell_Rpot)+SUM($G$3:G14)</f>
        <v>505.40000000000009</v>
      </c>
      <c r="E14" s="9">
        <f ca="1">data_Viessmann_AV17[[#This Row],[Rpcb]]-data_Viessmann_AV17[[#This Row],[Rsonde]]</f>
        <v>6.4285714285801987E-2</v>
      </c>
      <c r="F14" s="4">
        <f ca="1">data_Viessmann_AV17[[#This Row],[Diff R]]/data_Viessmann_AV17[[#This Row],[Rsonde]]</f>
        <v>1.2721387479345099E-4</v>
      </c>
      <c r="G14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14" s="9" cm="1">
        <f t="array" aca="1" ref="H14" ca="1">MAX(IF(ResValuesR24&lt;=ROUND(data_Viessmann_AV17[[#This Row],[Rsonde]],2)-IF(data_Viessmann_AV17[[#This Row],[Rsonde]]=MIN(data_Viessmann_AV17[Rsonde]),100,$D13),ResValuesR24))</f>
        <v>3</v>
      </c>
      <c r="I14" s="9">
        <f ca="1">ROUND(data_Viessmann_AV17[[#This Row],[RaddLow]]+(IF(data_Viessmann_AV17[[#This Row],[Rsonde]]=MIN(data_Viessmann_AV17[Rsonde]),0,$D13)-data_Viessmann_AV17[[#This Row],[Rsonde]]),2)</f>
        <v>-0.24</v>
      </c>
      <c r="J14" s="9" cm="1">
        <f t="array" aca="1" ref="J14" ca="1">MIN(IF(ResValuesR24&gt;=ROUND(data_Viessmann_AV17[[#This Row],[Rsonde]],2)-IF(data_Viessmann_AV17[[#This Row],[Rsonde]]=MIN(data_Viessmann_AV17[Rsonde]),100,$D13),ResValuesR24))</f>
        <v>3.3</v>
      </c>
      <c r="K14" s="9">
        <f ca="1">ROUND(data_Viessmann_AV17[[#This Row],[RaddHigh]]+(IF(data_Viessmann_AV17[[#This Row],[Rsonde]]=MIN(data_Viessmann_AV17[Rsonde]),0,$D13)-data_Viessmann_AV17[[#This Row],[Rsonde]]),2)</f>
        <v>0.06</v>
      </c>
      <c r="L14" s="2" cm="1">
        <f t="array" aca="1" ref="L14" ca="1">IF(INDIRECT(RefCell_R77),(data_Viessmann_AV17[[#This Row],[Rpcb]]*INDIRECT(RefCell_R77))/(data_Viessmann_AV17[[#This Row],[Rpcb]]+INDIRECT(RefCell_R77)),data_Viessmann_AV17[[#This Row],[Rpcb]])</f>
        <v>505.40000000000009</v>
      </c>
      <c r="N14" s="3" t="s">
        <v>175</v>
      </c>
      <c r="O14">
        <f>1/(B3+273.15)</f>
        <v>3.8737168312996321E-3</v>
      </c>
    </row>
    <row r="15" spans="1:16" x14ac:dyDescent="0.25">
      <c r="A15" t="s">
        <v>29</v>
      </c>
      <c r="B15" s="8">
        <v>3</v>
      </c>
      <c r="C15" s="9">
        <f>data_Viessmann_AV17[[#This Row],[θ]]*$P$24+$Q$24</f>
        <v>508.52857142857147</v>
      </c>
      <c r="D15" s="9" cm="1">
        <f t="array" aca="1" ref="D15" ca="1">INDIRECT(RefCell_Rpot)+SUM($G$3:G15)</f>
        <v>508.40000000000009</v>
      </c>
      <c r="E15" s="9">
        <f ca="1">data_Viessmann_AV17[[#This Row],[Rpcb]]-data_Viessmann_AV17[[#This Row],[Rsonde]]</f>
        <v>-0.1285714285713766</v>
      </c>
      <c r="F15" s="4">
        <f ca="1">data_Viessmann_AV17[[#This Row],[Diff R]]/data_Viessmann_AV17[[#This Row],[Rsonde]]</f>
        <v>-2.5283029468765238E-4</v>
      </c>
      <c r="G15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15" s="9" cm="1">
        <f t="array" aca="1" ref="H15" ca="1">MAX(IF(ResValuesR24&lt;=ROUND(data_Viessmann_AV17[[#This Row],[Rsonde]],2)-IF(data_Viessmann_AV17[[#This Row],[Rsonde]]=MIN(data_Viessmann_AV17[Rsonde]),100,$D14),ResValuesR24))</f>
        <v>3</v>
      </c>
      <c r="I15" s="9">
        <f ca="1">ROUND(data_Viessmann_AV17[[#This Row],[RaddLow]]+(IF(data_Viessmann_AV17[[#This Row],[Rsonde]]=MIN(data_Viessmann_AV17[Rsonde]),0,$D14)-data_Viessmann_AV17[[#This Row],[Rsonde]]),2)</f>
        <v>-0.13</v>
      </c>
      <c r="J15" s="9" cm="1">
        <f t="array" aca="1" ref="J15" ca="1">MIN(IF(ResValuesR24&gt;=ROUND(data_Viessmann_AV17[[#This Row],[Rsonde]],2)-IF(data_Viessmann_AV17[[#This Row],[Rsonde]]=MIN(data_Viessmann_AV17[Rsonde]),100,$D14),ResValuesR24))</f>
        <v>3.3</v>
      </c>
      <c r="K15" s="9">
        <f ca="1">ROUND(data_Viessmann_AV17[[#This Row],[RaddHigh]]+(IF(data_Viessmann_AV17[[#This Row],[Rsonde]]=MIN(data_Viessmann_AV17[Rsonde]),0,$D14)-data_Viessmann_AV17[[#This Row],[Rsonde]]),2)</f>
        <v>0.17</v>
      </c>
      <c r="L15" s="2" cm="1">
        <f t="array" aca="1" ref="L15" ca="1">IF(INDIRECT(RefCell_R77),(data_Viessmann_AV17[[#This Row],[Rpcb]]*INDIRECT(RefCell_R77))/(data_Viessmann_AV17[[#This Row],[Rpcb]]+INDIRECT(RefCell_R77)),data_Viessmann_AV17[[#This Row],[Rpcb]])</f>
        <v>508.40000000000009</v>
      </c>
      <c r="N15" s="3" t="s">
        <v>176</v>
      </c>
      <c r="O15">
        <f>1/(B17+273.15)</f>
        <v>3.5823034210997673E-3</v>
      </c>
    </row>
    <row r="16" spans="1:16" x14ac:dyDescent="0.25">
      <c r="A16" t="s">
        <v>30</v>
      </c>
      <c r="B16" s="8">
        <v>4.5</v>
      </c>
      <c r="C16" s="9">
        <f>data_Viessmann_AV17[[#This Row],[θ]]*$P$24+$Q$24</f>
        <v>511.72142857142859</v>
      </c>
      <c r="D16" s="9" cm="1">
        <f t="array" aca="1" ref="D16" ca="1">INDIRECT(RefCell_Rpot)+SUM($G$3:G16)</f>
        <v>511.7000000000001</v>
      </c>
      <c r="E16" s="9">
        <f ca="1">data_Viessmann_AV17[[#This Row],[Rpcb]]-data_Viessmann_AV17[[#This Row],[Rsonde]]</f>
        <v>-2.1428571428486975E-2</v>
      </c>
      <c r="F16" s="4">
        <f ca="1">data_Viessmann_AV17[[#This Row],[Diff R]]/data_Viessmann_AV17[[#This Row],[Rsonde]]</f>
        <v>-4.1875462374732016E-5</v>
      </c>
      <c r="G16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16" s="9" cm="1">
        <f t="array" aca="1" ref="H16" ca="1">MAX(IF(ResValuesR24&lt;=ROUND(data_Viessmann_AV17[[#This Row],[Rsonde]],2)-IF(data_Viessmann_AV17[[#This Row],[Rsonde]]=MIN(data_Viessmann_AV17[Rsonde]),100,$D15),ResValuesR24))</f>
        <v>3.3</v>
      </c>
      <c r="I16" s="9">
        <f ca="1">ROUND(data_Viessmann_AV17[[#This Row],[RaddLow]]+(IF(data_Viessmann_AV17[[#This Row],[Rsonde]]=MIN(data_Viessmann_AV17[Rsonde]),0,$D15)-data_Viessmann_AV17[[#This Row],[Rsonde]]),2)</f>
        <v>-0.02</v>
      </c>
      <c r="J16" s="9" cm="1">
        <f t="array" aca="1" ref="J16" ca="1">MIN(IF(ResValuesR24&gt;=ROUND(data_Viessmann_AV17[[#This Row],[Rsonde]],2)-IF(data_Viessmann_AV17[[#This Row],[Rsonde]]=MIN(data_Viessmann_AV17[Rsonde]),100,$D15),ResValuesR24))</f>
        <v>3.6</v>
      </c>
      <c r="K16" s="9">
        <f ca="1">ROUND(data_Viessmann_AV17[[#This Row],[RaddHigh]]+(IF(data_Viessmann_AV17[[#This Row],[Rsonde]]=MIN(data_Viessmann_AV17[Rsonde]),0,$D15)-data_Viessmann_AV17[[#This Row],[Rsonde]]),2)</f>
        <v>0.28000000000000003</v>
      </c>
      <c r="L16" s="2" cm="1">
        <f t="array" aca="1" ref="L16" ca="1">IF(INDIRECT(RefCell_R77),(data_Viessmann_AV17[[#This Row],[Rpcb]]*INDIRECT(RefCell_R77))/(data_Viessmann_AV17[[#This Row],[Rpcb]]+INDIRECT(RefCell_R77)),data_Viessmann_AV17[[#This Row],[Rpcb]])</f>
        <v>511.7000000000001</v>
      </c>
      <c r="N16" s="3" t="s">
        <v>177</v>
      </c>
      <c r="O16">
        <f>1/(B31+273.15)</f>
        <v>3.331667499583542E-3</v>
      </c>
    </row>
    <row r="17" spans="1:17" x14ac:dyDescent="0.25">
      <c r="A17" t="s">
        <v>31</v>
      </c>
      <c r="B17" s="8">
        <v>6</v>
      </c>
      <c r="C17" s="9">
        <f>data_Viessmann_AV17[[#This Row],[θ]]*$P$24+$Q$24</f>
        <v>514.91428571428571</v>
      </c>
      <c r="D17" s="9" cm="1">
        <f t="array" aca="1" ref="D17" ca="1">INDIRECT(RefCell_Rpot)+SUM($G$3:G17)</f>
        <v>515.00000000000011</v>
      </c>
      <c r="E17" s="9">
        <f ca="1">data_Viessmann_AV17[[#This Row],[Rpcb]]-data_Viessmann_AV17[[#This Row],[Rsonde]]</f>
        <v>8.5714285714402649E-2</v>
      </c>
      <c r="F17" s="4">
        <f ca="1">data_Viessmann_AV17[[#This Row],[Diff R]]/data_Viessmann_AV17[[#This Row],[Rsonde]]</f>
        <v>1.6646321163045681E-4</v>
      </c>
      <c r="G17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17" s="9" cm="1">
        <f t="array" aca="1" ref="H17" ca="1">MAX(IF(ResValuesR24&lt;=ROUND(data_Viessmann_AV17[[#This Row],[Rsonde]],2)-IF(data_Viessmann_AV17[[#This Row],[Rsonde]]=MIN(data_Viessmann_AV17[Rsonde]),100,$D16),ResValuesR24))</f>
        <v>3</v>
      </c>
      <c r="I17" s="9">
        <f ca="1">ROUND(data_Viessmann_AV17[[#This Row],[RaddLow]]+(IF(data_Viessmann_AV17[[#This Row],[Rsonde]]=MIN(data_Viessmann_AV17[Rsonde]),0,$D16)-data_Viessmann_AV17[[#This Row],[Rsonde]]),2)</f>
        <v>-0.21</v>
      </c>
      <c r="J17" s="9" cm="1">
        <f t="array" aca="1" ref="J17" ca="1">MIN(IF(ResValuesR24&gt;=ROUND(data_Viessmann_AV17[[#This Row],[Rsonde]],2)-IF(data_Viessmann_AV17[[#This Row],[Rsonde]]=MIN(data_Viessmann_AV17[Rsonde]),100,$D16),ResValuesR24))</f>
        <v>3.3</v>
      </c>
      <c r="K17" s="9">
        <f ca="1">ROUND(data_Viessmann_AV17[[#This Row],[RaddHigh]]+(IF(data_Viessmann_AV17[[#This Row],[Rsonde]]=MIN(data_Viessmann_AV17[Rsonde]),0,$D16)-data_Viessmann_AV17[[#This Row],[Rsonde]]),2)</f>
        <v>0.09</v>
      </c>
      <c r="L17" s="2" cm="1">
        <f t="array" aca="1" ref="L17" ca="1">IF(INDIRECT(RefCell_R77),(data_Viessmann_AV17[[#This Row],[Rpcb]]*INDIRECT(RefCell_R77))/(data_Viessmann_AV17[[#This Row],[Rpcb]]+INDIRECT(RefCell_R77)),data_Viessmann_AV17[[#This Row],[Rpcb]])</f>
        <v>515.00000000000011</v>
      </c>
    </row>
    <row r="18" spans="1:17" x14ac:dyDescent="0.25">
      <c r="A18" t="s">
        <v>32</v>
      </c>
      <c r="B18" s="8">
        <v>7.5</v>
      </c>
      <c r="C18" s="9">
        <f>data_Viessmann_AV17[[#This Row],[θ]]*$P$24+$Q$24</f>
        <v>518.10714285714289</v>
      </c>
      <c r="D18" s="9" cm="1">
        <f t="array" aca="1" ref="D18" ca="1">INDIRECT(RefCell_Rpot)+SUM($G$3:G18)</f>
        <v>518.00000000000011</v>
      </c>
      <c r="E18" s="9">
        <f ca="1">data_Viessmann_AV17[[#This Row],[Rpcb]]-data_Viessmann_AV17[[#This Row],[Rsonde]]</f>
        <v>-0.10714285714277594</v>
      </c>
      <c r="F18" s="4">
        <f ca="1">data_Viessmann_AV17[[#This Row],[Diff R]]/data_Viessmann_AV17[[#This Row],[Rsonde]]</f>
        <v>-2.0679671882523789E-4</v>
      </c>
      <c r="G18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18" s="9" cm="1">
        <f t="array" aca="1" ref="H18" ca="1">MAX(IF(ResValuesR24&lt;=ROUND(data_Viessmann_AV17[[#This Row],[Rsonde]],2)-IF(data_Viessmann_AV17[[#This Row],[Rsonde]]=MIN(data_Viessmann_AV17[Rsonde]),100,$D17),ResValuesR24))</f>
        <v>3</v>
      </c>
      <c r="I18" s="9">
        <f ca="1">ROUND(data_Viessmann_AV17[[#This Row],[RaddLow]]+(IF(data_Viessmann_AV17[[#This Row],[Rsonde]]=MIN(data_Viessmann_AV17[Rsonde]),0,$D17)-data_Viessmann_AV17[[#This Row],[Rsonde]]),2)</f>
        <v>-0.11</v>
      </c>
      <c r="J18" s="9" cm="1">
        <f t="array" aca="1" ref="J18" ca="1">MIN(IF(ResValuesR24&gt;=ROUND(data_Viessmann_AV17[[#This Row],[Rsonde]],2)-IF(data_Viessmann_AV17[[#This Row],[Rsonde]]=MIN(data_Viessmann_AV17[Rsonde]),100,$D17),ResValuesR24))</f>
        <v>3.3</v>
      </c>
      <c r="K18" s="9">
        <f ca="1">ROUND(data_Viessmann_AV17[[#This Row],[RaddHigh]]+(IF(data_Viessmann_AV17[[#This Row],[Rsonde]]=MIN(data_Viessmann_AV17[Rsonde]),0,$D17)-data_Viessmann_AV17[[#This Row],[Rsonde]]),2)</f>
        <v>0.19</v>
      </c>
      <c r="L18" s="2" cm="1">
        <f t="array" aca="1" ref="L18" ca="1">IF(INDIRECT(RefCell_R77),(data_Viessmann_AV17[[#This Row],[Rpcb]]*INDIRECT(RefCell_R77))/(data_Viessmann_AV17[[#This Row],[Rpcb]]+INDIRECT(RefCell_R77)),data_Viessmann_AV17[[#This Row],[Rpcb]])</f>
        <v>518.00000000000011</v>
      </c>
    </row>
    <row r="19" spans="1:17" x14ac:dyDescent="0.25">
      <c r="A19" t="s">
        <v>33</v>
      </c>
      <c r="B19" s="8">
        <v>9</v>
      </c>
      <c r="C19" s="9">
        <f>data_Viessmann_AV17[[#This Row],[θ]]*$P$24+$Q$24</f>
        <v>521.30000000000007</v>
      </c>
      <c r="D19" s="9" cm="1">
        <f t="array" aca="1" ref="D19" ca="1">INDIRECT(RefCell_Rpot)+SUM($G$3:G19)</f>
        <v>521.30000000000018</v>
      </c>
      <c r="E19" s="9">
        <f ca="1">data_Viessmann_AV17[[#This Row],[Rpcb]]-data_Viessmann_AV17[[#This Row],[Rsonde]]</f>
        <v>0</v>
      </c>
      <c r="F19" s="4">
        <f ca="1">data_Viessmann_AV17[[#This Row],[Diff R]]/data_Viessmann_AV17[[#This Row],[Rsonde]]</f>
        <v>0</v>
      </c>
      <c r="G19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19" s="9" cm="1">
        <f t="array" aca="1" ref="H19" ca="1">MAX(IF(ResValuesR24&lt;=ROUND(data_Viessmann_AV17[[#This Row],[Rsonde]],2)-IF(data_Viessmann_AV17[[#This Row],[Rsonde]]=MIN(data_Viessmann_AV17[Rsonde]),100,$D18),ResValuesR24))</f>
        <v>3</v>
      </c>
      <c r="I19" s="9">
        <f ca="1">ROUND(data_Viessmann_AV17[[#This Row],[RaddLow]]+(IF(data_Viessmann_AV17[[#This Row],[Rsonde]]=MIN(data_Viessmann_AV17[Rsonde]),0,$D18)-data_Viessmann_AV17[[#This Row],[Rsonde]]),2)</f>
        <v>-0.3</v>
      </c>
      <c r="J19" s="9" cm="1">
        <f t="array" aca="1" ref="J19" ca="1">MIN(IF(ResValuesR24&gt;=ROUND(data_Viessmann_AV17[[#This Row],[Rsonde]],2)-IF(data_Viessmann_AV17[[#This Row],[Rsonde]]=MIN(data_Viessmann_AV17[Rsonde]),100,$D18),ResValuesR24))</f>
        <v>3.3</v>
      </c>
      <c r="K19" s="9">
        <f ca="1">ROUND(data_Viessmann_AV17[[#This Row],[RaddHigh]]+(IF(data_Viessmann_AV17[[#This Row],[Rsonde]]=MIN(data_Viessmann_AV17[Rsonde]),0,$D18)-data_Viessmann_AV17[[#This Row],[Rsonde]]),2)</f>
        <v>0</v>
      </c>
      <c r="L19" s="2" cm="1">
        <f t="array" aca="1" ref="L19" ca="1">IF(INDIRECT(RefCell_R77),(data_Viessmann_AV17[[#This Row],[Rpcb]]*INDIRECT(RefCell_R77))/(data_Viessmann_AV17[[#This Row],[Rpcb]]+INDIRECT(RefCell_R77)),data_Viessmann_AV17[[#This Row],[Rpcb]])</f>
        <v>521.30000000000018</v>
      </c>
    </row>
    <row r="20" spans="1:17" x14ac:dyDescent="0.25">
      <c r="A20" t="s">
        <v>34</v>
      </c>
      <c r="B20" s="8">
        <v>10.5</v>
      </c>
      <c r="C20" s="9">
        <f>data_Viessmann_AV17[[#This Row],[θ]]*$P$24+$Q$24</f>
        <v>524.49285714285713</v>
      </c>
      <c r="D20" s="9" cm="1">
        <f t="array" aca="1" ref="D20" ca="1">INDIRECT(RefCell_Rpot)+SUM($G$3:G20)</f>
        <v>524.60000000000014</v>
      </c>
      <c r="E20" s="9">
        <f ca="1">data_Viessmann_AV17[[#This Row],[Rpcb]]-data_Viessmann_AV17[[#This Row],[Rsonde]]</f>
        <v>0.10714285714300331</v>
      </c>
      <c r="F20" s="4">
        <f ca="1">data_Viessmann_AV17[[#This Row],[Diff R]]/data_Viessmann_AV17[[#This Row],[Rsonde]]</f>
        <v>2.0427896335263268E-4</v>
      </c>
      <c r="G20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20" s="9" cm="1">
        <f t="array" aca="1" ref="H20" ca="1">MAX(IF(ResValuesR24&lt;=ROUND(data_Viessmann_AV17[[#This Row],[Rsonde]],2)-IF(data_Viessmann_AV17[[#This Row],[Rsonde]]=MIN(data_Viessmann_AV17[Rsonde]),100,$D19),ResValuesR24))</f>
        <v>3</v>
      </c>
      <c r="I20" s="9">
        <f ca="1">ROUND(data_Viessmann_AV17[[#This Row],[RaddLow]]+(IF(data_Viessmann_AV17[[#This Row],[Rsonde]]=MIN(data_Viessmann_AV17[Rsonde]),0,$D19)-data_Viessmann_AV17[[#This Row],[Rsonde]]),2)</f>
        <v>-0.19</v>
      </c>
      <c r="J20" s="9" cm="1">
        <f t="array" aca="1" ref="J20" ca="1">MIN(IF(ResValuesR24&gt;=ROUND(data_Viessmann_AV17[[#This Row],[Rsonde]],2)-IF(data_Viessmann_AV17[[#This Row],[Rsonde]]=MIN(data_Viessmann_AV17[Rsonde]),100,$D19),ResValuesR24))</f>
        <v>3.3</v>
      </c>
      <c r="K20" s="9">
        <f ca="1">ROUND(data_Viessmann_AV17[[#This Row],[RaddHigh]]+(IF(data_Viessmann_AV17[[#This Row],[Rsonde]]=MIN(data_Viessmann_AV17[Rsonde]),0,$D19)-data_Viessmann_AV17[[#This Row],[Rsonde]]),2)</f>
        <v>0.11</v>
      </c>
      <c r="L20" s="2" cm="1">
        <f t="array" aca="1" ref="L20" ca="1">IF(INDIRECT(RefCell_R77),(data_Viessmann_AV17[[#This Row],[Rpcb]]*INDIRECT(RefCell_R77))/(data_Viessmann_AV17[[#This Row],[Rpcb]]+INDIRECT(RefCell_R77)),data_Viessmann_AV17[[#This Row],[Rpcb]])</f>
        <v>524.60000000000014</v>
      </c>
    </row>
    <row r="21" spans="1:17" x14ac:dyDescent="0.25">
      <c r="A21" t="s">
        <v>35</v>
      </c>
      <c r="B21" s="8">
        <v>12</v>
      </c>
      <c r="C21" s="9">
        <f>data_Viessmann_AV17[[#This Row],[θ]]*$P$24+$Q$24</f>
        <v>527.68571428571431</v>
      </c>
      <c r="D21" s="9" cm="1">
        <f t="array" aca="1" ref="D21" ca="1">INDIRECT(RefCell_Rpot)+SUM($G$3:G21)</f>
        <v>527.60000000000014</v>
      </c>
      <c r="E21" s="9">
        <f ca="1">data_Viessmann_AV17[[#This Row],[Rpcb]]-data_Viessmann_AV17[[#This Row],[Rsonde]]</f>
        <v>-8.5714285714175276E-2</v>
      </c>
      <c r="F21" s="4">
        <f ca="1">data_Viessmann_AV17[[#This Row],[Diff R]]/data_Viessmann_AV17[[#This Row],[Rsonde]]</f>
        <v>-1.6243434945022116E-4</v>
      </c>
      <c r="G21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21" s="9" cm="1">
        <f t="array" aca="1" ref="H21" ca="1">MAX(IF(ResValuesR24&lt;=ROUND(data_Viessmann_AV17[[#This Row],[Rsonde]],2)-IF(data_Viessmann_AV17[[#This Row],[Rsonde]]=MIN(data_Viessmann_AV17[Rsonde]),100,$D20),ResValuesR24))</f>
        <v>3</v>
      </c>
      <c r="I21" s="9">
        <f ca="1">ROUND(data_Viessmann_AV17[[#This Row],[RaddLow]]+(IF(data_Viessmann_AV17[[#This Row],[Rsonde]]=MIN(data_Viessmann_AV17[Rsonde]),0,$D20)-data_Viessmann_AV17[[#This Row],[Rsonde]]),2)</f>
        <v>-0.09</v>
      </c>
      <c r="J21" s="9" cm="1">
        <f t="array" aca="1" ref="J21" ca="1">MIN(IF(ResValuesR24&gt;=ROUND(data_Viessmann_AV17[[#This Row],[Rsonde]],2)-IF(data_Viessmann_AV17[[#This Row],[Rsonde]]=MIN(data_Viessmann_AV17[Rsonde]),100,$D20),ResValuesR24))</f>
        <v>3.3</v>
      </c>
      <c r="K21" s="9">
        <f ca="1">ROUND(data_Viessmann_AV17[[#This Row],[RaddHigh]]+(IF(data_Viessmann_AV17[[#This Row],[Rsonde]]=MIN(data_Viessmann_AV17[Rsonde]),0,$D20)-data_Viessmann_AV17[[#This Row],[Rsonde]]),2)</f>
        <v>0.21</v>
      </c>
      <c r="L21" s="2" cm="1">
        <f t="array" aca="1" ref="L21" ca="1">IF(INDIRECT(RefCell_R77),(data_Viessmann_AV17[[#This Row],[Rpcb]]*INDIRECT(RefCell_R77))/(data_Viessmann_AV17[[#This Row],[Rpcb]]+INDIRECT(RefCell_R77)),data_Viessmann_AV17[[#This Row],[Rpcb]])</f>
        <v>527.60000000000014</v>
      </c>
    </row>
    <row r="22" spans="1:17" x14ac:dyDescent="0.25">
      <c r="A22" t="s">
        <v>36</v>
      </c>
      <c r="B22" s="8">
        <v>13.5</v>
      </c>
      <c r="C22" s="9">
        <f>data_Viessmann_AV17[[#This Row],[θ]]*$P$24+$Q$24</f>
        <v>530.87857142857149</v>
      </c>
      <c r="D22" s="9" cm="1">
        <f t="array" aca="1" ref="D22" ca="1">INDIRECT(RefCell_Rpot)+SUM($G$3:G22)</f>
        <v>530.90000000000009</v>
      </c>
      <c r="E22" s="9">
        <f ca="1">data_Viessmann_AV17[[#This Row],[Rpcb]]-data_Viessmann_AV17[[#This Row],[Rsonde]]</f>
        <v>2.1428571428600662E-2</v>
      </c>
      <c r="F22" s="4">
        <f ca="1">data_Viessmann_AV17[[#This Row],[Diff R]]/data_Viessmann_AV17[[#This Row],[Rsonde]]</f>
        <v>4.0364355583118175E-5</v>
      </c>
      <c r="G22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22" s="9" cm="1">
        <f t="array" aca="1" ref="H22" ca="1">MAX(IF(ResValuesR24&lt;=ROUND(data_Viessmann_AV17[[#This Row],[Rsonde]],2)-IF(data_Viessmann_AV17[[#This Row],[Rsonde]]=MIN(data_Viessmann_AV17[Rsonde]),100,$D21),ResValuesR24))</f>
        <v>3</v>
      </c>
      <c r="I22" s="9">
        <f ca="1">ROUND(data_Viessmann_AV17[[#This Row],[RaddLow]]+(IF(data_Viessmann_AV17[[#This Row],[Rsonde]]=MIN(data_Viessmann_AV17[Rsonde]),0,$D21)-data_Viessmann_AV17[[#This Row],[Rsonde]]),2)</f>
        <v>-0.28000000000000003</v>
      </c>
      <c r="J22" s="9" cm="1">
        <f t="array" aca="1" ref="J22" ca="1">MIN(IF(ResValuesR24&gt;=ROUND(data_Viessmann_AV17[[#This Row],[Rsonde]],2)-IF(data_Viessmann_AV17[[#This Row],[Rsonde]]=MIN(data_Viessmann_AV17[Rsonde]),100,$D21),ResValuesR24))</f>
        <v>3.3</v>
      </c>
      <c r="K22" s="9">
        <f ca="1">ROUND(data_Viessmann_AV17[[#This Row],[RaddHigh]]+(IF(data_Viessmann_AV17[[#This Row],[Rsonde]]=MIN(data_Viessmann_AV17[Rsonde]),0,$D21)-data_Viessmann_AV17[[#This Row],[Rsonde]]),2)</f>
        <v>0.02</v>
      </c>
      <c r="L22" s="2" cm="1">
        <f t="array" aca="1" ref="L22" ca="1">IF(INDIRECT(RefCell_R77),(data_Viessmann_AV17[[#This Row],[Rpcb]]*INDIRECT(RefCell_R77))/(data_Viessmann_AV17[[#This Row],[Rpcb]]+INDIRECT(RefCell_R77)),data_Viessmann_AV17[[#This Row],[Rpcb]])</f>
        <v>530.90000000000009</v>
      </c>
    </row>
    <row r="23" spans="1:17" x14ac:dyDescent="0.25">
      <c r="A23" t="s">
        <v>37</v>
      </c>
      <c r="B23" s="8">
        <v>15</v>
      </c>
      <c r="C23" s="9">
        <f>data_Viessmann_AV17[[#This Row],[θ]]*$P$24+$Q$24</f>
        <v>534.07142857142856</v>
      </c>
      <c r="D23" s="9" cm="1">
        <f t="array" aca="1" ref="D23" ca="1">INDIRECT(RefCell_Rpot)+SUM($G$3:G23)</f>
        <v>534.20000000000016</v>
      </c>
      <c r="E23" s="9">
        <f ca="1">data_Viessmann_AV17[[#This Row],[Rpcb]]-data_Viessmann_AV17[[#This Row],[Rsonde]]</f>
        <v>0.12857142857160397</v>
      </c>
      <c r="F23" s="4">
        <f ca="1">data_Viessmann_AV17[[#This Row],[Diff R]]/data_Viessmann_AV17[[#This Row],[Rsonde]]</f>
        <v>2.4073826400995796E-4</v>
      </c>
      <c r="G23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23" s="9" cm="1">
        <f t="array" aca="1" ref="H23" ca="1">MAX(IF(ResValuesR24&lt;=ROUND(data_Viessmann_AV17[[#This Row],[Rsonde]],2)-IF(data_Viessmann_AV17[[#This Row],[Rsonde]]=MIN(data_Viessmann_AV17[Rsonde]),100,$D22),ResValuesR24))</f>
        <v>3</v>
      </c>
      <c r="I23" s="9">
        <f ca="1">ROUND(data_Viessmann_AV17[[#This Row],[RaddLow]]+(IF(data_Viessmann_AV17[[#This Row],[Rsonde]]=MIN(data_Viessmann_AV17[Rsonde]),0,$D22)-data_Viessmann_AV17[[#This Row],[Rsonde]]),2)</f>
        <v>-0.17</v>
      </c>
      <c r="J23" s="9" cm="1">
        <f t="array" aca="1" ref="J23" ca="1">MIN(IF(ResValuesR24&gt;=ROUND(data_Viessmann_AV17[[#This Row],[Rsonde]],2)-IF(data_Viessmann_AV17[[#This Row],[Rsonde]]=MIN(data_Viessmann_AV17[Rsonde]),100,$D22),ResValuesR24))</f>
        <v>3.3</v>
      </c>
      <c r="K23" s="9">
        <f ca="1">ROUND(data_Viessmann_AV17[[#This Row],[RaddHigh]]+(IF(data_Viessmann_AV17[[#This Row],[Rsonde]]=MIN(data_Viessmann_AV17[Rsonde]),0,$D22)-data_Viessmann_AV17[[#This Row],[Rsonde]]),2)</f>
        <v>0.13</v>
      </c>
      <c r="L23" s="2" cm="1">
        <f t="array" aca="1" ref="L23" ca="1">IF(INDIRECT(RefCell_R77),(data_Viessmann_AV17[[#This Row],[Rpcb]]*INDIRECT(RefCell_R77))/(data_Viessmann_AV17[[#This Row],[Rpcb]]+INDIRECT(RefCell_R77)),data_Viessmann_AV17[[#This Row],[Rpcb]])</f>
        <v>534.20000000000016</v>
      </c>
      <c r="N23" t="s">
        <v>276</v>
      </c>
      <c r="O23" t="s">
        <v>277</v>
      </c>
      <c r="P23" t="s">
        <v>181</v>
      </c>
      <c r="Q23" t="s">
        <v>182</v>
      </c>
    </row>
    <row r="24" spans="1:17" x14ac:dyDescent="0.25">
      <c r="A24" t="s">
        <v>38</v>
      </c>
      <c r="B24" s="8">
        <v>16.5</v>
      </c>
      <c r="C24" s="9">
        <f>data_Viessmann_AV17[[#This Row],[θ]]*$P$24+$Q$24</f>
        <v>537.26428571428573</v>
      </c>
      <c r="D24" s="9" cm="1">
        <f t="array" aca="1" ref="D24" ca="1">INDIRECT(RefCell_Rpot)+SUM($G$3:G24)</f>
        <v>537.20000000000016</v>
      </c>
      <c r="E24" s="9">
        <f ca="1">data_Viessmann_AV17[[#This Row],[Rpcb]]-data_Viessmann_AV17[[#This Row],[Rsonde]]</f>
        <v>-6.4285714285574613E-2</v>
      </c>
      <c r="F24" s="4">
        <f ca="1">data_Viessmann_AV17[[#This Row],[Diff R]]/data_Viessmann_AV17[[#This Row],[Rsonde]]</f>
        <v>-1.1965380166691632E-4</v>
      </c>
      <c r="G24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24" s="9" cm="1">
        <f t="array" aca="1" ref="H24" ca="1">MAX(IF(ResValuesR24&lt;=ROUND(data_Viessmann_AV17[[#This Row],[Rsonde]],2)-IF(data_Viessmann_AV17[[#This Row],[Rsonde]]=MIN(data_Viessmann_AV17[Rsonde]),100,$D23),ResValuesR24))</f>
        <v>3</v>
      </c>
      <c r="I24" s="9">
        <f ca="1">ROUND(data_Viessmann_AV17[[#This Row],[RaddLow]]+(IF(data_Viessmann_AV17[[#This Row],[Rsonde]]=MIN(data_Viessmann_AV17[Rsonde]),0,$D23)-data_Viessmann_AV17[[#This Row],[Rsonde]]),2)</f>
        <v>-0.06</v>
      </c>
      <c r="J24" s="9" cm="1">
        <f t="array" aca="1" ref="J24" ca="1">MIN(IF(ResValuesR24&gt;=ROUND(data_Viessmann_AV17[[#This Row],[Rsonde]],2)-IF(data_Viessmann_AV17[[#This Row],[Rsonde]]=MIN(data_Viessmann_AV17[Rsonde]),100,$D23),ResValuesR24))</f>
        <v>3.3</v>
      </c>
      <c r="K24" s="9">
        <f ca="1">ROUND(data_Viessmann_AV17[[#This Row],[RaddHigh]]+(IF(data_Viessmann_AV17[[#This Row],[Rsonde]]=MIN(data_Viessmann_AV17[Rsonde]),0,$D23)-data_Viessmann_AV17[[#This Row],[Rsonde]]),2)</f>
        <v>0.24</v>
      </c>
      <c r="L24" s="2" cm="1">
        <f t="array" aca="1" ref="L24" ca="1">IF(INDIRECT(RefCell_R77),(data_Viessmann_AV17[[#This Row],[Rpcb]]*INDIRECT(RefCell_R77))/(data_Viessmann_AV17[[#This Row],[Rpcb]]+INDIRECT(RefCell_R77)),data_Viessmann_AV17[[#This Row],[Rpcb]])</f>
        <v>537.20000000000016</v>
      </c>
      <c r="N24">
        <v>417</v>
      </c>
      <c r="O24">
        <v>-40</v>
      </c>
      <c r="P24" cm="1">
        <f t="array" ref="P24:Q24">LINEST(N24:N25,O24:O25)</f>
        <v>2.1285714285714286</v>
      </c>
      <c r="Q24">
        <v>502.14285714285717</v>
      </c>
    </row>
    <row r="25" spans="1:17" x14ac:dyDescent="0.25">
      <c r="A25" t="s">
        <v>39</v>
      </c>
      <c r="B25" s="8">
        <v>18</v>
      </c>
      <c r="C25" s="9">
        <f>data_Viessmann_AV17[[#This Row],[θ]]*$P$24+$Q$24</f>
        <v>540.45714285714291</v>
      </c>
      <c r="D25" s="9" cm="1">
        <f t="array" aca="1" ref="D25" ca="1">INDIRECT(RefCell_Rpot)+SUM($G$3:G25)</f>
        <v>540.50000000000023</v>
      </c>
      <c r="E25" s="9">
        <f ca="1">data_Viessmann_AV17[[#This Row],[Rpcb]]-data_Viessmann_AV17[[#This Row],[Rsonde]]</f>
        <v>4.2857142857315011E-2</v>
      </c>
      <c r="F25" s="4">
        <f ca="1">data_Viessmann_AV17[[#This Row],[Diff R]]/data_Viessmann_AV17[[#This Row],[Rsonde]]</f>
        <v>7.929794882670889E-5</v>
      </c>
      <c r="G25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25" s="9" cm="1">
        <f t="array" aca="1" ref="H25" ca="1">MAX(IF(ResValuesR24&lt;=ROUND(data_Viessmann_AV17[[#This Row],[Rsonde]],2)-IF(data_Viessmann_AV17[[#This Row],[Rsonde]]=MIN(data_Viessmann_AV17[Rsonde]),100,$D24),ResValuesR24))</f>
        <v>3</v>
      </c>
      <c r="I25" s="9">
        <f ca="1">ROUND(data_Viessmann_AV17[[#This Row],[RaddLow]]+(IF(data_Viessmann_AV17[[#This Row],[Rsonde]]=MIN(data_Viessmann_AV17[Rsonde]),0,$D24)-data_Viessmann_AV17[[#This Row],[Rsonde]]),2)</f>
        <v>-0.26</v>
      </c>
      <c r="J25" s="9" cm="1">
        <f t="array" aca="1" ref="J25" ca="1">MIN(IF(ResValuesR24&gt;=ROUND(data_Viessmann_AV17[[#This Row],[Rsonde]],2)-IF(data_Viessmann_AV17[[#This Row],[Rsonde]]=MIN(data_Viessmann_AV17[Rsonde]),100,$D24),ResValuesR24))</f>
        <v>3.3</v>
      </c>
      <c r="K25" s="9">
        <f ca="1">ROUND(data_Viessmann_AV17[[#This Row],[RaddHigh]]+(IF(data_Viessmann_AV17[[#This Row],[Rsonde]]=MIN(data_Viessmann_AV17[Rsonde]),0,$D24)-data_Viessmann_AV17[[#This Row],[Rsonde]]),2)</f>
        <v>0.04</v>
      </c>
      <c r="L25" s="2" cm="1">
        <f t="array" aca="1" ref="L25" ca="1">IF(INDIRECT(RefCell_R77),(data_Viessmann_AV17[[#This Row],[Rpcb]]*INDIRECT(RefCell_R77))/(data_Viessmann_AV17[[#This Row],[Rpcb]]+INDIRECT(RefCell_R77)),data_Viessmann_AV17[[#This Row],[Rpcb]])</f>
        <v>540.50000000000023</v>
      </c>
      <c r="N25">
        <v>566</v>
      </c>
      <c r="O25">
        <v>30</v>
      </c>
    </row>
    <row r="26" spans="1:17" x14ac:dyDescent="0.25">
      <c r="A26" t="s">
        <v>40</v>
      </c>
      <c r="B26" s="8">
        <v>19.5</v>
      </c>
      <c r="C26" s="9">
        <f>data_Viessmann_AV17[[#This Row],[θ]]*$P$24+$Q$24</f>
        <v>543.65</v>
      </c>
      <c r="D26" s="9" cm="1">
        <f t="array" aca="1" ref="D26" ca="1">INDIRECT(RefCell_Rpot)+SUM($G$3:G26)</f>
        <v>543.80000000000018</v>
      </c>
      <c r="E26" s="9">
        <f ca="1">data_Viessmann_AV17[[#This Row],[Rpcb]]-data_Viessmann_AV17[[#This Row],[Rsonde]]</f>
        <v>0.15000000000020464</v>
      </c>
      <c r="F26" s="4">
        <f ca="1">data_Viessmann_AV17[[#This Row],[Diff R]]/data_Viessmann_AV17[[#This Row],[Rsonde]]</f>
        <v>2.7591281155192615E-4</v>
      </c>
      <c r="G26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26" s="9" cm="1">
        <f t="array" aca="1" ref="H26" ca="1">MAX(IF(ResValuesR24&lt;=ROUND(data_Viessmann_AV17[[#This Row],[Rsonde]],2)-IF(data_Viessmann_AV17[[#This Row],[Rsonde]]=MIN(data_Viessmann_AV17[Rsonde]),100,$D25),ResValuesR24))</f>
        <v>3</v>
      </c>
      <c r="I26" s="9">
        <f ca="1">ROUND(data_Viessmann_AV17[[#This Row],[RaddLow]]+(IF(data_Viessmann_AV17[[#This Row],[Rsonde]]=MIN(data_Viessmann_AV17[Rsonde]),0,$D25)-data_Viessmann_AV17[[#This Row],[Rsonde]]),2)</f>
        <v>-0.15</v>
      </c>
      <c r="J26" s="9" cm="1">
        <f t="array" aca="1" ref="J26" ca="1">MIN(IF(ResValuesR24&gt;=ROUND(data_Viessmann_AV17[[#This Row],[Rsonde]],2)-IF(data_Viessmann_AV17[[#This Row],[Rsonde]]=MIN(data_Viessmann_AV17[Rsonde]),100,$D25),ResValuesR24))</f>
        <v>3.3</v>
      </c>
      <c r="K26" s="9">
        <f ca="1">ROUND(data_Viessmann_AV17[[#This Row],[RaddHigh]]+(IF(data_Viessmann_AV17[[#This Row],[Rsonde]]=MIN(data_Viessmann_AV17[Rsonde]),0,$D25)-data_Viessmann_AV17[[#This Row],[Rsonde]]),2)</f>
        <v>0.15</v>
      </c>
      <c r="L26" s="2" cm="1">
        <f t="array" aca="1" ref="L26" ca="1">IF(INDIRECT(RefCell_R77),(data_Viessmann_AV17[[#This Row],[Rpcb]]*INDIRECT(RefCell_R77))/(data_Viessmann_AV17[[#This Row],[Rpcb]]+INDIRECT(RefCell_R77)),data_Viessmann_AV17[[#This Row],[Rpcb]])</f>
        <v>543.80000000000018</v>
      </c>
    </row>
    <row r="27" spans="1:17" x14ac:dyDescent="0.25">
      <c r="A27" t="s">
        <v>41</v>
      </c>
      <c r="B27" s="8">
        <v>21</v>
      </c>
      <c r="C27" s="9">
        <f>data_Viessmann_AV17[[#This Row],[θ]]*$P$24+$Q$24</f>
        <v>546.84285714285716</v>
      </c>
      <c r="D27" s="9" cm="1">
        <f t="array" aca="1" ref="D27" ca="1">INDIRECT(RefCell_Rpot)+SUM($G$3:G27)</f>
        <v>546.80000000000018</v>
      </c>
      <c r="E27" s="9">
        <f ca="1">data_Viessmann_AV17[[#This Row],[Rpcb]]-data_Viessmann_AV17[[#This Row],[Rsonde]]</f>
        <v>-4.2857142856973951E-2</v>
      </c>
      <c r="F27" s="4">
        <f ca="1">data_Viessmann_AV17[[#This Row],[Diff R]]/data_Viessmann_AV17[[#This Row],[Rsonde]]</f>
        <v>-7.8371953290006963E-5</v>
      </c>
      <c r="G27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27" s="9" cm="1">
        <f t="array" aca="1" ref="H27" ca="1">MAX(IF(ResValuesR24&lt;=ROUND(data_Viessmann_AV17[[#This Row],[Rsonde]],2)-IF(data_Viessmann_AV17[[#This Row],[Rsonde]]=MIN(data_Viessmann_AV17[Rsonde]),100,$D26),ResValuesR24))</f>
        <v>3</v>
      </c>
      <c r="I27" s="9">
        <f ca="1">ROUND(data_Viessmann_AV17[[#This Row],[RaddLow]]+(IF(data_Viessmann_AV17[[#This Row],[Rsonde]]=MIN(data_Viessmann_AV17[Rsonde]),0,$D26)-data_Viessmann_AV17[[#This Row],[Rsonde]]),2)</f>
        <v>-0.04</v>
      </c>
      <c r="J27" s="9" cm="1">
        <f t="array" aca="1" ref="J27" ca="1">MIN(IF(ResValuesR24&gt;=ROUND(data_Viessmann_AV17[[#This Row],[Rsonde]],2)-IF(data_Viessmann_AV17[[#This Row],[Rsonde]]=MIN(data_Viessmann_AV17[Rsonde]),100,$D26),ResValuesR24))</f>
        <v>3.3</v>
      </c>
      <c r="K27" s="9">
        <f ca="1">ROUND(data_Viessmann_AV17[[#This Row],[RaddHigh]]+(IF(data_Viessmann_AV17[[#This Row],[Rsonde]]=MIN(data_Viessmann_AV17[Rsonde]),0,$D26)-data_Viessmann_AV17[[#This Row],[Rsonde]]),2)</f>
        <v>0.26</v>
      </c>
      <c r="L27" s="2" cm="1">
        <f t="array" aca="1" ref="L27" ca="1">IF(INDIRECT(RefCell_R77),(data_Viessmann_AV17[[#This Row],[Rpcb]]*INDIRECT(RefCell_R77))/(data_Viessmann_AV17[[#This Row],[Rpcb]]+INDIRECT(RefCell_R77)),data_Viessmann_AV17[[#This Row],[Rpcb]])</f>
        <v>546.80000000000018</v>
      </c>
    </row>
    <row r="28" spans="1:17" x14ac:dyDescent="0.25">
      <c r="A28" t="s">
        <v>42</v>
      </c>
      <c r="B28" s="8">
        <v>22.5</v>
      </c>
      <c r="C28" s="9">
        <f>data_Viessmann_AV17[[#This Row],[θ]]*$P$24+$Q$24</f>
        <v>550.03571428571433</v>
      </c>
      <c r="D28" s="9" cm="1">
        <f t="array" aca="1" ref="D28" ca="1">INDIRECT(RefCell_Rpot)+SUM($G$3:G28)</f>
        <v>550.10000000000014</v>
      </c>
      <c r="E28" s="9">
        <f ca="1">data_Viessmann_AV17[[#This Row],[Rpcb]]-data_Viessmann_AV17[[#This Row],[Rsonde]]</f>
        <v>6.4285714285801987E-2</v>
      </c>
      <c r="F28" s="4">
        <f ca="1">data_Viessmann_AV17[[#This Row],[Diff R]]/data_Viessmann_AV17[[#This Row],[Rsonde]]</f>
        <v>1.1687552756330468E-4</v>
      </c>
      <c r="G28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28" s="9" cm="1">
        <f t="array" aca="1" ref="H28" ca="1">MAX(IF(ResValuesR24&lt;=ROUND(data_Viessmann_AV17[[#This Row],[Rsonde]],2)-IF(data_Viessmann_AV17[[#This Row],[Rsonde]]=MIN(data_Viessmann_AV17[Rsonde]),100,$D27),ResValuesR24))</f>
        <v>3</v>
      </c>
      <c r="I28" s="9">
        <f ca="1">ROUND(data_Viessmann_AV17[[#This Row],[RaddLow]]+(IF(data_Viessmann_AV17[[#This Row],[Rsonde]]=MIN(data_Viessmann_AV17[Rsonde]),0,$D27)-data_Viessmann_AV17[[#This Row],[Rsonde]]),2)</f>
        <v>-0.24</v>
      </c>
      <c r="J28" s="9" cm="1">
        <f t="array" aca="1" ref="J28" ca="1">MIN(IF(ResValuesR24&gt;=ROUND(data_Viessmann_AV17[[#This Row],[Rsonde]],2)-IF(data_Viessmann_AV17[[#This Row],[Rsonde]]=MIN(data_Viessmann_AV17[Rsonde]),100,$D27),ResValuesR24))</f>
        <v>3.3</v>
      </c>
      <c r="K28" s="9">
        <f ca="1">ROUND(data_Viessmann_AV17[[#This Row],[RaddHigh]]+(IF(data_Viessmann_AV17[[#This Row],[Rsonde]]=MIN(data_Viessmann_AV17[Rsonde]),0,$D27)-data_Viessmann_AV17[[#This Row],[Rsonde]]),2)</f>
        <v>0.06</v>
      </c>
      <c r="L28" s="2" cm="1">
        <f t="array" aca="1" ref="L28" ca="1">IF(INDIRECT(RefCell_R77),(data_Viessmann_AV17[[#This Row],[Rpcb]]*INDIRECT(RefCell_R77))/(data_Viessmann_AV17[[#This Row],[Rpcb]]+INDIRECT(RefCell_R77)),data_Viessmann_AV17[[#This Row],[Rpcb]])</f>
        <v>550.10000000000014</v>
      </c>
    </row>
    <row r="29" spans="1:17" x14ac:dyDescent="0.25">
      <c r="A29" t="s">
        <v>43</v>
      </c>
      <c r="B29" s="8">
        <v>24</v>
      </c>
      <c r="C29" s="9">
        <f>data_Viessmann_AV17[[#This Row],[θ]]*$P$24+$Q$24</f>
        <v>553.22857142857151</v>
      </c>
      <c r="D29" s="9" cm="1">
        <f t="array" aca="1" ref="D29" ca="1">INDIRECT(RefCell_Rpot)+SUM($G$3:G29)</f>
        <v>553.10000000000014</v>
      </c>
      <c r="E29" s="9">
        <f ca="1">data_Viessmann_AV17[[#This Row],[Rpcb]]-data_Viessmann_AV17[[#This Row],[Rsonde]]</f>
        <v>-0.1285714285713766</v>
      </c>
      <c r="F29" s="4">
        <f ca="1">data_Viessmann_AV17[[#This Row],[Diff R]]/data_Viessmann_AV17[[#This Row],[Rsonde]]</f>
        <v>-2.3240200382162787E-4</v>
      </c>
      <c r="G29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29" s="9" cm="1">
        <f t="array" aca="1" ref="H29" ca="1">MAX(IF(ResValuesR24&lt;=ROUND(data_Viessmann_AV17[[#This Row],[Rsonde]],2)-IF(data_Viessmann_AV17[[#This Row],[Rsonde]]=MIN(data_Viessmann_AV17[Rsonde]),100,$D28),ResValuesR24))</f>
        <v>3</v>
      </c>
      <c r="I29" s="9">
        <f ca="1">ROUND(data_Viessmann_AV17[[#This Row],[RaddLow]]+(IF(data_Viessmann_AV17[[#This Row],[Rsonde]]=MIN(data_Viessmann_AV17[Rsonde]),0,$D28)-data_Viessmann_AV17[[#This Row],[Rsonde]]),2)</f>
        <v>-0.13</v>
      </c>
      <c r="J29" s="9" cm="1">
        <f t="array" aca="1" ref="J29" ca="1">MIN(IF(ResValuesR24&gt;=ROUND(data_Viessmann_AV17[[#This Row],[Rsonde]],2)-IF(data_Viessmann_AV17[[#This Row],[Rsonde]]=MIN(data_Viessmann_AV17[Rsonde]),100,$D28),ResValuesR24))</f>
        <v>3.3</v>
      </c>
      <c r="K29" s="9">
        <f ca="1">ROUND(data_Viessmann_AV17[[#This Row],[RaddHigh]]+(IF(data_Viessmann_AV17[[#This Row],[Rsonde]]=MIN(data_Viessmann_AV17[Rsonde]),0,$D28)-data_Viessmann_AV17[[#This Row],[Rsonde]]),2)</f>
        <v>0.17</v>
      </c>
      <c r="L29" s="2" cm="1">
        <f t="array" aca="1" ref="L29" ca="1">IF(INDIRECT(RefCell_R77),(data_Viessmann_AV17[[#This Row],[Rpcb]]*INDIRECT(RefCell_R77))/(data_Viessmann_AV17[[#This Row],[Rpcb]]+INDIRECT(RefCell_R77)),data_Viessmann_AV17[[#This Row],[Rpcb]])</f>
        <v>553.10000000000014</v>
      </c>
    </row>
    <row r="30" spans="1:17" x14ac:dyDescent="0.25">
      <c r="A30" t="s">
        <v>44</v>
      </c>
      <c r="B30" s="8">
        <v>25.5</v>
      </c>
      <c r="C30" s="9">
        <f>data_Viessmann_AV17[[#This Row],[θ]]*$P$24+$Q$24</f>
        <v>556.42142857142858</v>
      </c>
      <c r="D30" s="9" cm="1">
        <f t="array" aca="1" ref="D30" ca="1">INDIRECT(RefCell_Rpot)+SUM($G$3:G30)</f>
        <v>556.4000000000002</v>
      </c>
      <c r="E30" s="9">
        <f ca="1">data_Viessmann_AV17[[#This Row],[Rpcb]]-data_Viessmann_AV17[[#This Row],[Rsonde]]</f>
        <v>-2.1428571428373289E-2</v>
      </c>
      <c r="F30" s="4">
        <f ca="1">data_Viessmann_AV17[[#This Row],[Diff R]]/data_Viessmann_AV17[[#This Row],[Rsonde]]</f>
        <v>-3.8511405794326762E-5</v>
      </c>
      <c r="G30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30" s="9" cm="1">
        <f t="array" aca="1" ref="H30" ca="1">MAX(IF(ResValuesR24&lt;=ROUND(data_Viessmann_AV17[[#This Row],[Rsonde]],2)-IF(data_Viessmann_AV17[[#This Row],[Rsonde]]=MIN(data_Viessmann_AV17[Rsonde]),100,$D29),ResValuesR24))</f>
        <v>3.3</v>
      </c>
      <c r="I30" s="9">
        <f ca="1">ROUND(data_Viessmann_AV17[[#This Row],[RaddLow]]+(IF(data_Viessmann_AV17[[#This Row],[Rsonde]]=MIN(data_Viessmann_AV17[Rsonde]),0,$D29)-data_Viessmann_AV17[[#This Row],[Rsonde]]),2)</f>
        <v>-0.02</v>
      </c>
      <c r="J30" s="9" cm="1">
        <f t="array" aca="1" ref="J30" ca="1">MIN(IF(ResValuesR24&gt;=ROUND(data_Viessmann_AV17[[#This Row],[Rsonde]],2)-IF(data_Viessmann_AV17[[#This Row],[Rsonde]]=MIN(data_Viessmann_AV17[Rsonde]),100,$D29),ResValuesR24))</f>
        <v>3.6</v>
      </c>
      <c r="K30" s="9">
        <f ca="1">ROUND(data_Viessmann_AV17[[#This Row],[RaddHigh]]+(IF(data_Viessmann_AV17[[#This Row],[Rsonde]]=MIN(data_Viessmann_AV17[Rsonde]),0,$D29)-data_Viessmann_AV17[[#This Row],[Rsonde]]),2)</f>
        <v>0.28000000000000003</v>
      </c>
      <c r="L30" s="2" cm="1">
        <f t="array" aca="1" ref="L30" ca="1">IF(INDIRECT(RefCell_R77),(data_Viessmann_AV17[[#This Row],[Rpcb]]*INDIRECT(RefCell_R77))/(data_Viessmann_AV17[[#This Row],[Rpcb]]+INDIRECT(RefCell_R77)),data_Viessmann_AV17[[#This Row],[Rpcb]])</f>
        <v>556.4000000000002</v>
      </c>
    </row>
    <row r="31" spans="1:17" x14ac:dyDescent="0.25">
      <c r="A31" t="s">
        <v>45</v>
      </c>
      <c r="B31" s="8">
        <v>27</v>
      </c>
      <c r="C31" s="9">
        <f>data_Viessmann_AV17[[#This Row],[θ]]*$P$24+$Q$24</f>
        <v>559.61428571428576</v>
      </c>
      <c r="D31" s="9" cm="1">
        <f t="array" aca="1" ref="D31" ca="1">INDIRECT(RefCell_Rpot)+SUM($G$3:G31)</f>
        <v>559.70000000000027</v>
      </c>
      <c r="E31" s="9">
        <f ca="1">data_Viessmann_AV17[[#This Row],[Rpcb]]-data_Viessmann_AV17[[#This Row],[Rsonde]]</f>
        <v>8.5714285714516336E-2</v>
      </c>
      <c r="F31" s="4">
        <f ca="1">data_Viessmann_AV17[[#This Row],[Diff R]]/data_Viessmann_AV17[[#This Row],[Rsonde]]</f>
        <v>1.5316672197728391E-4</v>
      </c>
      <c r="G31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31" s="9" cm="1">
        <f t="array" aca="1" ref="H31" ca="1">MAX(IF(ResValuesR24&lt;=ROUND(data_Viessmann_AV17[[#This Row],[Rsonde]],2)-IF(data_Viessmann_AV17[[#This Row],[Rsonde]]=MIN(data_Viessmann_AV17[Rsonde]),100,$D30),ResValuesR24))</f>
        <v>3</v>
      </c>
      <c r="I31" s="9">
        <f ca="1">ROUND(data_Viessmann_AV17[[#This Row],[RaddLow]]+(IF(data_Viessmann_AV17[[#This Row],[Rsonde]]=MIN(data_Viessmann_AV17[Rsonde]),0,$D30)-data_Viessmann_AV17[[#This Row],[Rsonde]]),2)</f>
        <v>-0.21</v>
      </c>
      <c r="J31" s="9" cm="1">
        <f t="array" aca="1" ref="J31" ca="1">MIN(IF(ResValuesR24&gt;=ROUND(data_Viessmann_AV17[[#This Row],[Rsonde]],2)-IF(data_Viessmann_AV17[[#This Row],[Rsonde]]=MIN(data_Viessmann_AV17[Rsonde]),100,$D30),ResValuesR24))</f>
        <v>3.3</v>
      </c>
      <c r="K31" s="9">
        <f ca="1">ROUND(data_Viessmann_AV17[[#This Row],[RaddHigh]]+(IF(data_Viessmann_AV17[[#This Row],[Rsonde]]=MIN(data_Viessmann_AV17[Rsonde]),0,$D30)-data_Viessmann_AV17[[#This Row],[Rsonde]]),2)</f>
        <v>0.09</v>
      </c>
      <c r="L31" s="2" cm="1">
        <f t="array" aca="1" ref="L31" ca="1">IF(INDIRECT(RefCell_R77),(data_Viessmann_AV17[[#This Row],[Rpcb]]*INDIRECT(RefCell_R77))/(data_Viessmann_AV17[[#This Row],[Rpcb]]+INDIRECT(RefCell_R77)),data_Viessmann_AV17[[#This Row],[Rpcb]])</f>
        <v>559.70000000000027</v>
      </c>
    </row>
    <row r="32" spans="1:17" x14ac:dyDescent="0.25">
      <c r="A32" t="s">
        <v>46</v>
      </c>
      <c r="B32" s="8">
        <v>28.5</v>
      </c>
      <c r="C32" s="9">
        <f>data_Viessmann_AV17[[#This Row],[θ]]*$P$24+$Q$24</f>
        <v>562.80714285714294</v>
      </c>
      <c r="D32" s="9" cm="1">
        <f t="array" aca="1" ref="D32" ca="1">INDIRECT(RefCell_Rpot)+SUM($G$3:G32)</f>
        <v>562.70000000000027</v>
      </c>
      <c r="E32" s="9">
        <f ca="1">data_Viessmann_AV17[[#This Row],[Rpcb]]-data_Viessmann_AV17[[#This Row],[Rsonde]]</f>
        <v>-0.10714285714266225</v>
      </c>
      <c r="F32" s="4">
        <f ca="1">data_Viessmann_AV17[[#This Row],[Diff R]]/data_Viessmann_AV17[[#This Row],[Rsonde]]</f>
        <v>-1.9037224118859179E-4</v>
      </c>
      <c r="G32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32" s="9" cm="1">
        <f t="array" aca="1" ref="H32" ca="1">MAX(IF(ResValuesR24&lt;=ROUND(data_Viessmann_AV17[[#This Row],[Rsonde]],2)-IF(data_Viessmann_AV17[[#This Row],[Rsonde]]=MIN(data_Viessmann_AV17[Rsonde]),100,$D31),ResValuesR24))</f>
        <v>3</v>
      </c>
      <c r="I32" s="9">
        <f ca="1">ROUND(data_Viessmann_AV17[[#This Row],[RaddLow]]+(IF(data_Viessmann_AV17[[#This Row],[Rsonde]]=MIN(data_Viessmann_AV17[Rsonde]),0,$D31)-data_Viessmann_AV17[[#This Row],[Rsonde]]),2)</f>
        <v>-0.11</v>
      </c>
      <c r="J32" s="9" cm="1">
        <f t="array" aca="1" ref="J32" ca="1">MIN(IF(ResValuesR24&gt;=ROUND(data_Viessmann_AV17[[#This Row],[Rsonde]],2)-IF(data_Viessmann_AV17[[#This Row],[Rsonde]]=MIN(data_Viessmann_AV17[Rsonde]),100,$D31),ResValuesR24))</f>
        <v>3.3</v>
      </c>
      <c r="K32" s="9">
        <f ca="1">ROUND(data_Viessmann_AV17[[#This Row],[RaddHigh]]+(IF(data_Viessmann_AV17[[#This Row],[Rsonde]]=MIN(data_Viessmann_AV17[Rsonde]),0,$D31)-data_Viessmann_AV17[[#This Row],[Rsonde]]),2)</f>
        <v>0.19</v>
      </c>
      <c r="L32" s="2" cm="1">
        <f t="array" aca="1" ref="L32" ca="1">IF(INDIRECT(RefCell_R77),(data_Viessmann_AV17[[#This Row],[Rpcb]]*INDIRECT(RefCell_R77))/(data_Viessmann_AV17[[#This Row],[Rpcb]]+INDIRECT(RefCell_R77)),data_Viessmann_AV17[[#This Row],[Rpcb]])</f>
        <v>562.70000000000027</v>
      </c>
    </row>
    <row r="33" spans="1:12" x14ac:dyDescent="0.25">
      <c r="A33" t="s">
        <v>47</v>
      </c>
      <c r="B33" s="8">
        <v>30</v>
      </c>
      <c r="C33" s="9">
        <f>data_Viessmann_AV17[[#This Row],[θ]]*$P$24+$Q$24</f>
        <v>566</v>
      </c>
      <c r="D33" s="9" cm="1">
        <f t="array" aca="1" ref="D33" ca="1">INDIRECT(RefCell_Rpot)+SUM($G$3:G33)</f>
        <v>566.00000000000023</v>
      </c>
      <c r="E33" s="9">
        <f ca="1">data_Viessmann_AV17[[#This Row],[Rpcb]]-data_Viessmann_AV17[[#This Row],[Rsonde]]</f>
        <v>0</v>
      </c>
      <c r="F33" s="4">
        <f ca="1">data_Viessmann_AV17[[#This Row],[Diff R]]/data_Viessmann_AV17[[#This Row],[Rsonde]]</f>
        <v>0</v>
      </c>
      <c r="G33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33" s="9" cm="1">
        <f t="array" aca="1" ref="H33" ca="1">MAX(IF(ResValuesR24&lt;=ROUND(data_Viessmann_AV17[[#This Row],[Rsonde]],2)-IF(data_Viessmann_AV17[[#This Row],[Rsonde]]=MIN(data_Viessmann_AV17[Rsonde]),100,$D32),ResValuesR24))</f>
        <v>3</v>
      </c>
      <c r="I33" s="9">
        <f ca="1">ROUND(data_Viessmann_AV17[[#This Row],[RaddLow]]+(IF(data_Viessmann_AV17[[#This Row],[Rsonde]]=MIN(data_Viessmann_AV17[Rsonde]),0,$D32)-data_Viessmann_AV17[[#This Row],[Rsonde]]),2)</f>
        <v>-0.3</v>
      </c>
      <c r="J33" s="9" cm="1">
        <f t="array" aca="1" ref="J33" ca="1">MIN(IF(ResValuesR24&gt;=ROUND(data_Viessmann_AV17[[#This Row],[Rsonde]],2)-IF(data_Viessmann_AV17[[#This Row],[Rsonde]]=MIN(data_Viessmann_AV17[Rsonde]),100,$D32),ResValuesR24))</f>
        <v>3.3</v>
      </c>
      <c r="K33" s="9">
        <f ca="1">ROUND(data_Viessmann_AV17[[#This Row],[RaddHigh]]+(IF(data_Viessmann_AV17[[#This Row],[Rsonde]]=MIN(data_Viessmann_AV17[Rsonde]),0,$D32)-data_Viessmann_AV17[[#This Row],[Rsonde]]),2)</f>
        <v>0</v>
      </c>
      <c r="L33" s="2" cm="1">
        <f t="array" aca="1" ref="L33" ca="1">IF(INDIRECT(RefCell_R77),(data_Viessmann_AV17[[#This Row],[Rpcb]]*INDIRECT(RefCell_R77))/(data_Viessmann_AV17[[#This Row],[Rpcb]]+INDIRECT(RefCell_R77)),data_Viessmann_AV17[[#This Row],[Rpcb]])</f>
        <v>566.00000000000023</v>
      </c>
    </row>
    <row r="34" spans="1:12" x14ac:dyDescent="0.25">
      <c r="A34" t="s">
        <v>48</v>
      </c>
      <c r="B34" s="8">
        <v>31.5</v>
      </c>
      <c r="C34" s="9">
        <f>data_Viessmann_AV17[[#This Row],[θ]]*$P$24+$Q$24</f>
        <v>569.19285714285718</v>
      </c>
      <c r="D34" s="9" cm="1">
        <f t="array" aca="1" ref="D34" ca="1">INDIRECT(RefCell_Rpot)+SUM($G$3:G34)</f>
        <v>569.30000000000018</v>
      </c>
      <c r="E34" s="9">
        <f ca="1">data_Viessmann_AV17[[#This Row],[Rpcb]]-data_Viessmann_AV17[[#This Row],[Rsonde]]</f>
        <v>0.10714285714300331</v>
      </c>
      <c r="F34" s="4">
        <f ca="1">data_Viessmann_AV17[[#This Row],[Diff R]]/data_Viessmann_AV17[[#This Row],[Rsonde]]</f>
        <v>1.8823647520951301E-4</v>
      </c>
      <c r="G34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34" s="9" cm="1">
        <f t="array" aca="1" ref="H34" ca="1">MAX(IF(ResValuesR24&lt;=ROUND(data_Viessmann_AV17[[#This Row],[Rsonde]],2)-IF(data_Viessmann_AV17[[#This Row],[Rsonde]]=MIN(data_Viessmann_AV17[Rsonde]),100,$D33),ResValuesR24))</f>
        <v>3</v>
      </c>
      <c r="I34" s="9">
        <f ca="1">ROUND(data_Viessmann_AV17[[#This Row],[RaddLow]]+(IF(data_Viessmann_AV17[[#This Row],[Rsonde]]=MIN(data_Viessmann_AV17[Rsonde]),0,$D33)-data_Viessmann_AV17[[#This Row],[Rsonde]]),2)</f>
        <v>-0.19</v>
      </c>
      <c r="J34" s="9" cm="1">
        <f t="array" aca="1" ref="J34" ca="1">MIN(IF(ResValuesR24&gt;=ROUND(data_Viessmann_AV17[[#This Row],[Rsonde]],2)-IF(data_Viessmann_AV17[[#This Row],[Rsonde]]=MIN(data_Viessmann_AV17[Rsonde]),100,$D33),ResValuesR24))</f>
        <v>3.3</v>
      </c>
      <c r="K34" s="9">
        <f ca="1">ROUND(data_Viessmann_AV17[[#This Row],[RaddHigh]]+(IF(data_Viessmann_AV17[[#This Row],[Rsonde]]=MIN(data_Viessmann_AV17[Rsonde]),0,$D33)-data_Viessmann_AV17[[#This Row],[Rsonde]]),2)</f>
        <v>0.11</v>
      </c>
      <c r="L34" s="2" cm="1">
        <f t="array" aca="1" ref="L34" ca="1">IF(INDIRECT(RefCell_R77),(data_Viessmann_AV17[[#This Row],[Rpcb]]*INDIRECT(RefCell_R77))/(data_Viessmann_AV17[[#This Row],[Rpcb]]+INDIRECT(RefCell_R77)),data_Viessmann_AV17[[#This Row],[Rpcb]])</f>
        <v>569.30000000000018</v>
      </c>
    </row>
  </sheetData>
  <mergeCells count="1">
    <mergeCell ref="A1:L1"/>
  </mergeCells>
  <conditionalFormatting sqref="F3:F34">
    <cfRule type="cellIs" dxfId="51" priority="1" operator="between">
      <formula>-0.005</formula>
      <formula>0.005</formula>
    </cfRule>
  </conditionalFormatting>
  <dataValidations count="1">
    <dataValidation type="list" allowBlank="1" showInputMessage="1" showErrorMessage="1" sqref="O3" xr:uid="{2D3AF204-F739-458E-9A82-216E7B36D92E}">
      <formula1>INDIRECT("TableR77[R]")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1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2" r:id="rId5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3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4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6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7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9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30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6F841-DA10-40AD-A877-653B57C41170}">
  <sheetPr codeName="Feuil11"/>
  <dimension ref="A1:Q44"/>
  <sheetViews>
    <sheetView workbookViewId="0">
      <selection sqref="A1:XFD1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7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7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73</v>
      </c>
      <c r="P2" s="7" t="s">
        <v>113</v>
      </c>
    </row>
    <row r="3" spans="1:17" x14ac:dyDescent="0.25">
      <c r="A3" t="s">
        <v>48</v>
      </c>
      <c r="B3" s="8">
        <v>-15</v>
      </c>
      <c r="C3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1975.6517027863781</v>
      </c>
      <c r="D3" s="9" cm="1">
        <f t="array" aca="1" ref="D3" ca="1">INDIRECT(RefCell_Rpot)+SUM(G3:G$34)</f>
        <v>1976</v>
      </c>
      <c r="E3" s="9">
        <f ca="1">data_VRC_DCF_9535[[#This Row],[Rpcb]]-data_VRC_DCF_9535[[#This Row],[Rsonde]]</f>
        <v>0.34829721362189048</v>
      </c>
      <c r="F3" s="4">
        <f ca="1">data_VRC_DCF_9535[[#This Row],[Diff R]]/data_VRC_DCF_9535[[#This Row],[Rsonde]]</f>
        <v>1.7629484647049192E-4</v>
      </c>
      <c r="G3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33</v>
      </c>
      <c r="H3" s="9" cm="1">
        <f t="array" aca="1" ref="H3" ca="1">MAX(IF(ResValuesR24&lt;=ROUND(data_VRC_DCF_9535[[#This Row],[Rsonde]],2)-IF(data_VRC_DCF_9535[[#This Row],[Rsonde]]=MIN(data_VRC_DCF_9535[Rsonde]),100,$D4),ResValuesR24))</f>
        <v>30</v>
      </c>
      <c r="I3" s="9">
        <f ca="1">ROUND(data_VRC_DCF_9535[[#This Row],[RaddLow]]+(IF(data_VRC_DCF_9535[[#This Row],[Rsonde]]=MIN(data_VRC_DCF_9535[Rsonde]),0,$D4)-data_VRC_DCF_9535[[#This Row],[Rsonde]]),2)</f>
        <v>-2.65</v>
      </c>
      <c r="J3" s="9" cm="1">
        <f t="array" aca="1" ref="J3" ca="1">MIN(IF(ResValuesR24&gt;=ROUND(data_VRC_DCF_9535[[#This Row],[Rsonde]],2)-IF(data_VRC_DCF_9535[[#This Row],[Rsonde]]=MIN(data_VRC_DCF_9535[Rsonde]),100,$D4),ResValuesR24))</f>
        <v>33</v>
      </c>
      <c r="K3" s="9">
        <f ca="1">ROUND(data_VRC_DCF_9535[[#This Row],[RaddHigh]]+(IF(data_VRC_DCF_9535[[#This Row],[Rsonde]]=MIN(data_VRC_DCF_9535[Rsonde]),0,$D4)-data_VRC_DCF_9535[[#This Row],[Rsonde]]),2)</f>
        <v>0.35</v>
      </c>
      <c r="L3" s="2" cm="1">
        <f t="array" aca="1" ref="L3" ca="1">IF(INDIRECT(RefCell_R77),(data_VRC_DCF_9535[[#This Row],[Rpcb]]*INDIRECT(RefCell_R77))/(data_VRC_DCF_9535[[#This Row],[Rpcb]]+INDIRECT(RefCell_R77)),data_VRC_DCF_9535[[#This Row],[Rpcb]])</f>
        <v>1976</v>
      </c>
      <c r="N3" t="s">
        <v>112</v>
      </c>
      <c r="P3" s="7" t="s">
        <v>113</v>
      </c>
      <c r="Q3" s="11" t="s">
        <v>157</v>
      </c>
    </row>
    <row r="4" spans="1:17" x14ac:dyDescent="0.25">
      <c r="A4" t="s">
        <v>47</v>
      </c>
      <c r="B4" s="8">
        <v>-13.5</v>
      </c>
      <c r="C4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1942.8819913710647</v>
      </c>
      <c r="D4" s="9" cm="1">
        <f t="array" aca="1" ref="D4" ca="1">INDIRECT(RefCell_Rpot)+SUM(G4:G$34)</f>
        <v>1943</v>
      </c>
      <c r="E4" s="9">
        <f ca="1">data_VRC_DCF_9535[[#This Row],[Rpcb]]-data_VRC_DCF_9535[[#This Row],[Rsonde]]</f>
        <v>0.11800862893528574</v>
      </c>
      <c r="F4" s="4">
        <f ca="1">data_VRC_DCF_9535[[#This Row],[Diff R]]/data_VRC_DCF_9535[[#This Row],[Rsonde]]</f>
        <v>6.0738958649778158E-5</v>
      </c>
      <c r="G4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33</v>
      </c>
      <c r="H4" s="9" cm="1">
        <f t="array" aca="1" ref="H4" ca="1">MAX(IF(ResValuesR24&lt;=ROUND(data_VRC_DCF_9535[[#This Row],[Rsonde]],2)-IF(data_VRC_DCF_9535[[#This Row],[Rsonde]]=MIN(data_VRC_DCF_9535[Rsonde]),100,$D5),ResValuesR24))</f>
        <v>30</v>
      </c>
      <c r="I4" s="9">
        <f ca="1">ROUND(data_VRC_DCF_9535[[#This Row],[RaddLow]]+(IF(data_VRC_DCF_9535[[#This Row],[Rsonde]]=MIN(data_VRC_DCF_9535[Rsonde]),0,$D5)-data_VRC_DCF_9535[[#This Row],[Rsonde]]),2)</f>
        <v>-2.88</v>
      </c>
      <c r="J4" s="9" cm="1">
        <f t="array" aca="1" ref="J4" ca="1">MIN(IF(ResValuesR24&gt;=ROUND(data_VRC_DCF_9535[[#This Row],[Rsonde]],2)-IF(data_VRC_DCF_9535[[#This Row],[Rsonde]]=MIN(data_VRC_DCF_9535[Rsonde]),100,$D5),ResValuesR24))</f>
        <v>33</v>
      </c>
      <c r="K4" s="9">
        <f ca="1">ROUND(data_VRC_DCF_9535[[#This Row],[RaddHigh]]+(IF(data_VRC_DCF_9535[[#This Row],[Rsonde]]=MIN(data_VRC_DCF_9535[Rsonde]),0,$D5)-data_VRC_DCF_9535[[#This Row],[Rsonde]]),2)</f>
        <v>0.12</v>
      </c>
      <c r="L4" s="2" cm="1">
        <f t="array" aca="1" ref="L4" ca="1">IF(INDIRECT(RefCell_R77),(data_VRC_DCF_9535[[#This Row],[Rpcb]]*INDIRECT(RefCell_R77))/(data_VRC_DCF_9535[[#This Row],[Rpcb]]+INDIRECT(RefCell_R77)),data_VRC_DCF_9535[[#This Row],[Rpcb]])</f>
        <v>1943</v>
      </c>
    </row>
    <row r="5" spans="1:17" x14ac:dyDescent="0.25">
      <c r="A5" t="s">
        <v>46</v>
      </c>
      <c r="B5" s="8">
        <v>-12</v>
      </c>
      <c r="C5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1909.2080376707531</v>
      </c>
      <c r="D5" s="9" cm="1">
        <f t="array" aca="1" ref="D5" ca="1">INDIRECT(RefCell_Rpot)+SUM(G5:G$34)</f>
        <v>1910</v>
      </c>
      <c r="E5" s="9">
        <f ca="1">data_VRC_DCF_9535[[#This Row],[Rpcb]]-data_VRC_DCF_9535[[#This Row],[Rsonde]]</f>
        <v>0.79196232924687138</v>
      </c>
      <c r="F5" s="4">
        <f ca="1">data_VRC_DCF_9535[[#This Row],[Diff R]]/data_VRC_DCF_9535[[#This Row],[Rsonde]]</f>
        <v>4.1481196057244283E-4</v>
      </c>
      <c r="G5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5" s="9" cm="1">
        <f t="array" aca="1" ref="H5" ca="1">MAX(IF(ResValuesR24&lt;=ROUND(data_VRC_DCF_9535[[#This Row],[Rsonde]],2)-IF(data_VRC_DCF_9535[[#This Row],[Rsonde]]=MIN(data_VRC_DCF_9535[Rsonde]),100,$D6),ResValuesR24))</f>
        <v>33</v>
      </c>
      <c r="I5" s="9">
        <f ca="1">ROUND(data_VRC_DCF_9535[[#This Row],[RaddLow]]+(IF(data_VRC_DCF_9535[[#This Row],[Rsonde]]=MIN(data_VRC_DCF_9535[Rsonde]),0,$D6)-data_VRC_DCF_9535[[#This Row],[Rsonde]]),2)</f>
        <v>-2.21</v>
      </c>
      <c r="J5" s="9" cm="1">
        <f t="array" aca="1" ref="J5" ca="1">MIN(IF(ResValuesR24&gt;=ROUND(data_VRC_DCF_9535[[#This Row],[Rsonde]],2)-IF(data_VRC_DCF_9535[[#This Row],[Rsonde]]=MIN(data_VRC_DCF_9535[Rsonde]),100,$D6),ResValuesR24))</f>
        <v>36</v>
      </c>
      <c r="K5" s="9">
        <f ca="1">ROUND(data_VRC_DCF_9535[[#This Row],[RaddHigh]]+(IF(data_VRC_DCF_9535[[#This Row],[Rsonde]]=MIN(data_VRC_DCF_9535[Rsonde]),0,$D6)-data_VRC_DCF_9535[[#This Row],[Rsonde]]),2)</f>
        <v>0.79</v>
      </c>
      <c r="L5" s="2" cm="1">
        <f t="array" aca="1" ref="L5" ca="1">IF(INDIRECT(RefCell_R77),(data_VRC_DCF_9535[[#This Row],[Rpcb]]*INDIRECT(RefCell_R77))/(data_VRC_DCF_9535[[#This Row],[Rpcb]]+INDIRECT(RefCell_R77)),data_VRC_DCF_9535[[#This Row],[Rpcb]])</f>
        <v>1910</v>
      </c>
      <c r="N5" s="1" t="s">
        <v>215</v>
      </c>
    </row>
    <row r="6" spans="1:17" x14ac:dyDescent="0.25">
      <c r="A6" t="s">
        <v>45</v>
      </c>
      <c r="B6" s="8">
        <v>-10.5</v>
      </c>
      <c r="C6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1874.7640487205376</v>
      </c>
      <c r="D6" s="9" cm="1">
        <f t="array" aca="1" ref="D6" ca="1">INDIRECT(RefCell_Rpot)+SUM(G6:G$34)</f>
        <v>1874</v>
      </c>
      <c r="E6" s="9">
        <f ca="1">data_VRC_DCF_9535[[#This Row],[Rpcb]]-data_VRC_DCF_9535[[#This Row],[Rsonde]]</f>
        <v>-0.76404872053763029</v>
      </c>
      <c r="F6" s="4">
        <f ca="1">data_VRC_DCF_9535[[#This Row],[Diff R]]/data_VRC_DCF_9535[[#This Row],[Rsonde]]</f>
        <v>-4.0754393656047941E-4</v>
      </c>
      <c r="G6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33</v>
      </c>
      <c r="H6" s="9" cm="1">
        <f t="array" aca="1" ref="H6" ca="1">MAX(IF(ResValuesR24&lt;=ROUND(data_VRC_DCF_9535[[#This Row],[Rsonde]],2)-IF(data_VRC_DCF_9535[[#This Row],[Rsonde]]=MIN(data_VRC_DCF_9535[Rsonde]),100,$D7),ResValuesR24))</f>
        <v>33</v>
      </c>
      <c r="I6" s="9">
        <f ca="1">ROUND(data_VRC_DCF_9535[[#This Row],[RaddLow]]+(IF(data_VRC_DCF_9535[[#This Row],[Rsonde]]=MIN(data_VRC_DCF_9535[Rsonde]),0,$D7)-data_VRC_DCF_9535[[#This Row],[Rsonde]]),2)</f>
        <v>-0.76</v>
      </c>
      <c r="J6" s="9" cm="1">
        <f t="array" aca="1" ref="J6" ca="1">MIN(IF(ResValuesR24&gt;=ROUND(data_VRC_DCF_9535[[#This Row],[Rsonde]],2)-IF(data_VRC_DCF_9535[[#This Row],[Rsonde]]=MIN(data_VRC_DCF_9535[Rsonde]),100,$D7),ResValuesR24))</f>
        <v>36</v>
      </c>
      <c r="K6" s="9">
        <f ca="1">ROUND(data_VRC_DCF_9535[[#This Row],[RaddHigh]]+(IF(data_VRC_DCF_9535[[#This Row],[Rsonde]]=MIN(data_VRC_DCF_9535[Rsonde]),0,$D7)-data_VRC_DCF_9535[[#This Row],[Rsonde]]),2)</f>
        <v>2.2400000000000002</v>
      </c>
      <c r="L6" s="2" cm="1">
        <f t="array" aca="1" ref="L6" ca="1">IF(INDIRECT(RefCell_R77),(data_VRC_DCF_9535[[#This Row],[Rpcb]]*INDIRECT(RefCell_R77))/(data_VRC_DCF_9535[[#This Row],[Rpcb]]+INDIRECT(RefCell_R77)),data_VRC_DCF_9535[[#This Row],[Rpcb]])</f>
        <v>1874</v>
      </c>
      <c r="N6" s="35" t="s">
        <v>131</v>
      </c>
      <c r="O6">
        <f t="shared" ref="O6" si="0">O14 - O11*O7 - O11^3*O8</f>
        <v>1.6041082736193174E-2</v>
      </c>
    </row>
    <row r="7" spans="1:17" x14ac:dyDescent="0.25">
      <c r="A7" t="s">
        <v>44</v>
      </c>
      <c r="B7" s="8">
        <v>-9</v>
      </c>
      <c r="C7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1839.6618758127177</v>
      </c>
      <c r="D7" s="9" cm="1">
        <f t="array" aca="1" ref="D7" ca="1">INDIRECT(RefCell_Rpot)+SUM(G7:G$34)</f>
        <v>1841</v>
      </c>
      <c r="E7" s="9">
        <f ca="1">data_VRC_DCF_9535[[#This Row],[Rpcb]]-data_VRC_DCF_9535[[#This Row],[Rsonde]]</f>
        <v>1.3381241872823466</v>
      </c>
      <c r="F7" s="4">
        <f ca="1">data_VRC_DCF_9535[[#This Row],[Diff R]]/data_VRC_DCF_9535[[#This Row],[Rsonde]]</f>
        <v>7.2737507086251707E-4</v>
      </c>
      <c r="G7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7" s="9" cm="1">
        <f t="array" aca="1" ref="H7" ca="1">MAX(IF(ResValuesR24&lt;=ROUND(data_VRC_DCF_9535[[#This Row],[Rsonde]],2)-IF(data_VRC_DCF_9535[[#This Row],[Rsonde]]=MIN(data_VRC_DCF_9535[Rsonde]),100,$D8),ResValuesR24))</f>
        <v>33</v>
      </c>
      <c r="I7" s="9">
        <f ca="1">ROUND(data_VRC_DCF_9535[[#This Row],[RaddLow]]+(IF(data_VRC_DCF_9535[[#This Row],[Rsonde]]=MIN(data_VRC_DCF_9535[Rsonde]),0,$D8)-data_VRC_DCF_9535[[#This Row],[Rsonde]]),2)</f>
        <v>-1.66</v>
      </c>
      <c r="J7" s="9" cm="1">
        <f t="array" aca="1" ref="J7" ca="1">MIN(IF(ResValuesR24&gt;=ROUND(data_VRC_DCF_9535[[#This Row],[Rsonde]],2)-IF(data_VRC_DCF_9535[[#This Row],[Rsonde]]=MIN(data_VRC_DCF_9535[Rsonde]),100,$D8),ResValuesR24))</f>
        <v>36</v>
      </c>
      <c r="K7" s="9">
        <f ca="1">ROUND(data_VRC_DCF_9535[[#This Row],[RaddHigh]]+(IF(data_VRC_DCF_9535[[#This Row],[Rsonde]]=MIN(data_VRC_DCF_9535[Rsonde]),0,$D8)-data_VRC_DCF_9535[[#This Row],[Rsonde]]),2)</f>
        <v>1.34</v>
      </c>
      <c r="L7" s="2" cm="1">
        <f t="array" aca="1" ref="L7" ca="1">IF(INDIRECT(RefCell_R77),(data_VRC_DCF_9535[[#This Row],[Rpcb]]*INDIRECT(RefCell_R77))/(data_VRC_DCF_9535[[#This Row],[Rpcb]]+INDIRECT(RefCell_R77)),data_VRC_DCF_9535[[#This Row],[Rpcb]])</f>
        <v>1841</v>
      </c>
      <c r="N7" s="35" t="s">
        <v>130</v>
      </c>
      <c r="O7">
        <f t="shared" ref="O7" si="1">(1/(O11-O12)) * (O14-O15-(O11^3-O12^3)*O8)</f>
        <v>-2.9756375676371978E-3</v>
      </c>
    </row>
    <row r="8" spans="1:17" x14ac:dyDescent="0.25">
      <c r="A8" t="s">
        <v>43</v>
      </c>
      <c r="B8" s="8">
        <v>-7.5</v>
      </c>
      <c r="C8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1803.9952905791965</v>
      </c>
      <c r="D8" s="9" cm="1">
        <f t="array" aca="1" ref="D8" ca="1">INDIRECT(RefCell_Rpot)+SUM(G8:G$34)</f>
        <v>1805</v>
      </c>
      <c r="E8" s="9">
        <f ca="1">data_VRC_DCF_9535[[#This Row],[Rpcb]]-data_VRC_DCF_9535[[#This Row],[Rsonde]]</f>
        <v>1.004709420803465</v>
      </c>
      <c r="F8" s="4">
        <f ca="1">data_VRC_DCF_9535[[#This Row],[Diff R]]/data_VRC_DCF_9535[[#This Row],[Rsonde]]</f>
        <v>5.5693572264309504E-4</v>
      </c>
      <c r="G8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8" s="9" cm="1">
        <f t="array" aca="1" ref="H8" ca="1">MAX(IF(ResValuesR24&lt;=ROUND(data_VRC_DCF_9535[[#This Row],[Rsonde]],2)-IF(data_VRC_DCF_9535[[#This Row],[Rsonde]]=MIN(data_VRC_DCF_9535[Rsonde]),100,$D9),ResValuesR24))</f>
        <v>33</v>
      </c>
      <c r="I8" s="9">
        <f ca="1">ROUND(data_VRC_DCF_9535[[#This Row],[RaddLow]]+(IF(data_VRC_DCF_9535[[#This Row],[Rsonde]]=MIN(data_VRC_DCF_9535[Rsonde]),0,$D9)-data_VRC_DCF_9535[[#This Row],[Rsonde]]),2)</f>
        <v>-2</v>
      </c>
      <c r="J8" s="9" cm="1">
        <f t="array" aca="1" ref="J8" ca="1">MIN(IF(ResValuesR24&gt;=ROUND(data_VRC_DCF_9535[[#This Row],[Rsonde]],2)-IF(data_VRC_DCF_9535[[#This Row],[Rsonde]]=MIN(data_VRC_DCF_9535[Rsonde]),100,$D9),ResValuesR24))</f>
        <v>36</v>
      </c>
      <c r="K8" s="9">
        <f ca="1">ROUND(data_VRC_DCF_9535[[#This Row],[RaddHigh]]+(IF(data_VRC_DCF_9535[[#This Row],[Rsonde]]=MIN(data_VRC_DCF_9535[Rsonde]),0,$D9)-data_VRC_DCF_9535[[#This Row],[Rsonde]]),2)</f>
        <v>1</v>
      </c>
      <c r="L8" s="2" cm="1">
        <f t="array" aca="1" ref="L8" ca="1">IF(INDIRECT(RefCell_R77),(data_VRC_DCF_9535[[#This Row],[Rpcb]]*INDIRECT(RefCell_R77))/(data_VRC_DCF_9535[[#This Row],[Rpcb]]+INDIRECT(RefCell_R77)),data_VRC_DCF_9535[[#This Row],[Rpcb]])</f>
        <v>1805</v>
      </c>
      <c r="N8" s="35" t="s">
        <v>129</v>
      </c>
      <c r="O8">
        <f t="shared" ref="O8" si="2">O10/O9</f>
        <v>2.3829316051969452E-5</v>
      </c>
    </row>
    <row r="9" spans="1:17" x14ac:dyDescent="0.25">
      <c r="A9" t="s">
        <v>42</v>
      </c>
      <c r="B9" s="8">
        <v>-6</v>
      </c>
      <c r="C9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1767.8438909314689</v>
      </c>
      <c r="D9" s="9" cm="1">
        <f t="array" aca="1" ref="D9" ca="1">INDIRECT(RefCell_Rpot)+SUM(G9:G$34)</f>
        <v>1769</v>
      </c>
      <c r="E9" s="9">
        <f ca="1">data_VRC_DCF_9535[[#This Row],[Rpcb]]-data_VRC_DCF_9535[[#This Row],[Rsonde]]</f>
        <v>1.1561090685311228</v>
      </c>
      <c r="F9" s="4">
        <f ca="1">data_VRC_DCF_9535[[#This Row],[Diff R]]/data_VRC_DCF_9535[[#This Row],[Rsonde]]</f>
        <v>6.5396558738112004E-4</v>
      </c>
      <c r="G9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39</v>
      </c>
      <c r="H9" s="9" cm="1">
        <f t="array" aca="1" ref="H9" ca="1">MAX(IF(ResValuesR24&lt;=ROUND(data_VRC_DCF_9535[[#This Row],[Rsonde]],2)-IF(data_VRC_DCF_9535[[#This Row],[Rsonde]]=MIN(data_VRC_DCF_9535[Rsonde]),100,$D10),ResValuesR24))</f>
        <v>36</v>
      </c>
      <c r="I9" s="9">
        <f ca="1">ROUND(data_VRC_DCF_9535[[#This Row],[RaddLow]]+(IF(data_VRC_DCF_9535[[#This Row],[Rsonde]]=MIN(data_VRC_DCF_9535[Rsonde]),0,$D10)-data_VRC_DCF_9535[[#This Row],[Rsonde]]),2)</f>
        <v>-1.84</v>
      </c>
      <c r="J9" s="9" cm="1">
        <f t="array" aca="1" ref="J9" ca="1">MIN(IF(ResValuesR24&gt;=ROUND(data_VRC_DCF_9535[[#This Row],[Rsonde]],2)-IF(data_VRC_DCF_9535[[#This Row],[Rsonde]]=MIN(data_VRC_DCF_9535[Rsonde]),100,$D10),ResValuesR24))</f>
        <v>39</v>
      </c>
      <c r="K9" s="9">
        <f ca="1">ROUND(data_VRC_DCF_9535[[#This Row],[RaddHigh]]+(IF(data_VRC_DCF_9535[[#This Row],[Rsonde]]=MIN(data_VRC_DCF_9535[Rsonde]),0,$D10)-data_VRC_DCF_9535[[#This Row],[Rsonde]]),2)</f>
        <v>1.1599999999999999</v>
      </c>
      <c r="L9" s="2" cm="1">
        <f t="array" aca="1" ref="L9" ca="1">IF(INDIRECT(RefCell_R77),(data_VRC_DCF_9535[[#This Row],[Rpcb]]*INDIRECT(RefCell_R77))/(data_VRC_DCF_9535[[#This Row],[Rpcb]]+INDIRECT(RefCell_R77)),data_VRC_DCF_9535[[#This Row],[Rpcb]])</f>
        <v>1769</v>
      </c>
      <c r="N9" s="3" t="s">
        <v>181</v>
      </c>
      <c r="O9">
        <f t="shared" ref="O9" si="3">(O12-O13)/(O11-O12) * (O12^3-O11^3) + (O12^3-O13^3)</f>
        <v>-6.1961965356881024</v>
      </c>
    </row>
    <row r="10" spans="1:17" x14ac:dyDescent="0.25">
      <c r="A10" t="s">
        <v>41</v>
      </c>
      <c r="B10" s="8">
        <v>-4.5</v>
      </c>
      <c r="C10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1731.2766368581892</v>
      </c>
      <c r="D10" s="9" cm="1">
        <f t="array" aca="1" ref="D10" ca="1">INDIRECT(RefCell_Rpot)+SUM(G10:G$34)</f>
        <v>1730</v>
      </c>
      <c r="E10" s="9">
        <f ca="1">data_VRC_DCF_9535[[#This Row],[Rpcb]]-data_VRC_DCF_9535[[#This Row],[Rsonde]]</f>
        <v>-1.2766368581892493</v>
      </c>
      <c r="F10" s="4">
        <f ca="1">data_VRC_DCF_9535[[#This Row],[Diff R]]/data_VRC_DCF_9535[[#This Row],[Rsonde]]</f>
        <v>-7.3739622600464867E-4</v>
      </c>
      <c r="G10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10" s="9" cm="1">
        <f t="array" aca="1" ref="H10" ca="1">MAX(IF(ResValuesR24&lt;=ROUND(data_VRC_DCF_9535[[#This Row],[Rsonde]],2)-IF(data_VRC_DCF_9535[[#This Row],[Rsonde]]=MIN(data_VRC_DCF_9535[Rsonde]),100,$D11),ResValuesR24))</f>
        <v>36</v>
      </c>
      <c r="I10" s="9">
        <f ca="1">ROUND(data_VRC_DCF_9535[[#This Row],[RaddLow]]+(IF(data_VRC_DCF_9535[[#This Row],[Rsonde]]=MIN(data_VRC_DCF_9535[Rsonde]),0,$D11)-data_VRC_DCF_9535[[#This Row],[Rsonde]]),2)</f>
        <v>-1.28</v>
      </c>
      <c r="J10" s="9" cm="1">
        <f t="array" aca="1" ref="J10" ca="1">MIN(IF(ResValuesR24&gt;=ROUND(data_VRC_DCF_9535[[#This Row],[Rsonde]],2)-IF(data_VRC_DCF_9535[[#This Row],[Rsonde]]=MIN(data_VRC_DCF_9535[Rsonde]),100,$D11),ResValuesR24))</f>
        <v>39</v>
      </c>
      <c r="K10" s="9">
        <f ca="1">ROUND(data_VRC_DCF_9535[[#This Row],[RaddHigh]]+(IF(data_VRC_DCF_9535[[#This Row],[Rsonde]]=MIN(data_VRC_DCF_9535[Rsonde]),0,$D11)-data_VRC_DCF_9535[[#This Row],[Rsonde]]),2)</f>
        <v>1.72</v>
      </c>
      <c r="L10" s="2" cm="1">
        <f t="array" aca="1" ref="L10" ca="1">IF(INDIRECT(RefCell_R77),(data_VRC_DCF_9535[[#This Row],[Rpcb]]*INDIRECT(RefCell_R77))/(data_VRC_DCF_9535[[#This Row],[Rpcb]]+INDIRECT(RefCell_R77)),data_VRC_DCF_9535[[#This Row],[Rpcb]])</f>
        <v>1730</v>
      </c>
      <c r="N10" s="3" t="s">
        <v>182</v>
      </c>
      <c r="O10">
        <f t="shared" ref="O10" si="4">O15 - O16 - ( (O12-O13)/(O11-O12) ) * (O14-O15)</f>
        <v>-1.4765112556903E-4</v>
      </c>
    </row>
    <row r="11" spans="1:17" x14ac:dyDescent="0.25">
      <c r="A11" t="s">
        <v>40</v>
      </c>
      <c r="B11" s="8">
        <v>-3</v>
      </c>
      <c r="C11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1694.3550160803311</v>
      </c>
      <c r="D11" s="9" cm="1">
        <f t="array" aca="1" ref="D11" ca="1">INDIRECT(RefCell_Rpot)+SUM(G11:G$34)</f>
        <v>1694</v>
      </c>
      <c r="E11" s="9">
        <f ca="1">data_VRC_DCF_9535[[#This Row],[Rpcb]]-data_VRC_DCF_9535[[#This Row],[Rsonde]]</f>
        <v>-0.35501608033109733</v>
      </c>
      <c r="F11" s="4">
        <f ca="1">data_VRC_DCF_9535[[#This Row],[Diff R]]/data_VRC_DCF_9535[[#This Row],[Rsonde]]</f>
        <v>-2.0952874513416949E-4</v>
      </c>
      <c r="G11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11" s="9" cm="1">
        <f t="array" aca="1" ref="H11" ca="1">MAX(IF(ResValuesR24&lt;=ROUND(data_VRC_DCF_9535[[#This Row],[Rsonde]],2)-IF(data_VRC_DCF_9535[[#This Row],[Rsonde]]=MIN(data_VRC_DCF_9535[Rsonde]),100,$D12),ResValuesR24))</f>
        <v>36</v>
      </c>
      <c r="I11" s="9">
        <f ca="1">ROUND(data_VRC_DCF_9535[[#This Row],[RaddLow]]+(IF(data_VRC_DCF_9535[[#This Row],[Rsonde]]=MIN(data_VRC_DCF_9535[Rsonde]),0,$D12)-data_VRC_DCF_9535[[#This Row],[Rsonde]]),2)</f>
        <v>-0.36</v>
      </c>
      <c r="J11" s="9" cm="1">
        <f t="array" aca="1" ref="J11" ca="1">MIN(IF(ResValuesR24&gt;=ROUND(data_VRC_DCF_9535[[#This Row],[Rsonde]],2)-IF(data_VRC_DCF_9535[[#This Row],[Rsonde]]=MIN(data_VRC_DCF_9535[Rsonde]),100,$D12),ResValuesR24))</f>
        <v>39</v>
      </c>
      <c r="K11" s="9">
        <f ca="1">ROUND(data_VRC_DCF_9535[[#This Row],[RaddHigh]]+(IF(data_VRC_DCF_9535[[#This Row],[Rsonde]]=MIN(data_VRC_DCF_9535[Rsonde]),0,$D12)-data_VRC_DCF_9535[[#This Row],[Rsonde]]),2)</f>
        <v>2.64</v>
      </c>
      <c r="L11" s="2" cm="1">
        <f t="array" aca="1" ref="L11" ca="1">IF(INDIRECT(RefCell_R77),(data_VRC_DCF_9535[[#This Row],[Rpcb]]*INDIRECT(RefCell_R77))/(data_VRC_DCF_9535[[#This Row],[Rpcb]]+INDIRECT(RefCell_R77)),data_VRC_DCF_9535[[#This Row],[Rpcb]])</f>
        <v>1694</v>
      </c>
      <c r="N11" s="3" t="s">
        <v>178</v>
      </c>
      <c r="O11">
        <f>LN(C3)</f>
        <v>7.5886535989994526</v>
      </c>
    </row>
    <row r="12" spans="1:17" x14ac:dyDescent="0.25">
      <c r="A12" t="s">
        <v>39</v>
      </c>
      <c r="B12" s="8">
        <v>-1.5</v>
      </c>
      <c r="C12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1657.1358395639247</v>
      </c>
      <c r="D12" s="9" cm="1">
        <f t="array" aca="1" ref="D12" ca="1">INDIRECT(RefCell_Rpot)+SUM(G12:G$34)</f>
        <v>1658</v>
      </c>
      <c r="E12" s="9">
        <f ca="1">data_VRC_DCF_9535[[#This Row],[Rpcb]]-data_VRC_DCF_9535[[#This Row],[Rsonde]]</f>
        <v>0.86416043607528081</v>
      </c>
      <c r="F12" s="4">
        <f ca="1">data_VRC_DCF_9535[[#This Row],[Diff R]]/data_VRC_DCF_9535[[#This Row],[Rsonde]]</f>
        <v>5.2147833354608075E-4</v>
      </c>
      <c r="G12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39</v>
      </c>
      <c r="H12" s="9" cm="1">
        <f t="array" aca="1" ref="H12" ca="1">MAX(IF(ResValuesR24&lt;=ROUND(data_VRC_DCF_9535[[#This Row],[Rsonde]],2)-IF(data_VRC_DCF_9535[[#This Row],[Rsonde]]=MIN(data_VRC_DCF_9535[Rsonde]),100,$D13),ResValuesR24))</f>
        <v>36</v>
      </c>
      <c r="I12" s="9">
        <f ca="1">ROUND(data_VRC_DCF_9535[[#This Row],[RaddLow]]+(IF(data_VRC_DCF_9535[[#This Row],[Rsonde]]=MIN(data_VRC_DCF_9535[Rsonde]),0,$D13)-data_VRC_DCF_9535[[#This Row],[Rsonde]]),2)</f>
        <v>-2.14</v>
      </c>
      <c r="J12" s="9" cm="1">
        <f t="array" aca="1" ref="J12" ca="1">MIN(IF(ResValuesR24&gt;=ROUND(data_VRC_DCF_9535[[#This Row],[Rsonde]],2)-IF(data_VRC_DCF_9535[[#This Row],[Rsonde]]=MIN(data_VRC_DCF_9535[Rsonde]),100,$D13),ResValuesR24))</f>
        <v>39</v>
      </c>
      <c r="K12" s="9">
        <f ca="1">ROUND(data_VRC_DCF_9535[[#This Row],[RaddHigh]]+(IF(data_VRC_DCF_9535[[#This Row],[Rsonde]]=MIN(data_VRC_DCF_9535[Rsonde]),0,$D13)-data_VRC_DCF_9535[[#This Row],[Rsonde]]),2)</f>
        <v>0.86</v>
      </c>
      <c r="L12" s="2" cm="1">
        <f t="array" aca="1" ref="L12" ca="1">IF(INDIRECT(RefCell_R77),(data_VRC_DCF_9535[[#This Row],[Rpcb]]*INDIRECT(RefCell_R77))/(data_VRC_DCF_9535[[#This Row],[Rpcb]]+INDIRECT(RefCell_R77)),data_VRC_DCF_9535[[#This Row],[Rpcb]])</f>
        <v>1658</v>
      </c>
      <c r="N12" s="3" t="s">
        <v>179</v>
      </c>
      <c r="O12">
        <f>LN(C17)</f>
        <v>7.2920050152058824</v>
      </c>
    </row>
    <row r="13" spans="1:17" x14ac:dyDescent="0.25">
      <c r="A13" t="s">
        <v>38</v>
      </c>
      <c r="B13" s="8">
        <v>0</v>
      </c>
      <c r="C13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1619.6736668903854</v>
      </c>
      <c r="D13" s="9" cm="1">
        <f t="array" aca="1" ref="D13" ca="1">INDIRECT(RefCell_Rpot)+SUM(G13:G$34)</f>
        <v>1619</v>
      </c>
      <c r="E13" s="9">
        <f ca="1">data_VRC_DCF_9535[[#This Row],[Rpcb]]-data_VRC_DCF_9535[[#This Row],[Rsonde]]</f>
        <v>-0.67366689038544791</v>
      </c>
      <c r="F13" s="4">
        <f ca="1">data_VRC_DCF_9535[[#This Row],[Diff R]]/data_VRC_DCF_9535[[#This Row],[Rsonde]]</f>
        <v>-4.1592754402114982E-4</v>
      </c>
      <c r="G13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13" s="9" cm="1">
        <f t="array" aca="1" ref="H13" ca="1">MAX(IF(ResValuesR24&lt;=ROUND(data_VRC_DCF_9535[[#This Row],[Rsonde]],2)-IF(data_VRC_DCF_9535[[#This Row],[Rsonde]]=MIN(data_VRC_DCF_9535[Rsonde]),100,$D14),ResValuesR24))</f>
        <v>36</v>
      </c>
      <c r="I13" s="9">
        <f ca="1">ROUND(data_VRC_DCF_9535[[#This Row],[RaddLow]]+(IF(data_VRC_DCF_9535[[#This Row],[Rsonde]]=MIN(data_VRC_DCF_9535[Rsonde]),0,$D14)-data_VRC_DCF_9535[[#This Row],[Rsonde]]),2)</f>
        <v>-0.67</v>
      </c>
      <c r="J13" s="9" cm="1">
        <f t="array" aca="1" ref="J13" ca="1">MIN(IF(ResValuesR24&gt;=ROUND(data_VRC_DCF_9535[[#This Row],[Rsonde]],2)-IF(data_VRC_DCF_9535[[#This Row],[Rsonde]]=MIN(data_VRC_DCF_9535[Rsonde]),100,$D14),ResValuesR24))</f>
        <v>39</v>
      </c>
      <c r="K13" s="9">
        <f ca="1">ROUND(data_VRC_DCF_9535[[#This Row],[RaddHigh]]+(IF(data_VRC_DCF_9535[[#This Row],[Rsonde]]=MIN(data_VRC_DCF_9535[Rsonde]),0,$D14)-data_VRC_DCF_9535[[#This Row],[Rsonde]]),2)</f>
        <v>2.33</v>
      </c>
      <c r="L13" s="2" cm="1">
        <f t="array" aca="1" ref="L13" ca="1">IF(INDIRECT(RefCell_R77),(data_VRC_DCF_9535[[#This Row],[Rpcb]]*INDIRECT(RefCell_R77))/(data_VRC_DCF_9535[[#This Row],[Rpcb]]+INDIRECT(RefCell_R77)),data_VRC_DCF_9535[[#This Row],[Rpcb]])</f>
        <v>1619</v>
      </c>
      <c r="N13" s="3" t="s">
        <v>180</v>
      </c>
      <c r="O13">
        <f>LN(C31)</f>
        <v>6.886562834696309</v>
      </c>
    </row>
    <row r="14" spans="1:17" x14ac:dyDescent="0.25">
      <c r="A14" t="s">
        <v>37</v>
      </c>
      <c r="B14" s="8">
        <v>1.5</v>
      </c>
      <c r="C14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1582.0228614844252</v>
      </c>
      <c r="D14" s="9" cm="1">
        <f t="array" aca="1" ref="D14" ca="1">INDIRECT(RefCell_Rpot)+SUM(G14:G$34)</f>
        <v>1583</v>
      </c>
      <c r="E14" s="9">
        <f ca="1">data_VRC_DCF_9535[[#This Row],[Rpcb]]-data_VRC_DCF_9535[[#This Row],[Rsonde]]</f>
        <v>0.97713851557477938</v>
      </c>
      <c r="F14" s="4">
        <f ca="1">data_VRC_DCF_9535[[#This Row],[Diff R]]/data_VRC_DCF_9535[[#This Row],[Rsonde]]</f>
        <v>6.1765132436703354E-4</v>
      </c>
      <c r="G14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39</v>
      </c>
      <c r="H14" s="9" cm="1">
        <f t="array" aca="1" ref="H14" ca="1">MAX(IF(ResValuesR24&lt;=ROUND(data_VRC_DCF_9535[[#This Row],[Rsonde]],2)-IF(data_VRC_DCF_9535[[#This Row],[Rsonde]]=MIN(data_VRC_DCF_9535[Rsonde]),100,$D15),ResValuesR24))</f>
        <v>36</v>
      </c>
      <c r="I14" s="9">
        <f ca="1">ROUND(data_VRC_DCF_9535[[#This Row],[RaddLow]]+(IF(data_VRC_DCF_9535[[#This Row],[Rsonde]]=MIN(data_VRC_DCF_9535[Rsonde]),0,$D15)-data_VRC_DCF_9535[[#This Row],[Rsonde]]),2)</f>
        <v>-2.02</v>
      </c>
      <c r="J14" s="9" cm="1">
        <f t="array" aca="1" ref="J14" ca="1">MIN(IF(ResValuesR24&gt;=ROUND(data_VRC_DCF_9535[[#This Row],[Rsonde]],2)-IF(data_VRC_DCF_9535[[#This Row],[Rsonde]]=MIN(data_VRC_DCF_9535[Rsonde]),100,$D15),ResValuesR24))</f>
        <v>39</v>
      </c>
      <c r="K14" s="9">
        <f ca="1">ROUND(data_VRC_DCF_9535[[#This Row],[RaddHigh]]+(IF(data_VRC_DCF_9535[[#This Row],[Rsonde]]=MIN(data_VRC_DCF_9535[Rsonde]),0,$D15)-data_VRC_DCF_9535[[#This Row],[Rsonde]]),2)</f>
        <v>0.98</v>
      </c>
      <c r="L14" s="2" cm="1">
        <f t="array" aca="1" ref="L14" ca="1">IF(INDIRECT(RefCell_R77),(data_VRC_DCF_9535[[#This Row],[Rpcb]]*INDIRECT(RefCell_R77))/(data_VRC_DCF_9535[[#This Row],[Rpcb]]+INDIRECT(RefCell_R77)),data_VRC_DCF_9535[[#This Row],[Rpcb]])</f>
        <v>1583</v>
      </c>
      <c r="N14" s="3" t="s">
        <v>175</v>
      </c>
      <c r="O14">
        <f>1/(B3+273.15)</f>
        <v>3.8737168312996321E-3</v>
      </c>
    </row>
    <row r="15" spans="1:17" x14ac:dyDescent="0.25">
      <c r="A15" t="s">
        <v>36</v>
      </c>
      <c r="B15" s="8">
        <v>3</v>
      </c>
      <c r="C15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1544.2392756995482</v>
      </c>
      <c r="D15" s="9" cm="1">
        <f t="array" aca="1" ref="D15" ca="1">INDIRECT(RefCell_Rpot)+SUM(G15:G$34)</f>
        <v>1544</v>
      </c>
      <c r="E15" s="9">
        <f ca="1">data_VRC_DCF_9535[[#This Row],[Rpcb]]-data_VRC_DCF_9535[[#This Row],[Rsonde]]</f>
        <v>-0.23927569954821593</v>
      </c>
      <c r="F15" s="4">
        <f ca="1">data_VRC_DCF_9535[[#This Row],[Diff R]]/data_VRC_DCF_9535[[#This Row],[Rsonde]]</f>
        <v>-1.5494729561247743E-4</v>
      </c>
      <c r="G15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39</v>
      </c>
      <c r="H15" s="9" cm="1">
        <f t="array" aca="1" ref="H15" ca="1">MAX(IF(ResValuesR24&lt;=ROUND(data_VRC_DCF_9535[[#This Row],[Rsonde]],2)-IF(data_VRC_DCF_9535[[#This Row],[Rsonde]]=MIN(data_VRC_DCF_9535[Rsonde]),100,$D16),ResValuesR24))</f>
        <v>39</v>
      </c>
      <c r="I15" s="9">
        <f ca="1">ROUND(data_VRC_DCF_9535[[#This Row],[RaddLow]]+(IF(data_VRC_DCF_9535[[#This Row],[Rsonde]]=MIN(data_VRC_DCF_9535[Rsonde]),0,$D16)-data_VRC_DCF_9535[[#This Row],[Rsonde]]),2)</f>
        <v>-0.24</v>
      </c>
      <c r="J15" s="9" cm="1">
        <f t="array" aca="1" ref="J15" ca="1">MIN(IF(ResValuesR24&gt;=ROUND(data_VRC_DCF_9535[[#This Row],[Rsonde]],2)-IF(data_VRC_DCF_9535[[#This Row],[Rsonde]]=MIN(data_VRC_DCF_9535[Rsonde]),100,$D16),ResValuesR24))</f>
        <v>43</v>
      </c>
      <c r="K15" s="9">
        <f ca="1">ROUND(data_VRC_DCF_9535[[#This Row],[RaddHigh]]+(IF(data_VRC_DCF_9535[[#This Row],[Rsonde]]=MIN(data_VRC_DCF_9535[Rsonde]),0,$D16)-data_VRC_DCF_9535[[#This Row],[Rsonde]]),2)</f>
        <v>3.76</v>
      </c>
      <c r="L15" s="2" cm="1">
        <f t="array" aca="1" ref="L15" ca="1">IF(INDIRECT(RefCell_R77),(data_VRC_DCF_9535[[#This Row],[Rpcb]]*INDIRECT(RefCell_R77))/(data_VRC_DCF_9535[[#This Row],[Rpcb]]+INDIRECT(RefCell_R77)),data_VRC_DCF_9535[[#This Row],[Rpcb]])</f>
        <v>1544</v>
      </c>
      <c r="N15" s="3" t="s">
        <v>176</v>
      </c>
      <c r="O15">
        <f>1/(B17+273.15)</f>
        <v>3.5823034210997673E-3</v>
      </c>
    </row>
    <row r="16" spans="1:17" x14ac:dyDescent="0.25">
      <c r="A16" t="s">
        <v>35</v>
      </c>
      <c r="B16" s="8">
        <v>4.5</v>
      </c>
      <c r="C16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1506.3815657611317</v>
      </c>
      <c r="D16" s="9" cm="1">
        <f t="array" aca="1" ref="D16" ca="1">INDIRECT(RefCell_Rpot)+SUM(G16:G$34)</f>
        <v>1505</v>
      </c>
      <c r="E16" s="9">
        <f ca="1">data_VRC_DCF_9535[[#This Row],[Rpcb]]-data_VRC_DCF_9535[[#This Row],[Rsonde]]</f>
        <v>-1.3815657611316965</v>
      </c>
      <c r="F16" s="4">
        <f ca="1">data_VRC_DCF_9535[[#This Row],[Diff R]]/data_VRC_DCF_9535[[#This Row],[Rsonde]]</f>
        <v>-9.1714197287964729E-4</v>
      </c>
      <c r="G16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16" s="9" cm="1">
        <f t="array" aca="1" ref="H16" ca="1">MAX(IF(ResValuesR24&lt;=ROUND(data_VRC_DCF_9535[[#This Row],[Rsonde]],2)-IF(data_VRC_DCF_9535[[#This Row],[Rsonde]]=MIN(data_VRC_DCF_9535[Rsonde]),100,$D17),ResValuesR24))</f>
        <v>36</v>
      </c>
      <c r="I16" s="9">
        <f ca="1">ROUND(data_VRC_DCF_9535[[#This Row],[RaddLow]]+(IF(data_VRC_DCF_9535[[#This Row],[Rsonde]]=MIN(data_VRC_DCF_9535[Rsonde]),0,$D17)-data_VRC_DCF_9535[[#This Row],[Rsonde]]),2)</f>
        <v>-1.38</v>
      </c>
      <c r="J16" s="9" cm="1">
        <f t="array" aca="1" ref="J16" ca="1">MIN(IF(ResValuesR24&gt;=ROUND(data_VRC_DCF_9535[[#This Row],[Rsonde]],2)-IF(data_VRC_DCF_9535[[#This Row],[Rsonde]]=MIN(data_VRC_DCF_9535[Rsonde]),100,$D17),ResValuesR24))</f>
        <v>39</v>
      </c>
      <c r="K16" s="9">
        <f ca="1">ROUND(data_VRC_DCF_9535[[#This Row],[RaddHigh]]+(IF(data_VRC_DCF_9535[[#This Row],[Rsonde]]=MIN(data_VRC_DCF_9535[Rsonde]),0,$D17)-data_VRC_DCF_9535[[#This Row],[Rsonde]]),2)</f>
        <v>1.62</v>
      </c>
      <c r="L16" s="2" cm="1">
        <f t="array" aca="1" ref="L16" ca="1">IF(INDIRECT(RefCell_R77),(data_VRC_DCF_9535[[#This Row],[Rpcb]]*INDIRECT(RefCell_R77))/(data_VRC_DCF_9535[[#This Row],[Rpcb]]+INDIRECT(RefCell_R77)),data_VRC_DCF_9535[[#This Row],[Rpcb]])</f>
        <v>1505</v>
      </c>
      <c r="N16" s="3" t="s">
        <v>177</v>
      </c>
      <c r="O16">
        <f>1/(B31+273.15)</f>
        <v>3.331667499583542E-3</v>
      </c>
    </row>
    <row r="17" spans="1:16" x14ac:dyDescent="0.25">
      <c r="A17" t="s">
        <v>34</v>
      </c>
      <c r="B17" s="8">
        <v>6</v>
      </c>
      <c r="C17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1468.5121365670964</v>
      </c>
      <c r="D17" s="9" cm="1">
        <f t="array" aca="1" ref="D17" ca="1">INDIRECT(RefCell_Rpot)+SUM(G17:G$34)</f>
        <v>1469</v>
      </c>
      <c r="E17" s="9">
        <f ca="1">data_VRC_DCF_9535[[#This Row],[Rpcb]]-data_VRC_DCF_9535[[#This Row],[Rsonde]]</f>
        <v>0.48786343290362311</v>
      </c>
      <c r="F17" s="4">
        <f ca="1">data_VRC_DCF_9535[[#This Row],[Diff R]]/data_VRC_DCF_9535[[#This Row],[Rsonde]]</f>
        <v>3.3221613955747694E-4</v>
      </c>
      <c r="G17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39</v>
      </c>
      <c r="H17" s="9" cm="1">
        <f t="array" aca="1" ref="H17" ca="1">MAX(IF(ResValuesR24&lt;=ROUND(data_VRC_DCF_9535[[#This Row],[Rsonde]],2)-IF(data_VRC_DCF_9535[[#This Row],[Rsonde]]=MIN(data_VRC_DCF_9535[Rsonde]),100,$D18),ResValuesR24))</f>
        <v>36</v>
      </c>
      <c r="I17" s="9">
        <f ca="1">ROUND(data_VRC_DCF_9535[[#This Row],[RaddLow]]+(IF(data_VRC_DCF_9535[[#This Row],[Rsonde]]=MIN(data_VRC_DCF_9535[Rsonde]),0,$D18)-data_VRC_DCF_9535[[#This Row],[Rsonde]]),2)</f>
        <v>-2.5099999999999998</v>
      </c>
      <c r="J17" s="9" cm="1">
        <f t="array" aca="1" ref="J17" ca="1">MIN(IF(ResValuesR24&gt;=ROUND(data_VRC_DCF_9535[[#This Row],[Rsonde]],2)-IF(data_VRC_DCF_9535[[#This Row],[Rsonde]]=MIN(data_VRC_DCF_9535[Rsonde]),100,$D18),ResValuesR24))</f>
        <v>39</v>
      </c>
      <c r="K17" s="9">
        <f ca="1">ROUND(data_VRC_DCF_9535[[#This Row],[RaddHigh]]+(IF(data_VRC_DCF_9535[[#This Row],[Rsonde]]=MIN(data_VRC_DCF_9535[Rsonde]),0,$D18)-data_VRC_DCF_9535[[#This Row],[Rsonde]]),2)</f>
        <v>0.49</v>
      </c>
      <c r="L17" s="2" cm="1">
        <f t="array" aca="1" ref="L17" ca="1">IF(INDIRECT(RefCell_R77),(data_VRC_DCF_9535[[#This Row],[Rpcb]]*INDIRECT(RefCell_R77))/(data_VRC_DCF_9535[[#This Row],[Rpcb]]+INDIRECT(RefCell_R77)),data_VRC_DCF_9535[[#This Row],[Rpcb]])</f>
        <v>1469</v>
      </c>
    </row>
    <row r="18" spans="1:16" x14ac:dyDescent="0.25">
      <c r="A18" t="s">
        <v>33</v>
      </c>
      <c r="B18" s="8">
        <v>7.5</v>
      </c>
      <c r="C18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1430.6977163461538</v>
      </c>
      <c r="D18" s="9" cm="1">
        <f t="array" aca="1" ref="D18" ca="1">INDIRECT(RefCell_Rpot)+SUM(G18:G$34)</f>
        <v>1430</v>
      </c>
      <c r="E18" s="9">
        <f ca="1">data_VRC_DCF_9535[[#This Row],[Rpcb]]-data_VRC_DCF_9535[[#This Row],[Rsonde]]</f>
        <v>-0.69771634615381117</v>
      </c>
      <c r="F18" s="4">
        <f ca="1">data_VRC_DCF_9535[[#This Row],[Diff R]]/data_VRC_DCF_9535[[#This Row],[Rsonde]]</f>
        <v>-4.8767558526318386E-4</v>
      </c>
      <c r="G18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18" s="9" cm="1">
        <f t="array" aca="1" ref="H18" ca="1">MAX(IF(ResValuesR24&lt;=ROUND(data_VRC_DCF_9535[[#This Row],[Rsonde]],2)-IF(data_VRC_DCF_9535[[#This Row],[Rsonde]]=MIN(data_VRC_DCF_9535[Rsonde]),100,$D19),ResValuesR24))</f>
        <v>36</v>
      </c>
      <c r="I18" s="9">
        <f ca="1">ROUND(data_VRC_DCF_9535[[#This Row],[RaddLow]]+(IF(data_VRC_DCF_9535[[#This Row],[Rsonde]]=MIN(data_VRC_DCF_9535[Rsonde]),0,$D19)-data_VRC_DCF_9535[[#This Row],[Rsonde]]),2)</f>
        <v>-0.7</v>
      </c>
      <c r="J18" s="9" cm="1">
        <f t="array" aca="1" ref="J18" ca="1">MIN(IF(ResValuesR24&gt;=ROUND(data_VRC_DCF_9535[[#This Row],[Rsonde]],2)-IF(data_VRC_DCF_9535[[#This Row],[Rsonde]]=MIN(data_VRC_DCF_9535[Rsonde]),100,$D19),ResValuesR24))</f>
        <v>39</v>
      </c>
      <c r="K18" s="9">
        <f ca="1">ROUND(data_VRC_DCF_9535[[#This Row],[RaddHigh]]+(IF(data_VRC_DCF_9535[[#This Row],[Rsonde]]=MIN(data_VRC_DCF_9535[Rsonde]),0,$D19)-data_VRC_DCF_9535[[#This Row],[Rsonde]]),2)</f>
        <v>2.2999999999999998</v>
      </c>
      <c r="L18" s="2" cm="1">
        <f t="array" aca="1" ref="L18" ca="1">IF(INDIRECT(RefCell_R77),(data_VRC_DCF_9535[[#This Row],[Rpcb]]*INDIRECT(RefCell_R77))/(data_VRC_DCF_9535[[#This Row],[Rpcb]]+INDIRECT(RefCell_R77)),data_VRC_DCF_9535[[#This Row],[Rpcb]])</f>
        <v>1430</v>
      </c>
    </row>
    <row r="19" spans="1:16" x14ac:dyDescent="0.25">
      <c r="A19" t="s">
        <v>32</v>
      </c>
      <c r="B19" s="8">
        <v>9</v>
      </c>
      <c r="C19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1393.0095611736476</v>
      </c>
      <c r="D19" s="9" cm="1">
        <f t="array" aca="1" ref="D19" ca="1">INDIRECT(RefCell_Rpot)+SUM(G19:G$34)</f>
        <v>1394</v>
      </c>
      <c r="E19" s="9">
        <f ca="1">data_VRC_DCF_9535[[#This Row],[Rpcb]]-data_VRC_DCF_9535[[#This Row],[Rsonde]]</f>
        <v>0.99043882635237424</v>
      </c>
      <c r="F19" s="4">
        <f ca="1">data_VRC_DCF_9535[[#This Row],[Diff R]]/data_VRC_DCF_9535[[#This Row],[Rsonde]]</f>
        <v>7.110064811887602E-4</v>
      </c>
      <c r="G19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39</v>
      </c>
      <c r="H19" s="9" cm="1">
        <f t="array" aca="1" ref="H19" ca="1">MAX(IF(ResValuesR24&lt;=ROUND(data_VRC_DCF_9535[[#This Row],[Rsonde]],2)-IF(data_VRC_DCF_9535[[#This Row],[Rsonde]]=MIN(data_VRC_DCF_9535[Rsonde]),100,$D20),ResValuesR24))</f>
        <v>36</v>
      </c>
      <c r="I19" s="9">
        <f ca="1">ROUND(data_VRC_DCF_9535[[#This Row],[RaddLow]]+(IF(data_VRC_DCF_9535[[#This Row],[Rsonde]]=MIN(data_VRC_DCF_9535[Rsonde]),0,$D20)-data_VRC_DCF_9535[[#This Row],[Rsonde]]),2)</f>
        <v>-2.0099999999999998</v>
      </c>
      <c r="J19" s="9" cm="1">
        <f t="array" aca="1" ref="J19" ca="1">MIN(IF(ResValuesR24&gt;=ROUND(data_VRC_DCF_9535[[#This Row],[Rsonde]],2)-IF(data_VRC_DCF_9535[[#This Row],[Rsonde]]=MIN(data_VRC_DCF_9535[Rsonde]),100,$D20),ResValuesR24))</f>
        <v>39</v>
      </c>
      <c r="K19" s="9">
        <f ca="1">ROUND(data_VRC_DCF_9535[[#This Row],[RaddHigh]]+(IF(data_VRC_DCF_9535[[#This Row],[Rsonde]]=MIN(data_VRC_DCF_9535[Rsonde]),0,$D20)-data_VRC_DCF_9535[[#This Row],[Rsonde]]),2)</f>
        <v>0.99</v>
      </c>
      <c r="L19" s="2" cm="1">
        <f t="array" aca="1" ref="L19" ca="1">IF(INDIRECT(RefCell_R77),(data_VRC_DCF_9535[[#This Row],[Rpcb]]*INDIRECT(RefCell_R77))/(data_VRC_DCF_9535[[#This Row],[Rpcb]]+INDIRECT(RefCell_R77)),data_VRC_DCF_9535[[#This Row],[Rpcb]])</f>
        <v>1394</v>
      </c>
    </row>
    <row r="20" spans="1:16" x14ac:dyDescent="0.25">
      <c r="A20" t="s">
        <v>31</v>
      </c>
      <c r="B20" s="8">
        <v>10.5</v>
      </c>
      <c r="C20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1355.523289344972</v>
      </c>
      <c r="D20" s="9" cm="1">
        <f t="array" aca="1" ref="D20" ca="1">INDIRECT(RefCell_Rpot)+SUM(G20:G$34)</f>
        <v>1355</v>
      </c>
      <c r="E20" s="9">
        <f ca="1">data_VRC_DCF_9535[[#This Row],[Rpcb]]-data_VRC_DCF_9535[[#This Row],[Rsonde]]</f>
        <v>-0.52328934497199953</v>
      </c>
      <c r="F20" s="4">
        <f ca="1">data_VRC_DCF_9535[[#This Row],[Diff R]]/data_VRC_DCF_9535[[#This Row],[Rsonde]]</f>
        <v>-3.8604231228285871E-4</v>
      </c>
      <c r="G20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20" s="9" cm="1">
        <f t="array" aca="1" ref="H20" ca="1">MAX(IF(ResValuesR24&lt;=ROUND(data_VRC_DCF_9535[[#This Row],[Rsonde]],2)-IF(data_VRC_DCF_9535[[#This Row],[Rsonde]]=MIN(data_VRC_DCF_9535[Rsonde]),100,$D21),ResValuesR24))</f>
        <v>36</v>
      </c>
      <c r="I20" s="9">
        <f ca="1">ROUND(data_VRC_DCF_9535[[#This Row],[RaddLow]]+(IF(data_VRC_DCF_9535[[#This Row],[Rsonde]]=MIN(data_VRC_DCF_9535[Rsonde]),0,$D21)-data_VRC_DCF_9535[[#This Row],[Rsonde]]),2)</f>
        <v>-0.52</v>
      </c>
      <c r="J20" s="9" cm="1">
        <f t="array" aca="1" ref="J20" ca="1">MIN(IF(ResValuesR24&gt;=ROUND(data_VRC_DCF_9535[[#This Row],[Rsonde]],2)-IF(data_VRC_DCF_9535[[#This Row],[Rsonde]]=MIN(data_VRC_DCF_9535[Rsonde]),100,$D21),ResValuesR24))</f>
        <v>39</v>
      </c>
      <c r="K20" s="9">
        <f ca="1">ROUND(data_VRC_DCF_9535[[#This Row],[RaddHigh]]+(IF(data_VRC_DCF_9535[[#This Row],[Rsonde]]=MIN(data_VRC_DCF_9535[Rsonde]),0,$D21)-data_VRC_DCF_9535[[#This Row],[Rsonde]]),2)</f>
        <v>2.48</v>
      </c>
      <c r="L20" s="2" cm="1">
        <f t="array" aca="1" ref="L20" ca="1">IF(INDIRECT(RefCell_R77),(data_VRC_DCF_9535[[#This Row],[Rpcb]]*INDIRECT(RefCell_R77))/(data_VRC_DCF_9535[[#This Row],[Rpcb]]+INDIRECT(RefCell_R77)),data_VRC_DCF_9535[[#This Row],[Rpcb]])</f>
        <v>1355</v>
      </c>
    </row>
    <row r="21" spans="1:16" x14ac:dyDescent="0.25">
      <c r="A21" t="s">
        <v>30</v>
      </c>
      <c r="B21" s="8">
        <v>12</v>
      </c>
      <c r="C21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1318.3183456065817</v>
      </c>
      <c r="D21" s="9" cm="1">
        <f t="array" aca="1" ref="D21" ca="1">INDIRECT(RefCell_Rpot)+SUM(G21:G$34)</f>
        <v>1319</v>
      </c>
      <c r="E21" s="9">
        <f ca="1">data_VRC_DCF_9535[[#This Row],[Rpcb]]-data_VRC_DCF_9535[[#This Row],[Rsonde]]</f>
        <v>0.6816543934182846</v>
      </c>
      <c r="F21" s="4">
        <f ca="1">data_VRC_DCF_9535[[#This Row],[Diff R]]/data_VRC_DCF_9535[[#This Row],[Rsonde]]</f>
        <v>5.1706357245953616E-4</v>
      </c>
      <c r="G21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39</v>
      </c>
      <c r="H21" s="9" cm="1">
        <f t="array" aca="1" ref="H21" ca="1">MAX(IF(ResValuesR24&lt;=ROUND(data_VRC_DCF_9535[[#This Row],[Rsonde]],2)-IF(data_VRC_DCF_9535[[#This Row],[Rsonde]]=MIN(data_VRC_DCF_9535[Rsonde]),100,$D22),ResValuesR24))</f>
        <v>36</v>
      </c>
      <c r="I21" s="9">
        <f ca="1">ROUND(data_VRC_DCF_9535[[#This Row],[RaddLow]]+(IF(data_VRC_DCF_9535[[#This Row],[Rsonde]]=MIN(data_VRC_DCF_9535[Rsonde]),0,$D22)-data_VRC_DCF_9535[[#This Row],[Rsonde]]),2)</f>
        <v>-2.3199999999999998</v>
      </c>
      <c r="J21" s="9" cm="1">
        <f t="array" aca="1" ref="J21" ca="1">MIN(IF(ResValuesR24&gt;=ROUND(data_VRC_DCF_9535[[#This Row],[Rsonde]],2)-IF(data_VRC_DCF_9535[[#This Row],[Rsonde]]=MIN(data_VRC_DCF_9535[Rsonde]),100,$D22),ResValuesR24))</f>
        <v>39</v>
      </c>
      <c r="K21" s="9">
        <f ca="1">ROUND(data_VRC_DCF_9535[[#This Row],[RaddHigh]]+(IF(data_VRC_DCF_9535[[#This Row],[Rsonde]]=MIN(data_VRC_DCF_9535[Rsonde]),0,$D22)-data_VRC_DCF_9535[[#This Row],[Rsonde]]),2)</f>
        <v>0.68</v>
      </c>
      <c r="L21" s="2" cm="1">
        <f t="array" aca="1" ref="L21" ca="1">IF(INDIRECT(RefCell_R77),(data_VRC_DCF_9535[[#This Row],[Rpcb]]*INDIRECT(RefCell_R77))/(data_VRC_DCF_9535[[#This Row],[Rpcb]]+INDIRECT(RefCell_R77)),data_VRC_DCF_9535[[#This Row],[Rpcb]])</f>
        <v>1319</v>
      </c>
      <c r="N21" s="3" t="s">
        <v>49</v>
      </c>
      <c r="O21">
        <v>-4.5132438940487466E-8</v>
      </c>
    </row>
    <row r="22" spans="1:16" x14ac:dyDescent="0.25">
      <c r="A22" t="s">
        <v>29</v>
      </c>
      <c r="B22" s="8">
        <v>13.5</v>
      </c>
      <c r="C22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1281.4770952445845</v>
      </c>
      <c r="D22" s="9" cm="1">
        <f t="array" aca="1" ref="D22" ca="1">INDIRECT(RefCell_Rpot)+SUM(G22:G$34)</f>
        <v>1280</v>
      </c>
      <c r="E22" s="9">
        <f ca="1">data_VRC_DCF_9535[[#This Row],[Rpcb]]-data_VRC_DCF_9535[[#This Row],[Rsonde]]</f>
        <v>-1.4770952445844614</v>
      </c>
      <c r="F22" s="4">
        <f ca="1">data_VRC_DCF_9535[[#This Row],[Diff R]]/data_VRC_DCF_9535[[#This Row],[Rsonde]]</f>
        <v>-1.1526505234200389E-3</v>
      </c>
      <c r="G22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22" s="9" cm="1">
        <f t="array" aca="1" ref="H22" ca="1">MAX(IF(ResValuesR24&lt;=ROUND(data_VRC_DCF_9535[[#This Row],[Rsonde]],2)-IF(data_VRC_DCF_9535[[#This Row],[Rsonde]]=MIN(data_VRC_DCF_9535[Rsonde]),100,$D23),ResValuesR24))</f>
        <v>36</v>
      </c>
      <c r="I22" s="9">
        <f ca="1">ROUND(data_VRC_DCF_9535[[#This Row],[RaddLow]]+(IF(data_VRC_DCF_9535[[#This Row],[Rsonde]]=MIN(data_VRC_DCF_9535[Rsonde]),0,$D23)-data_VRC_DCF_9535[[#This Row],[Rsonde]]),2)</f>
        <v>-1.48</v>
      </c>
      <c r="J22" s="9" cm="1">
        <f t="array" aca="1" ref="J22" ca="1">MIN(IF(ResValuesR24&gt;=ROUND(data_VRC_DCF_9535[[#This Row],[Rsonde]],2)-IF(data_VRC_DCF_9535[[#This Row],[Rsonde]]=MIN(data_VRC_DCF_9535[Rsonde]),100,$D23),ResValuesR24))</f>
        <v>39</v>
      </c>
      <c r="K22" s="9">
        <f ca="1">ROUND(data_VRC_DCF_9535[[#This Row],[RaddHigh]]+(IF(data_VRC_DCF_9535[[#This Row],[Rsonde]]=MIN(data_VRC_DCF_9535[Rsonde]),0,$D23)-data_VRC_DCF_9535[[#This Row],[Rsonde]]),2)</f>
        <v>1.52</v>
      </c>
      <c r="L22" s="2" cm="1">
        <f t="array" aca="1" ref="L22" ca="1">IF(INDIRECT(RefCell_R77),(data_VRC_DCF_9535[[#This Row],[Rpcb]]*INDIRECT(RefCell_R77))/(data_VRC_DCF_9535[[#This Row],[Rpcb]]+INDIRECT(RefCell_R77)),data_VRC_DCF_9535[[#This Row],[Rpcb]])</f>
        <v>1280</v>
      </c>
      <c r="N22" s="3" t="s">
        <v>50</v>
      </c>
      <c r="O22">
        <v>1.6461062157656104E-6</v>
      </c>
    </row>
    <row r="23" spans="1:16" x14ac:dyDescent="0.25">
      <c r="A23" t="s">
        <v>28</v>
      </c>
      <c r="B23" s="8">
        <v>15</v>
      </c>
      <c r="C23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1245.0835480309167</v>
      </c>
      <c r="D23" s="9" cm="1">
        <f t="array" aca="1" ref="D23" ca="1">INDIRECT(RefCell_Rpot)+SUM(G23:G$34)</f>
        <v>1244</v>
      </c>
      <c r="E23" s="9">
        <f ca="1">data_VRC_DCF_9535[[#This Row],[Rpcb]]-data_VRC_DCF_9535[[#This Row],[Rsonde]]</f>
        <v>-1.0835480309167451</v>
      </c>
      <c r="F23" s="4">
        <f ca="1">data_VRC_DCF_9535[[#This Row],[Diff R]]/data_VRC_DCF_9535[[#This Row],[Rsonde]]</f>
        <v>-8.702613030509977E-4</v>
      </c>
      <c r="G23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23" s="9" cm="1">
        <f t="array" aca="1" ref="H23" ca="1">MAX(IF(ResValuesR24&lt;=ROUND(data_VRC_DCF_9535[[#This Row],[Rsonde]],2)-IF(data_VRC_DCF_9535[[#This Row],[Rsonde]]=MIN(data_VRC_DCF_9535[Rsonde]),100,$D24),ResValuesR24))</f>
        <v>36</v>
      </c>
      <c r="I23" s="9">
        <f ca="1">ROUND(data_VRC_DCF_9535[[#This Row],[RaddLow]]+(IF(data_VRC_DCF_9535[[#This Row],[Rsonde]]=MIN(data_VRC_DCF_9535[Rsonde]),0,$D24)-data_VRC_DCF_9535[[#This Row],[Rsonde]]),2)</f>
        <v>-1.08</v>
      </c>
      <c r="J23" s="9" cm="1">
        <f t="array" aca="1" ref="J23" ca="1">MIN(IF(ResValuesR24&gt;=ROUND(data_VRC_DCF_9535[[#This Row],[Rsonde]],2)-IF(data_VRC_DCF_9535[[#This Row],[Rsonde]]=MIN(data_VRC_DCF_9535[Rsonde]),100,$D24),ResValuesR24))</f>
        <v>39</v>
      </c>
      <c r="K23" s="9">
        <f ca="1">ROUND(data_VRC_DCF_9535[[#This Row],[RaddHigh]]+(IF(data_VRC_DCF_9535[[#This Row],[Rsonde]]=MIN(data_VRC_DCF_9535[Rsonde]),0,$D24)-data_VRC_DCF_9535[[#This Row],[Rsonde]]),2)</f>
        <v>1.92</v>
      </c>
      <c r="L23" s="2" cm="1">
        <f t="array" aca="1" ref="L23" ca="1">IF(INDIRECT(RefCell_R77),(data_VRC_DCF_9535[[#This Row],[Rpcb]]*INDIRECT(RefCell_R77))/(data_VRC_DCF_9535[[#This Row],[Rpcb]]+INDIRECT(RefCell_R77)),data_VRC_DCF_9535[[#This Row],[Rpcb]])</f>
        <v>1244</v>
      </c>
      <c r="N23" s="3" t="s">
        <v>51</v>
      </c>
      <c r="O23">
        <v>1.2762297901616181E-5</v>
      </c>
    </row>
    <row r="24" spans="1:16" x14ac:dyDescent="0.25">
      <c r="A24" t="s">
        <v>27</v>
      </c>
      <c r="B24" s="8">
        <v>16.5</v>
      </c>
      <c r="C24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1209.2217120271084</v>
      </c>
      <c r="D24" s="9" cm="1">
        <f t="array" aca="1" ref="D24" ca="1">INDIRECT(RefCell_Rpot)+SUM(G24:G$34)</f>
        <v>1208</v>
      </c>
      <c r="E24" s="9">
        <f ca="1">data_VRC_DCF_9535[[#This Row],[Rpcb]]-data_VRC_DCF_9535[[#This Row],[Rsonde]]</f>
        <v>-1.2217120271084241</v>
      </c>
      <c r="F24" s="4">
        <f ca="1">data_VRC_DCF_9535[[#This Row],[Diff R]]/data_VRC_DCF_9535[[#This Row],[Rsonde]]</f>
        <v>-1.0103292183369559E-3</v>
      </c>
      <c r="G24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33</v>
      </c>
      <c r="H24" s="9" cm="1">
        <f t="array" aca="1" ref="H24" ca="1">MAX(IF(ResValuesR24&lt;=ROUND(data_VRC_DCF_9535[[#This Row],[Rsonde]],2)-IF(data_VRC_DCF_9535[[#This Row],[Rsonde]]=MIN(data_VRC_DCF_9535[Rsonde]),100,$D25),ResValuesR24))</f>
        <v>33</v>
      </c>
      <c r="I24" s="9">
        <f ca="1">ROUND(data_VRC_DCF_9535[[#This Row],[RaddLow]]+(IF(data_VRC_DCF_9535[[#This Row],[Rsonde]]=MIN(data_VRC_DCF_9535[Rsonde]),0,$D25)-data_VRC_DCF_9535[[#This Row],[Rsonde]]),2)</f>
        <v>-1.22</v>
      </c>
      <c r="J24" s="9" cm="1">
        <f t="array" aca="1" ref="J24" ca="1">MIN(IF(ResValuesR24&gt;=ROUND(data_VRC_DCF_9535[[#This Row],[Rsonde]],2)-IF(data_VRC_DCF_9535[[#This Row],[Rsonde]]=MIN(data_VRC_DCF_9535[Rsonde]),100,$D25),ResValuesR24))</f>
        <v>36</v>
      </c>
      <c r="K24" s="9">
        <f ca="1">ROUND(data_VRC_DCF_9535[[#This Row],[RaddHigh]]+(IF(data_VRC_DCF_9535[[#This Row],[Rsonde]]=MIN(data_VRC_DCF_9535[Rsonde]),0,$D25)-data_VRC_DCF_9535[[#This Row],[Rsonde]]),2)</f>
        <v>1.78</v>
      </c>
      <c r="L24" s="2" cm="1">
        <f t="array" aca="1" ref="L24" ca="1">IF(INDIRECT(RefCell_R77),(data_VRC_DCF_9535[[#This Row],[Rpcb]]*INDIRECT(RefCell_R77))/(data_VRC_DCF_9535[[#This Row],[Rpcb]]+INDIRECT(RefCell_R77)),data_VRC_DCF_9535[[#This Row],[Rpcb]])</f>
        <v>1208</v>
      </c>
      <c r="N24" s="3" t="s">
        <v>52</v>
      </c>
      <c r="O24">
        <v>2.7028585449638595E-3</v>
      </c>
    </row>
    <row r="25" spans="1:16" x14ac:dyDescent="0.25">
      <c r="A25" t="s">
        <v>26</v>
      </c>
      <c r="B25" s="8">
        <v>18</v>
      </c>
      <c r="C25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1173.9735772456302</v>
      </c>
      <c r="D25" s="9" cm="1">
        <f t="array" aca="1" ref="D25" ca="1">INDIRECT(RefCell_Rpot)+SUM(G25:G$34)</f>
        <v>1175</v>
      </c>
      <c r="E25" s="9">
        <f ca="1">data_VRC_DCF_9535[[#This Row],[Rpcb]]-data_VRC_DCF_9535[[#This Row],[Rsonde]]</f>
        <v>1.0264227543698325</v>
      </c>
      <c r="F25" s="4">
        <f ca="1">data_VRC_DCF_9535[[#This Row],[Diff R]]/data_VRC_DCF_9535[[#This Row],[Rsonde]]</f>
        <v>8.7431503933676222E-4</v>
      </c>
      <c r="G25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25" s="9" cm="1">
        <f t="array" aca="1" ref="H25" ca="1">MAX(IF(ResValuesR24&lt;=ROUND(data_VRC_DCF_9535[[#This Row],[Rsonde]],2)-IF(data_VRC_DCF_9535[[#This Row],[Rsonde]]=MIN(data_VRC_DCF_9535[Rsonde]),100,$D26),ResValuesR24))</f>
        <v>33</v>
      </c>
      <c r="I25" s="9">
        <f ca="1">ROUND(data_VRC_DCF_9535[[#This Row],[RaddLow]]+(IF(data_VRC_DCF_9535[[#This Row],[Rsonde]]=MIN(data_VRC_DCF_9535[Rsonde]),0,$D26)-data_VRC_DCF_9535[[#This Row],[Rsonde]]),2)</f>
        <v>-1.97</v>
      </c>
      <c r="J25" s="9" cm="1">
        <f t="array" aca="1" ref="J25" ca="1">MIN(IF(ResValuesR24&gt;=ROUND(data_VRC_DCF_9535[[#This Row],[Rsonde]],2)-IF(data_VRC_DCF_9535[[#This Row],[Rsonde]]=MIN(data_VRC_DCF_9535[Rsonde]),100,$D26),ResValuesR24))</f>
        <v>36</v>
      </c>
      <c r="K25" s="9">
        <f ca="1">ROUND(data_VRC_DCF_9535[[#This Row],[RaddHigh]]+(IF(data_VRC_DCF_9535[[#This Row],[Rsonde]]=MIN(data_VRC_DCF_9535[Rsonde]),0,$D26)-data_VRC_DCF_9535[[#This Row],[Rsonde]]),2)</f>
        <v>1.03</v>
      </c>
      <c r="L25" s="2" cm="1">
        <f t="array" aca="1" ref="L25" ca="1">IF(INDIRECT(RefCell_R77),(data_VRC_DCF_9535[[#This Row],[Rpcb]]*INDIRECT(RefCell_R77))/(data_VRC_DCF_9535[[#This Row],[Rpcb]]+INDIRECT(RefCell_R77)),data_VRC_DCF_9535[[#This Row],[Rpcb]])</f>
        <v>1175</v>
      </c>
      <c r="N25" s="3" t="s">
        <v>53</v>
      </c>
      <c r="O25">
        <v>-4.194687166978233E-2</v>
      </c>
    </row>
    <row r="26" spans="1:16" x14ac:dyDescent="0.25">
      <c r="A26" t="s">
        <v>25</v>
      </c>
      <c r="B26" s="8">
        <v>19.5</v>
      </c>
      <c r="C26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1139.4167291688261</v>
      </c>
      <c r="D26" s="9" cm="1">
        <f t="array" aca="1" ref="D26" ca="1">INDIRECT(RefCell_Rpot)+SUM(G26:G$34)</f>
        <v>1139</v>
      </c>
      <c r="E26" s="9">
        <f ca="1">data_VRC_DCF_9535[[#This Row],[Rpcb]]-data_VRC_DCF_9535[[#This Row],[Rsonde]]</f>
        <v>-0.41672916882612299</v>
      </c>
      <c r="F26" s="4">
        <f ca="1">data_VRC_DCF_9535[[#This Row],[Diff R]]/data_VRC_DCF_9535[[#This Row],[Rsonde]]</f>
        <v>-3.6573902959114503E-4</v>
      </c>
      <c r="G26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33</v>
      </c>
      <c r="H26" s="9" cm="1">
        <f t="array" aca="1" ref="H26" ca="1">MAX(IF(ResValuesR24&lt;=ROUND(data_VRC_DCF_9535[[#This Row],[Rsonde]],2)-IF(data_VRC_DCF_9535[[#This Row],[Rsonde]]=MIN(data_VRC_DCF_9535[Rsonde]),100,$D27),ResValuesR24))</f>
        <v>33</v>
      </c>
      <c r="I26" s="9">
        <f ca="1">ROUND(data_VRC_DCF_9535[[#This Row],[RaddLow]]+(IF(data_VRC_DCF_9535[[#This Row],[Rsonde]]=MIN(data_VRC_DCF_9535[Rsonde]),0,$D27)-data_VRC_DCF_9535[[#This Row],[Rsonde]]),2)</f>
        <v>-0.42</v>
      </c>
      <c r="J26" s="9" cm="1">
        <f t="array" aca="1" ref="J26" ca="1">MIN(IF(ResValuesR24&gt;=ROUND(data_VRC_DCF_9535[[#This Row],[Rsonde]],2)-IF(data_VRC_DCF_9535[[#This Row],[Rsonde]]=MIN(data_VRC_DCF_9535[Rsonde]),100,$D27),ResValuesR24))</f>
        <v>36</v>
      </c>
      <c r="K26" s="9">
        <f ca="1">ROUND(data_VRC_DCF_9535[[#This Row],[RaddHigh]]+(IF(data_VRC_DCF_9535[[#This Row],[Rsonde]]=MIN(data_VRC_DCF_9535[Rsonde]),0,$D27)-data_VRC_DCF_9535[[#This Row],[Rsonde]]),2)</f>
        <v>2.58</v>
      </c>
      <c r="L26" s="2" cm="1">
        <f t="array" aca="1" ref="L26" ca="1">IF(INDIRECT(RefCell_R77),(data_VRC_DCF_9535[[#This Row],[Rpcb]]*INDIRECT(RefCell_R77))/(data_VRC_DCF_9535[[#This Row],[Rpcb]]+INDIRECT(RefCell_R77)),data_VRC_DCF_9535[[#This Row],[Rpcb]])</f>
        <v>1139</v>
      </c>
      <c r="N26" s="3" t="s">
        <v>54</v>
      </c>
      <c r="O26">
        <v>-25.043749124972038</v>
      </c>
    </row>
    <row r="27" spans="1:16" x14ac:dyDescent="0.25">
      <c r="A27" t="s">
        <v>24</v>
      </c>
      <c r="B27" s="8">
        <v>21</v>
      </c>
      <c r="C27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1105.6215921254327</v>
      </c>
      <c r="D27" s="9" cm="1">
        <f t="array" aca="1" ref="D27" ca="1">INDIRECT(RefCell_Rpot)+SUM(G27:G$34)</f>
        <v>1106</v>
      </c>
      <c r="E27" s="9">
        <f ca="1">data_VRC_DCF_9535[[#This Row],[Rpcb]]-data_VRC_DCF_9535[[#This Row],[Rsonde]]</f>
        <v>0.37840787456730141</v>
      </c>
      <c r="F27" s="4">
        <f ca="1">data_VRC_DCF_9535[[#This Row],[Diff R]]/data_VRC_DCF_9535[[#This Row],[Rsonde]]</f>
        <v>3.4225803589802816E-4</v>
      </c>
      <c r="G27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33</v>
      </c>
      <c r="H27" s="9" cm="1">
        <f t="array" aca="1" ref="H27" ca="1">MAX(IF(ResValuesR24&lt;=ROUND(data_VRC_DCF_9535[[#This Row],[Rsonde]],2)-IF(data_VRC_DCF_9535[[#This Row],[Rsonde]]=MIN(data_VRC_DCF_9535[Rsonde]),100,$D28),ResValuesR24))</f>
        <v>30</v>
      </c>
      <c r="I27" s="9">
        <f ca="1">ROUND(data_VRC_DCF_9535[[#This Row],[RaddLow]]+(IF(data_VRC_DCF_9535[[#This Row],[Rsonde]]=MIN(data_VRC_DCF_9535[Rsonde]),0,$D28)-data_VRC_DCF_9535[[#This Row],[Rsonde]]),2)</f>
        <v>-2.62</v>
      </c>
      <c r="J27" s="9" cm="1">
        <f t="array" aca="1" ref="J27" ca="1">MIN(IF(ResValuesR24&gt;=ROUND(data_VRC_DCF_9535[[#This Row],[Rsonde]],2)-IF(data_VRC_DCF_9535[[#This Row],[Rsonde]]=MIN(data_VRC_DCF_9535[Rsonde]),100,$D28),ResValuesR24))</f>
        <v>33</v>
      </c>
      <c r="K27" s="9">
        <f ca="1">ROUND(data_VRC_DCF_9535[[#This Row],[RaddHigh]]+(IF(data_VRC_DCF_9535[[#This Row],[Rsonde]]=MIN(data_VRC_DCF_9535[Rsonde]),0,$D28)-data_VRC_DCF_9535[[#This Row],[Rsonde]]),2)</f>
        <v>0.38</v>
      </c>
      <c r="L27" s="2" cm="1">
        <f t="array" aca="1" ref="L27" ca="1">IF(INDIRECT(RefCell_R77),(data_VRC_DCF_9535[[#This Row],[Rpcb]]*INDIRECT(RefCell_R77))/(data_VRC_DCF_9535[[#This Row],[Rpcb]]+INDIRECT(RefCell_R77)),data_VRC_DCF_9535[[#This Row],[Rpcb]])</f>
        <v>1106</v>
      </c>
      <c r="N27" s="3" t="s">
        <v>55</v>
      </c>
      <c r="O27">
        <v>1619.6736668903854</v>
      </c>
    </row>
    <row r="28" spans="1:16" x14ac:dyDescent="0.25">
      <c r="A28" t="s">
        <v>23</v>
      </c>
      <c r="B28" s="8">
        <v>22.5</v>
      </c>
      <c r="C28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1072.6483025246814</v>
      </c>
      <c r="D28" s="9" cm="1">
        <f t="array" aca="1" ref="D28" ca="1">INDIRECT(RefCell_Rpot)+SUM(G28:G$34)</f>
        <v>1073</v>
      </c>
      <c r="E28" s="9">
        <f ca="1">data_VRC_DCF_9535[[#This Row],[Rpcb]]-data_VRC_DCF_9535[[#This Row],[Rsonde]]</f>
        <v>0.35169747531858775</v>
      </c>
      <c r="F28" s="4">
        <f ca="1">data_VRC_DCF_9535[[#This Row],[Diff R]]/data_VRC_DCF_9535[[#This Row],[Rsonde]]</f>
        <v>3.2787771582801277E-4</v>
      </c>
      <c r="G28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33</v>
      </c>
      <c r="H28" s="9" cm="1">
        <f t="array" aca="1" ref="H28" ca="1">MAX(IF(ResValuesR24&lt;=ROUND(data_VRC_DCF_9535[[#This Row],[Rsonde]],2)-IF(data_VRC_DCF_9535[[#This Row],[Rsonde]]=MIN(data_VRC_DCF_9535[Rsonde]),100,$D29),ResValuesR24))</f>
        <v>30</v>
      </c>
      <c r="I28" s="9">
        <f ca="1">ROUND(data_VRC_DCF_9535[[#This Row],[RaddLow]]+(IF(data_VRC_DCF_9535[[#This Row],[Rsonde]]=MIN(data_VRC_DCF_9535[Rsonde]),0,$D29)-data_VRC_DCF_9535[[#This Row],[Rsonde]]),2)</f>
        <v>-2.65</v>
      </c>
      <c r="J28" s="9" cm="1">
        <f t="array" aca="1" ref="J28" ca="1">MIN(IF(ResValuesR24&gt;=ROUND(data_VRC_DCF_9535[[#This Row],[Rsonde]],2)-IF(data_VRC_DCF_9535[[#This Row],[Rsonde]]=MIN(data_VRC_DCF_9535[Rsonde]),100,$D29),ResValuesR24))</f>
        <v>33</v>
      </c>
      <c r="K28" s="9">
        <f ca="1">ROUND(data_VRC_DCF_9535[[#This Row],[RaddHigh]]+(IF(data_VRC_DCF_9535[[#This Row],[Rsonde]]=MIN(data_VRC_DCF_9535[Rsonde]),0,$D29)-data_VRC_DCF_9535[[#This Row],[Rsonde]]),2)</f>
        <v>0.35</v>
      </c>
      <c r="L28" s="2" cm="1">
        <f t="array" aca="1" ref="L28" ca="1">IF(INDIRECT(RefCell_R77),(data_VRC_DCF_9535[[#This Row],[Rpcb]]*INDIRECT(RefCell_R77))/(data_VRC_DCF_9535[[#This Row],[Rpcb]]+INDIRECT(RefCell_R77)),data_VRC_DCF_9535[[#This Row],[Rpcb]])</f>
        <v>1073</v>
      </c>
    </row>
    <row r="29" spans="1:16" x14ac:dyDescent="0.25">
      <c r="A29" t="s">
        <v>22</v>
      </c>
      <c r="B29" s="8">
        <v>24</v>
      </c>
      <c r="C29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1040.5432119479881</v>
      </c>
      <c r="D29" s="9" cm="1">
        <f t="array" aca="1" ref="D29" ca="1">INDIRECT(RefCell_Rpot)+SUM(G29:G$34)</f>
        <v>1040</v>
      </c>
      <c r="E29" s="9">
        <f ca="1">data_VRC_DCF_9535[[#This Row],[Rpcb]]-data_VRC_DCF_9535[[#This Row],[Rsonde]]</f>
        <v>-0.54321194798808392</v>
      </c>
      <c r="F29" s="4">
        <f ca="1">data_VRC_DCF_9535[[#This Row],[Diff R]]/data_VRC_DCF_9535[[#This Row],[Rsonde]]</f>
        <v>-5.2204650585451764E-4</v>
      </c>
      <c r="G29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30</v>
      </c>
      <c r="H29" s="9" cm="1">
        <f t="array" aca="1" ref="H29" ca="1">MAX(IF(ResValuesR24&lt;=ROUND(data_VRC_DCF_9535[[#This Row],[Rsonde]],2)-IF(data_VRC_DCF_9535[[#This Row],[Rsonde]]=MIN(data_VRC_DCF_9535[Rsonde]),100,$D30),ResValuesR24))</f>
        <v>30</v>
      </c>
      <c r="I29" s="9">
        <f ca="1">ROUND(data_VRC_DCF_9535[[#This Row],[RaddLow]]+(IF(data_VRC_DCF_9535[[#This Row],[Rsonde]]=MIN(data_VRC_DCF_9535[Rsonde]),0,$D30)-data_VRC_DCF_9535[[#This Row],[Rsonde]]),2)</f>
        <v>-0.54</v>
      </c>
      <c r="J29" s="9" cm="1">
        <f t="array" aca="1" ref="J29" ca="1">MIN(IF(ResValuesR24&gt;=ROUND(data_VRC_DCF_9535[[#This Row],[Rsonde]],2)-IF(data_VRC_DCF_9535[[#This Row],[Rsonde]]=MIN(data_VRC_DCF_9535[Rsonde]),100,$D30),ResValuesR24))</f>
        <v>33</v>
      </c>
      <c r="K29" s="9">
        <f ca="1">ROUND(data_VRC_DCF_9535[[#This Row],[RaddHigh]]+(IF(data_VRC_DCF_9535[[#This Row],[Rsonde]]=MIN(data_VRC_DCF_9535[Rsonde]),0,$D30)-data_VRC_DCF_9535[[#This Row],[Rsonde]]),2)</f>
        <v>2.46</v>
      </c>
      <c r="L29" s="2" cm="1">
        <f t="array" aca="1" ref="L29" ca="1">IF(INDIRECT(RefCell_R77),(data_VRC_DCF_9535[[#This Row],[Rpcb]]*INDIRECT(RefCell_R77))/(data_VRC_DCF_9535[[#This Row],[Rpcb]]+INDIRECT(RefCell_R77)),data_VRC_DCF_9535[[#This Row],[Rpcb]])</f>
        <v>1040</v>
      </c>
    </row>
    <row r="30" spans="1:16" x14ac:dyDescent="0.25">
      <c r="A30" t="s">
        <v>21</v>
      </c>
      <c r="B30" s="8">
        <v>25.5</v>
      </c>
      <c r="C30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1009.335020098225</v>
      </c>
      <c r="D30" s="9" cm="1">
        <f t="array" aca="1" ref="D30" ca="1">INDIRECT(RefCell_Rpot)+SUM(G30:G$34)</f>
        <v>1009.9999999999999</v>
      </c>
      <c r="E30" s="9">
        <f ca="1">data_VRC_DCF_9535[[#This Row],[Rpcb]]-data_VRC_DCF_9535[[#This Row],[Rsonde]]</f>
        <v>0.66497990177492738</v>
      </c>
      <c r="F30" s="4">
        <f ca="1">data_VRC_DCF_9535[[#This Row],[Diff R]]/data_VRC_DCF_9535[[#This Row],[Rsonde]]</f>
        <v>6.588297131612592E-4</v>
      </c>
      <c r="G30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30</v>
      </c>
      <c r="H30" s="9" cm="1">
        <f t="array" aca="1" ref="H30" ca="1">MAX(IF(ResValuesR24&lt;=ROUND(data_VRC_DCF_9535[[#This Row],[Rsonde]],2)-IF(data_VRC_DCF_9535[[#This Row],[Rsonde]]=MIN(data_VRC_DCF_9535[Rsonde]),100,$D31),ResValuesR24))</f>
        <v>27</v>
      </c>
      <c r="I30" s="9">
        <f ca="1">ROUND(data_VRC_DCF_9535[[#This Row],[RaddLow]]+(IF(data_VRC_DCF_9535[[#This Row],[Rsonde]]=MIN(data_VRC_DCF_9535[Rsonde]),0,$D31)-data_VRC_DCF_9535[[#This Row],[Rsonde]]),2)</f>
        <v>-2.34</v>
      </c>
      <c r="J30" s="9" cm="1">
        <f t="array" aca="1" ref="J30" ca="1">MIN(IF(ResValuesR24&gt;=ROUND(data_VRC_DCF_9535[[#This Row],[Rsonde]],2)-IF(data_VRC_DCF_9535[[#This Row],[Rsonde]]=MIN(data_VRC_DCF_9535[Rsonde]),100,$D31),ResValuesR24))</f>
        <v>30</v>
      </c>
      <c r="K30" s="9">
        <f ca="1">ROUND(data_VRC_DCF_9535[[#This Row],[RaddHigh]]+(IF(data_VRC_DCF_9535[[#This Row],[Rsonde]]=MIN(data_VRC_DCF_9535[Rsonde]),0,$D31)-data_VRC_DCF_9535[[#This Row],[Rsonde]]),2)</f>
        <v>0.66</v>
      </c>
      <c r="L30" s="2" cm="1">
        <f t="array" aca="1" ref="L30" ca="1">IF(INDIRECT(RefCell_R77),(data_VRC_DCF_9535[[#This Row],[Rpcb]]*INDIRECT(RefCell_R77))/(data_VRC_DCF_9535[[#This Row],[Rpcb]]+INDIRECT(RefCell_R77)),data_VRC_DCF_9535[[#This Row],[Rpcb]])</f>
        <v>1009.9999999999999</v>
      </c>
    </row>
    <row r="31" spans="1:16" x14ac:dyDescent="0.25">
      <c r="A31" t="s">
        <v>20</v>
      </c>
      <c r="B31" s="8">
        <v>27</v>
      </c>
      <c r="C31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979.03053760658179</v>
      </c>
      <c r="D31" s="9" cm="1">
        <f t="array" aca="1" ref="D31" ca="1">INDIRECT(RefCell_Rpot)+SUM(G31:G$34)</f>
        <v>979.99999999999989</v>
      </c>
      <c r="E31" s="9">
        <f ca="1">data_VRC_DCF_9535[[#This Row],[Rpcb]]-data_VRC_DCF_9535[[#This Row],[Rsonde]]</f>
        <v>0.96946239341809815</v>
      </c>
      <c r="F31" s="4">
        <f ca="1">data_VRC_DCF_9535[[#This Row],[Diff R]]/data_VRC_DCF_9535[[#This Row],[Rsonde]]</f>
        <v>9.902269195689495E-4</v>
      </c>
      <c r="G31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30</v>
      </c>
      <c r="H31" s="9" cm="1">
        <f t="array" aca="1" ref="H31" ca="1">MAX(IF(ResValuesR24&lt;=ROUND(data_VRC_DCF_9535[[#This Row],[Rsonde]],2)-IF(data_VRC_DCF_9535[[#This Row],[Rsonde]]=MIN(data_VRC_DCF_9535[Rsonde]),100,$D32),ResValuesR24))</f>
        <v>27</v>
      </c>
      <c r="I31" s="9">
        <f ca="1">ROUND(data_VRC_DCF_9535[[#This Row],[RaddLow]]+(IF(data_VRC_DCF_9535[[#This Row],[Rsonde]]=MIN(data_VRC_DCF_9535[Rsonde]),0,$D32)-data_VRC_DCF_9535[[#This Row],[Rsonde]]),2)</f>
        <v>-2.0299999999999998</v>
      </c>
      <c r="J31" s="9" cm="1">
        <f t="array" aca="1" ref="J31" ca="1">MIN(IF(ResValuesR24&gt;=ROUND(data_VRC_DCF_9535[[#This Row],[Rsonde]],2)-IF(data_VRC_DCF_9535[[#This Row],[Rsonde]]=MIN(data_VRC_DCF_9535[Rsonde]),100,$D32),ResValuesR24))</f>
        <v>30</v>
      </c>
      <c r="K31" s="9">
        <f ca="1">ROUND(data_VRC_DCF_9535[[#This Row],[RaddHigh]]+(IF(data_VRC_DCF_9535[[#This Row],[Rsonde]]=MIN(data_VRC_DCF_9535[Rsonde]),0,$D32)-data_VRC_DCF_9535[[#This Row],[Rsonde]]),2)</f>
        <v>0.97</v>
      </c>
      <c r="L31" s="2" cm="1">
        <f t="array" aca="1" ref="L31" ca="1">IF(INDIRECT(RefCell_R77),(data_VRC_DCF_9535[[#This Row],[Rpcb]]*INDIRECT(RefCell_R77))/(data_VRC_DCF_9535[[#This Row],[Rpcb]]+INDIRECT(RefCell_R77)),data_VRC_DCF_9535[[#This Row],[Rpcb]])</f>
        <v>979.99999999999989</v>
      </c>
    </row>
    <row r="32" spans="1:16" x14ac:dyDescent="0.25">
      <c r="A32" t="s">
        <v>19</v>
      </c>
      <c r="B32" s="8">
        <v>28.5</v>
      </c>
      <c r="C32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949.61007869700825</v>
      </c>
      <c r="D32" s="9" cm="1">
        <f t="array" aca="1" ref="D32" ca="1">INDIRECT(RefCell_Rpot)+SUM(G32:G$34)</f>
        <v>949.99999999999989</v>
      </c>
      <c r="E32" s="9">
        <f ca="1">data_VRC_DCF_9535[[#This Row],[Rpcb]]-data_VRC_DCF_9535[[#This Row],[Rsonde]]</f>
        <v>0.38992130299163819</v>
      </c>
      <c r="F32" s="4">
        <f ca="1">data_VRC_DCF_9535[[#This Row],[Diff R]]/data_VRC_DCF_9535[[#This Row],[Rsonde]]</f>
        <v>4.1061200985425747E-4</v>
      </c>
      <c r="G32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30</v>
      </c>
      <c r="H32" s="9" cm="1">
        <f t="array" aca="1" ref="H32" ca="1">MAX(IF(ResValuesR24&lt;=ROUND(data_VRC_DCF_9535[[#This Row],[Rsonde]],2)-IF(data_VRC_DCF_9535[[#This Row],[Rsonde]]=MIN(data_VRC_DCF_9535[Rsonde]),100,$D33),ResValuesR24))</f>
        <v>27</v>
      </c>
      <c r="I32" s="9">
        <f ca="1">ROUND(data_VRC_DCF_9535[[#This Row],[RaddLow]]+(IF(data_VRC_DCF_9535[[#This Row],[Rsonde]]=MIN(data_VRC_DCF_9535[Rsonde]),0,$D33)-data_VRC_DCF_9535[[#This Row],[Rsonde]]),2)</f>
        <v>-2.61</v>
      </c>
      <c r="J32" s="9" cm="1">
        <f t="array" aca="1" ref="J32" ca="1">MIN(IF(ResValuesR24&gt;=ROUND(data_VRC_DCF_9535[[#This Row],[Rsonde]],2)-IF(data_VRC_DCF_9535[[#This Row],[Rsonde]]=MIN(data_VRC_DCF_9535[Rsonde]),100,$D33),ResValuesR24))</f>
        <v>30</v>
      </c>
      <c r="K32" s="9">
        <f ca="1">ROUND(data_VRC_DCF_9535[[#This Row],[RaddHigh]]+(IF(data_VRC_DCF_9535[[#This Row],[Rsonde]]=MIN(data_VRC_DCF_9535[Rsonde]),0,$D33)-data_VRC_DCF_9535[[#This Row],[Rsonde]]),2)</f>
        <v>0.39</v>
      </c>
      <c r="L32" s="2" cm="1">
        <f t="array" aca="1" ref="L32" ca="1">IF(INDIRECT(RefCell_R77),(data_VRC_DCF_9535[[#This Row],[Rpcb]]*INDIRECT(RefCell_R77))/(data_VRC_DCF_9535[[#This Row],[Rpcb]]+INDIRECT(RefCell_R77)),data_VRC_DCF_9535[[#This Row],[Rpcb]])</f>
        <v>949.99999999999989</v>
      </c>
      <c r="O32">
        <v>-20</v>
      </c>
      <c r="P32">
        <v>2076</v>
      </c>
    </row>
    <row r="33" spans="1:16" x14ac:dyDescent="0.25">
      <c r="A33" t="s">
        <v>18</v>
      </c>
      <c r="B33" s="8">
        <v>30</v>
      </c>
      <c r="C33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921.02248370824236</v>
      </c>
      <c r="D33" s="9" cm="1">
        <f t="array" aca="1" ref="D33" ca="1">INDIRECT(RefCell_Rpot)+SUM(G33:G$34)</f>
        <v>919.99999999999989</v>
      </c>
      <c r="E33" s="9">
        <f ca="1">data_VRC_DCF_9535[[#This Row],[Rpcb]]-data_VRC_DCF_9535[[#This Row],[Rsonde]]</f>
        <v>-1.0224837082424756</v>
      </c>
      <c r="F33" s="4">
        <f ca="1">data_VRC_DCF_9535[[#This Row],[Diff R]]/data_VRC_DCF_9535[[#This Row],[Rsonde]]</f>
        <v>-1.1101615067264457E-3</v>
      </c>
      <c r="G33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27</v>
      </c>
      <c r="H33" s="9" cm="1">
        <f t="array" aca="1" ref="H33" ca="1">MAX(IF(ResValuesR24&lt;=ROUND(data_VRC_DCF_9535[[#This Row],[Rsonde]],2)-IF(data_VRC_DCF_9535[[#This Row],[Rsonde]]=MIN(data_VRC_DCF_9535[Rsonde]),100,$D34),ResValuesR24))</f>
        <v>27</v>
      </c>
      <c r="I33" s="9">
        <f ca="1">ROUND(data_VRC_DCF_9535[[#This Row],[RaddLow]]+(IF(data_VRC_DCF_9535[[#This Row],[Rsonde]]=MIN(data_VRC_DCF_9535[Rsonde]),0,$D34)-data_VRC_DCF_9535[[#This Row],[Rsonde]]),2)</f>
        <v>-1.02</v>
      </c>
      <c r="J33" s="9" cm="1">
        <f t="array" aca="1" ref="J33" ca="1">MIN(IF(ResValuesR24&gt;=ROUND(data_VRC_DCF_9535[[#This Row],[Rsonde]],2)-IF(data_VRC_DCF_9535[[#This Row],[Rsonde]]=MIN(data_VRC_DCF_9535[Rsonde]),100,$D34),ResValuesR24))</f>
        <v>30</v>
      </c>
      <c r="K33" s="9">
        <f ca="1">ROUND(data_VRC_DCF_9535[[#This Row],[RaddHigh]]+(IF(data_VRC_DCF_9535[[#This Row],[Rsonde]]=MIN(data_VRC_DCF_9535[Rsonde]),0,$D34)-data_VRC_DCF_9535[[#This Row],[Rsonde]]),2)</f>
        <v>1.98</v>
      </c>
      <c r="L33" s="2" cm="1">
        <f t="array" aca="1" ref="L33" ca="1">IF(INDIRECT(RefCell_R77),(data_VRC_DCF_9535[[#This Row],[Rpcb]]*INDIRECT(RefCell_R77))/(data_VRC_DCF_9535[[#This Row],[Rpcb]]+INDIRECT(RefCell_R77)),data_VRC_DCF_9535[[#This Row],[Rpcb]])</f>
        <v>919.99999999999989</v>
      </c>
      <c r="O33">
        <v>-15</v>
      </c>
      <c r="P33">
        <v>1976</v>
      </c>
    </row>
    <row r="34" spans="1:16" x14ac:dyDescent="0.25">
      <c r="A34" t="s">
        <v>17</v>
      </c>
      <c r="B34" s="8">
        <v>31.5</v>
      </c>
      <c r="C34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893.17977147342685</v>
      </c>
      <c r="D34" s="9" cm="1">
        <f t="array" aca="1" ref="D34" ca="1">INDIRECT(RefCell_Rpot)+SUM(G34:G$34)</f>
        <v>892.99999999999989</v>
      </c>
      <c r="E34" s="9">
        <f ca="1">data_VRC_DCF_9535[[#This Row],[Rpcb]]-data_VRC_DCF_9535[[#This Row],[Rsonde]]</f>
        <v>-0.17977147342696753</v>
      </c>
      <c r="F34" s="4">
        <f ca="1">data_VRC_DCF_9535[[#This Row],[Diff R]]/data_VRC_DCF_9535[[#This Row],[Rsonde]]</f>
        <v>-2.0127132204349966E-4</v>
      </c>
      <c r="G34" s="9">
        <f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819.99999999999989</v>
      </c>
      <c r="H34" s="9" cm="1">
        <f t="array" ref="H34">MAX(IF(ResValuesR24&lt;=ROUND(data_VRC_DCF_9535[[#This Row],[Rsonde]],2)-IF(data_VRC_DCF_9535[[#This Row],[Rsonde]]=MIN(data_VRC_DCF_9535[Rsonde]),100,$D35),ResValuesR24))</f>
        <v>750</v>
      </c>
      <c r="I34" s="9">
        <f>ROUND(data_VRC_DCF_9535[[#This Row],[RaddLow]]+(IF(data_VRC_DCF_9535[[#This Row],[Rsonde]]=MIN(data_VRC_DCF_9535[Rsonde]),0,$D35)-data_VRC_DCF_9535[[#This Row],[Rsonde]]),2)</f>
        <v>-143.18</v>
      </c>
      <c r="J34" s="9" cm="1">
        <f t="array" ref="J34">MIN(IF(ResValuesR24&gt;=ROUND(data_VRC_DCF_9535[[#This Row],[Rsonde]],2)-IF(data_VRC_DCF_9535[[#This Row],[Rsonde]]=MIN(data_VRC_DCF_9535[Rsonde]),100,$D35),ResValuesR24))</f>
        <v>819.99999999999989</v>
      </c>
      <c r="K34" s="9">
        <f>ROUND(data_VRC_DCF_9535[[#This Row],[RaddHigh]]+(IF(data_VRC_DCF_9535[[#This Row],[Rsonde]]=MIN(data_VRC_DCF_9535[Rsonde]),0,$D35)-data_VRC_DCF_9535[[#This Row],[Rsonde]]),2)</f>
        <v>-73.180000000000007</v>
      </c>
      <c r="L34" s="2" cm="1">
        <f t="array" aca="1" ref="L34" ca="1">IF(INDIRECT(RefCell_R77),(data_VRC_DCF_9535[[#This Row],[Rpcb]]*INDIRECT(RefCell_R77))/(data_VRC_DCF_9535[[#This Row],[Rpcb]]+INDIRECT(RefCell_R77)),data_VRC_DCF_9535[[#This Row],[Rpcb]])</f>
        <v>892.99999999999989</v>
      </c>
      <c r="O34">
        <v>-10</v>
      </c>
      <c r="P34">
        <v>1862</v>
      </c>
    </row>
    <row r="35" spans="1:16" x14ac:dyDescent="0.25">
      <c r="O35">
        <v>-5</v>
      </c>
      <c r="P35">
        <v>1745</v>
      </c>
    </row>
    <row r="36" spans="1:16" x14ac:dyDescent="0.25">
      <c r="O36">
        <v>0</v>
      </c>
      <c r="P36">
        <v>1619</v>
      </c>
    </row>
    <row r="37" spans="1:16" x14ac:dyDescent="0.25">
      <c r="O37">
        <v>5</v>
      </c>
      <c r="P37">
        <v>1494</v>
      </c>
    </row>
    <row r="38" spans="1:16" x14ac:dyDescent="0.25">
      <c r="O38">
        <v>10</v>
      </c>
      <c r="P38">
        <v>1367</v>
      </c>
    </row>
    <row r="39" spans="1:16" x14ac:dyDescent="0.25">
      <c r="O39">
        <v>15</v>
      </c>
      <c r="P39">
        <v>1246</v>
      </c>
    </row>
    <row r="40" spans="1:16" x14ac:dyDescent="0.25">
      <c r="O40">
        <v>20</v>
      </c>
      <c r="P40">
        <v>1128</v>
      </c>
    </row>
    <row r="41" spans="1:16" x14ac:dyDescent="0.25">
      <c r="O41">
        <v>25</v>
      </c>
      <c r="P41">
        <v>1020</v>
      </c>
    </row>
    <row r="42" spans="1:16" x14ac:dyDescent="0.25">
      <c r="O42">
        <v>30</v>
      </c>
      <c r="P42">
        <v>920</v>
      </c>
    </row>
    <row r="43" spans="1:16" x14ac:dyDescent="0.25">
      <c r="O43">
        <v>35</v>
      </c>
      <c r="P43">
        <v>831</v>
      </c>
    </row>
    <row r="44" spans="1:16" x14ac:dyDescent="0.25">
      <c r="O44">
        <v>40</v>
      </c>
      <c r="P44">
        <v>740</v>
      </c>
    </row>
  </sheetData>
  <sortState xmlns:xlrd2="http://schemas.microsoft.com/office/spreadsheetml/2017/richdata2" ref="N21:O27">
    <sortCondition descending="1" ref="N21:N27"/>
  </sortState>
  <mergeCells count="1">
    <mergeCell ref="A1:L1"/>
  </mergeCells>
  <conditionalFormatting sqref="F3:F34">
    <cfRule type="cellIs" dxfId="39" priority="1" operator="between">
      <formula>-0.005</formula>
      <formula>0.005</formula>
    </cfRule>
  </conditionalFormatting>
  <dataValidations count="1">
    <dataValidation type="list" allowBlank="1" showInputMessage="1" showErrorMessage="1" sqref="O3:O4 O17:O18" xr:uid="{2CA79215-96DE-4F5B-8A43-6D200DEF9A46}">
      <formula1>INDIRECT("TableR77[R]")</formula1>
    </dataValidation>
  </dataValidations>
  <hyperlinks>
    <hyperlink ref="Q3" r:id="rId1" display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xr:uid="{EE75C2F6-D6C1-4CC3-91F6-079D34471045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5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6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7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8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9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10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11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12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r:id="rId13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r:id="rId14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5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EFCE-09A2-44D4-86DC-9994D14005CF}">
  <sheetPr codeName="Feuil12"/>
  <dimension ref="A1:P34"/>
  <sheetViews>
    <sheetView workbookViewId="0">
      <selection sqref="A1:XFD1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2">
        <f>ROUND(C3-G3,0)</f>
        <v>0</v>
      </c>
      <c r="P2" s="7" t="s">
        <v>113</v>
      </c>
    </row>
    <row r="3" spans="1:16" x14ac:dyDescent="0.25">
      <c r="A3" t="s">
        <v>17</v>
      </c>
      <c r="B3" s="8">
        <v>-15</v>
      </c>
      <c r="C3" s="9"/>
      <c r="D3" s="9" cm="1">
        <f t="array" aca="1" ref="D3" ca="1">INDIRECT(RefCell_Rpot)+SUM($G$3:G3)</f>
        <v>0</v>
      </c>
      <c r="E3" s="9">
        <f ca="1">data_Template_PTC[[#This Row],[Rpcb]]-data_Template_PTC[[#This Row],[Rsonde]]</f>
        <v>0</v>
      </c>
      <c r="F3" s="4" t="e">
        <f ca="1">data_Template_PTC[[#This Row],[Diff R]]/data_Template_PTC[[#This Row],[Rsonde]]</f>
        <v>#DIV/0!</v>
      </c>
      <c r="G3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3" s="9" cm="1">
        <f t="array" ref="H3">MAX(IF(ResValuesR24&lt;=ROUND(data_Template_PTC[[#This Row],[Rsonde]],2)-IF(data_Template_PTC[[#This Row],[Rsonde]]=MIN(data_Template_PTC[Rsonde]),100,$D2),ResValuesR24))</f>
        <v>0</v>
      </c>
      <c r="I3" s="9">
        <f>ROUND(data_Template_PTC[[#This Row],[RaddLow]]+(IF(data_Template_PTC[[#This Row],[Rsonde]]=MIN(data_Template_PTC[Rsonde]),0,$D2)-data_Template_PTC[[#This Row],[Rsonde]]),2)</f>
        <v>0</v>
      </c>
      <c r="J3" s="9" cm="1">
        <f t="array" ref="J3">MIN(IF(ResValuesR24&gt;=ROUND(data_Template_PTC[[#This Row],[Rsonde]],2)-IF(data_Template_PTC[[#This Row],[Rsonde]]=MIN(data_Template_PTC[Rsonde]),100,$D2),ResValuesR24))</f>
        <v>0.1</v>
      </c>
      <c r="K3" s="9">
        <f>ROUND(data_Template_PTC[[#This Row],[RaddHigh]]+(IF(data_Template_PTC[[#This Row],[Rsonde]]=MIN(data_Template_PTC[Rsonde]),0,$D2)-data_Template_PTC[[#This Row],[Rsonde]]),2)</f>
        <v>0.1</v>
      </c>
      <c r="L3" s="2" cm="1">
        <f t="array" aca="1" ref="L3" ca="1">IF(INDIRECT(RefCell_R77),(data_Template_PTC[[#This Row],[Rpcb]]*INDIRECT(RefCell_R77))/(data_Template_PTC[[#This Row],[Rpcb]]+INDIRECT(RefCell_R77)),data_Template_PTC[[#This Row],[Rpcb]])</f>
        <v>0</v>
      </c>
      <c r="N3" t="s">
        <v>112</v>
      </c>
      <c r="P3" s="7" t="s">
        <v>113</v>
      </c>
    </row>
    <row r="4" spans="1:16" x14ac:dyDescent="0.25">
      <c r="A4" t="s">
        <v>18</v>
      </c>
      <c r="B4" s="8">
        <v>-13.5</v>
      </c>
      <c r="C4" s="9"/>
      <c r="D4" s="9" cm="1">
        <f t="array" aca="1" ref="D4" ca="1">INDIRECT(RefCell_Rpot)+SUM($G$3:G4)</f>
        <v>0</v>
      </c>
      <c r="E4" s="9">
        <f ca="1">data_Template_PTC[[#This Row],[Rpcb]]-data_Template_PTC[[#This Row],[Rsonde]]</f>
        <v>0</v>
      </c>
      <c r="F4" s="4" t="e">
        <f ca="1">data_Template_PTC[[#This Row],[Diff R]]/data_Template_PTC[[#This Row],[Rsonde]]</f>
        <v>#DIV/0!</v>
      </c>
      <c r="G4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4" s="9" cm="1">
        <f t="array" ref="H4">MAX(IF(ResValuesR24&lt;=ROUND(data_Template_PTC[[#This Row],[Rsonde]],2)-IF(data_Template_PTC[[#This Row],[Rsonde]]=MIN(data_Template_PTC[Rsonde]),100,$D3),ResValuesR24))</f>
        <v>0</v>
      </c>
      <c r="I4" s="9">
        <f>ROUND(data_Template_PTC[[#This Row],[RaddLow]]+(IF(data_Template_PTC[[#This Row],[Rsonde]]=MIN(data_Template_PTC[Rsonde]),0,$D3)-data_Template_PTC[[#This Row],[Rsonde]]),2)</f>
        <v>0</v>
      </c>
      <c r="J4" s="9" cm="1">
        <f t="array" ref="J4">MIN(IF(ResValuesR24&gt;=ROUND(data_Template_PTC[[#This Row],[Rsonde]],2)-IF(data_Template_PTC[[#This Row],[Rsonde]]=MIN(data_Template_PTC[Rsonde]),100,$D3),ResValuesR24))</f>
        <v>0.1</v>
      </c>
      <c r="K4" s="9">
        <f>ROUND(data_Template_PTC[[#This Row],[RaddHigh]]+(IF(data_Template_PTC[[#This Row],[Rsonde]]=MIN(data_Template_PTC[Rsonde]),0,$D3)-data_Template_PTC[[#This Row],[Rsonde]]),2)</f>
        <v>0.1</v>
      </c>
      <c r="L4" s="2" cm="1">
        <f t="array" aca="1" ref="L4" ca="1">IF(INDIRECT(RefCell_R77),(data_Template_PTC[[#This Row],[Rpcb]]*INDIRECT(RefCell_R77))/(data_Template_PTC[[#This Row],[Rpcb]]+INDIRECT(RefCell_R77)),data_Template_PTC[[#This Row],[Rpcb]])</f>
        <v>0</v>
      </c>
    </row>
    <row r="5" spans="1:16" x14ac:dyDescent="0.25">
      <c r="A5" t="s">
        <v>19</v>
      </c>
      <c r="B5" s="8">
        <v>-12</v>
      </c>
      <c r="C5" s="9"/>
      <c r="D5" s="9" cm="1">
        <f t="array" aca="1" ref="D5" ca="1">INDIRECT(RefCell_Rpot)+SUM($G$3:G5)</f>
        <v>0</v>
      </c>
      <c r="E5" s="9">
        <f ca="1">data_Template_PTC[[#This Row],[Rpcb]]-data_Template_PTC[[#This Row],[Rsonde]]</f>
        <v>0</v>
      </c>
      <c r="F5" s="4" t="e">
        <f ca="1">data_Template_PTC[[#This Row],[Diff R]]/data_Template_PTC[[#This Row],[Rsonde]]</f>
        <v>#DIV/0!</v>
      </c>
      <c r="G5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5" s="9" cm="1">
        <f t="array" ref="H5">MAX(IF(ResValuesR24&lt;=ROUND(data_Template_PTC[[#This Row],[Rsonde]],2)-IF(data_Template_PTC[[#This Row],[Rsonde]]=MIN(data_Template_PTC[Rsonde]),100,$D4),ResValuesR24))</f>
        <v>0</v>
      </c>
      <c r="I5" s="9">
        <f>ROUND(data_Template_PTC[[#This Row],[RaddLow]]+(IF(data_Template_PTC[[#This Row],[Rsonde]]=MIN(data_Template_PTC[Rsonde]),0,$D4)-data_Template_PTC[[#This Row],[Rsonde]]),2)</f>
        <v>0</v>
      </c>
      <c r="J5" s="9" cm="1">
        <f t="array" ref="J5">MIN(IF(ResValuesR24&gt;=ROUND(data_Template_PTC[[#This Row],[Rsonde]],2)-IF(data_Template_PTC[[#This Row],[Rsonde]]=MIN(data_Template_PTC[Rsonde]),100,$D4),ResValuesR24))</f>
        <v>0.1</v>
      </c>
      <c r="K5" s="9">
        <f>ROUND(data_Template_PTC[[#This Row],[RaddHigh]]+(IF(data_Template_PTC[[#This Row],[Rsonde]]=MIN(data_Template_PTC[Rsonde]),0,$D4)-data_Template_PTC[[#This Row],[Rsonde]]),2)</f>
        <v>0.1</v>
      </c>
      <c r="L5" s="2" cm="1">
        <f t="array" aca="1" ref="L5" ca="1">IF(INDIRECT(RefCell_R77),(data_Template_PTC[[#This Row],[Rpcb]]*INDIRECT(RefCell_R77))/(data_Template_PTC[[#This Row],[Rpcb]]+INDIRECT(RefCell_R77)),data_Template_PTC[[#This Row],[Rpcb]])</f>
        <v>0</v>
      </c>
      <c r="N5" s="1" t="s">
        <v>215</v>
      </c>
    </row>
    <row r="6" spans="1:16" x14ac:dyDescent="0.25">
      <c r="A6" t="s">
        <v>20</v>
      </c>
      <c r="B6" s="8">
        <v>-10.5</v>
      </c>
      <c r="C6" s="9"/>
      <c r="D6" s="9" cm="1">
        <f t="array" aca="1" ref="D6" ca="1">INDIRECT(RefCell_Rpot)+SUM($G$3:G6)</f>
        <v>0</v>
      </c>
      <c r="E6" s="9">
        <f ca="1">data_Template_PTC[[#This Row],[Rpcb]]-data_Template_PTC[[#This Row],[Rsonde]]</f>
        <v>0</v>
      </c>
      <c r="F6" s="4" t="e">
        <f ca="1">data_Template_PTC[[#This Row],[Diff R]]/data_Template_PTC[[#This Row],[Rsonde]]</f>
        <v>#DIV/0!</v>
      </c>
      <c r="G6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6" s="9" cm="1">
        <f t="array" ref="H6">MAX(IF(ResValuesR24&lt;=ROUND(data_Template_PTC[[#This Row],[Rsonde]],2)-IF(data_Template_PTC[[#This Row],[Rsonde]]=MIN(data_Template_PTC[Rsonde]),100,$D5),ResValuesR24))</f>
        <v>0</v>
      </c>
      <c r="I6" s="9">
        <f>ROUND(data_Template_PTC[[#This Row],[RaddLow]]+(IF(data_Template_PTC[[#This Row],[Rsonde]]=MIN(data_Template_PTC[Rsonde]),0,$D5)-data_Template_PTC[[#This Row],[Rsonde]]),2)</f>
        <v>0</v>
      </c>
      <c r="J6" s="9" cm="1">
        <f t="array" ref="J6">MIN(IF(ResValuesR24&gt;=ROUND(data_Template_PTC[[#This Row],[Rsonde]],2)-IF(data_Template_PTC[[#This Row],[Rsonde]]=MIN(data_Template_PTC[Rsonde]),100,$D5),ResValuesR24))</f>
        <v>0.1</v>
      </c>
      <c r="K6" s="9">
        <f>ROUND(data_Template_PTC[[#This Row],[RaddHigh]]+(IF(data_Template_PTC[[#This Row],[Rsonde]]=MIN(data_Template_PTC[Rsonde]),0,$D5)-data_Template_PTC[[#This Row],[Rsonde]]),2)</f>
        <v>0.1</v>
      </c>
      <c r="L6" s="2" cm="1">
        <f t="array" aca="1" ref="L6" ca="1">IF(INDIRECT(RefCell_R77),(data_Template_PTC[[#This Row],[Rpcb]]*INDIRECT(RefCell_R77))/(data_Template_PTC[[#This Row],[Rpcb]]+INDIRECT(RefCell_R77)),data_Template_PTC[[#This Row],[Rpcb]])</f>
        <v>0</v>
      </c>
      <c r="N6" s="35" t="s">
        <v>131</v>
      </c>
      <c r="O6" t="e">
        <f t="shared" ref="O6" si="0">O14 - O11*O7 - O11^3*O8</f>
        <v>#NUM!</v>
      </c>
    </row>
    <row r="7" spans="1:16" x14ac:dyDescent="0.25">
      <c r="A7" t="s">
        <v>21</v>
      </c>
      <c r="B7" s="8">
        <v>-9</v>
      </c>
      <c r="C7" s="9"/>
      <c r="D7" s="9" cm="1">
        <f t="array" aca="1" ref="D7" ca="1">INDIRECT(RefCell_Rpot)+SUM($G$3:G7)</f>
        <v>0</v>
      </c>
      <c r="E7" s="9">
        <f ca="1">data_Template_PTC[[#This Row],[Rpcb]]-data_Template_PTC[[#This Row],[Rsonde]]</f>
        <v>0</v>
      </c>
      <c r="F7" s="4" t="e">
        <f ca="1">data_Template_PTC[[#This Row],[Diff R]]/data_Template_PTC[[#This Row],[Rsonde]]</f>
        <v>#DIV/0!</v>
      </c>
      <c r="G7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7" s="9" cm="1">
        <f t="array" ref="H7">MAX(IF(ResValuesR24&lt;=ROUND(data_Template_PTC[[#This Row],[Rsonde]],2)-IF(data_Template_PTC[[#This Row],[Rsonde]]=MIN(data_Template_PTC[Rsonde]),100,$D6),ResValuesR24))</f>
        <v>0</v>
      </c>
      <c r="I7" s="9">
        <f>ROUND(data_Template_PTC[[#This Row],[RaddLow]]+(IF(data_Template_PTC[[#This Row],[Rsonde]]=MIN(data_Template_PTC[Rsonde]),0,$D6)-data_Template_PTC[[#This Row],[Rsonde]]),2)</f>
        <v>0</v>
      </c>
      <c r="J7" s="9" cm="1">
        <f t="array" ref="J7">MIN(IF(ResValuesR24&gt;=ROUND(data_Template_PTC[[#This Row],[Rsonde]],2)-IF(data_Template_PTC[[#This Row],[Rsonde]]=MIN(data_Template_PTC[Rsonde]),100,$D6),ResValuesR24))</f>
        <v>0.1</v>
      </c>
      <c r="K7" s="9">
        <f>ROUND(data_Template_PTC[[#This Row],[RaddHigh]]+(IF(data_Template_PTC[[#This Row],[Rsonde]]=MIN(data_Template_PTC[Rsonde]),0,$D6)-data_Template_PTC[[#This Row],[Rsonde]]),2)</f>
        <v>0.1</v>
      </c>
      <c r="L7" s="2" cm="1">
        <f t="array" aca="1" ref="L7" ca="1">IF(INDIRECT(RefCell_R77),(data_Template_PTC[[#This Row],[Rpcb]]*INDIRECT(RefCell_R77))/(data_Template_PTC[[#This Row],[Rpcb]]+INDIRECT(RefCell_R77)),data_Template_PTC[[#This Row],[Rpcb]])</f>
        <v>0</v>
      </c>
      <c r="N7" s="35" t="s">
        <v>130</v>
      </c>
      <c r="O7" t="e">
        <f t="shared" ref="O7" si="1">(1/(O11-O12)) * (O14-O15-(O11^3-O12^3)*O8)</f>
        <v>#NUM!</v>
      </c>
    </row>
    <row r="8" spans="1:16" x14ac:dyDescent="0.25">
      <c r="A8" t="s">
        <v>22</v>
      </c>
      <c r="B8" s="8">
        <v>-7.5</v>
      </c>
      <c r="C8" s="9"/>
      <c r="D8" s="9" cm="1">
        <f t="array" aca="1" ref="D8" ca="1">INDIRECT(RefCell_Rpot)+SUM($G$3:G8)</f>
        <v>0</v>
      </c>
      <c r="E8" s="9">
        <f ca="1">data_Template_PTC[[#This Row],[Rpcb]]-data_Template_PTC[[#This Row],[Rsonde]]</f>
        <v>0</v>
      </c>
      <c r="F8" s="4" t="e">
        <f ca="1">data_Template_PTC[[#This Row],[Diff R]]/data_Template_PTC[[#This Row],[Rsonde]]</f>
        <v>#DIV/0!</v>
      </c>
      <c r="G8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8" s="9" cm="1">
        <f t="array" ref="H8">MAX(IF(ResValuesR24&lt;=ROUND(data_Template_PTC[[#This Row],[Rsonde]],2)-IF(data_Template_PTC[[#This Row],[Rsonde]]=MIN(data_Template_PTC[Rsonde]),100,$D7),ResValuesR24))</f>
        <v>0</v>
      </c>
      <c r="I8" s="9">
        <f>ROUND(data_Template_PTC[[#This Row],[RaddLow]]+(IF(data_Template_PTC[[#This Row],[Rsonde]]=MIN(data_Template_PTC[Rsonde]),0,$D7)-data_Template_PTC[[#This Row],[Rsonde]]),2)</f>
        <v>0</v>
      </c>
      <c r="J8" s="9" cm="1">
        <f t="array" ref="J8">MIN(IF(ResValuesR24&gt;=ROUND(data_Template_PTC[[#This Row],[Rsonde]],2)-IF(data_Template_PTC[[#This Row],[Rsonde]]=MIN(data_Template_PTC[Rsonde]),100,$D7),ResValuesR24))</f>
        <v>0.1</v>
      </c>
      <c r="K8" s="9">
        <f>ROUND(data_Template_PTC[[#This Row],[RaddHigh]]+(IF(data_Template_PTC[[#This Row],[Rsonde]]=MIN(data_Template_PTC[Rsonde]),0,$D7)-data_Template_PTC[[#This Row],[Rsonde]]),2)</f>
        <v>0.1</v>
      </c>
      <c r="L8" s="2" cm="1">
        <f t="array" aca="1" ref="L8" ca="1">IF(INDIRECT(RefCell_R77),(data_Template_PTC[[#This Row],[Rpcb]]*INDIRECT(RefCell_R77))/(data_Template_PTC[[#This Row],[Rpcb]]+INDIRECT(RefCell_R77)),data_Template_PTC[[#This Row],[Rpcb]])</f>
        <v>0</v>
      </c>
      <c r="N8" s="35" t="s">
        <v>129</v>
      </c>
      <c r="O8" t="e">
        <f t="shared" ref="O8" si="2">O10/O9</f>
        <v>#NUM!</v>
      </c>
    </row>
    <row r="9" spans="1:16" x14ac:dyDescent="0.25">
      <c r="A9" t="s">
        <v>23</v>
      </c>
      <c r="B9" s="8">
        <v>-6</v>
      </c>
      <c r="C9" s="9"/>
      <c r="D9" s="9" cm="1">
        <f t="array" aca="1" ref="D9" ca="1">INDIRECT(RefCell_Rpot)+SUM($G$3:G9)</f>
        <v>0</v>
      </c>
      <c r="E9" s="9">
        <f ca="1">data_Template_PTC[[#This Row],[Rpcb]]-data_Template_PTC[[#This Row],[Rsonde]]</f>
        <v>0</v>
      </c>
      <c r="F9" s="4" t="e">
        <f ca="1">data_Template_PTC[[#This Row],[Diff R]]/data_Template_PTC[[#This Row],[Rsonde]]</f>
        <v>#DIV/0!</v>
      </c>
      <c r="G9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9" s="9" cm="1">
        <f t="array" ref="H9">MAX(IF(ResValuesR24&lt;=ROUND(data_Template_PTC[[#This Row],[Rsonde]],2)-IF(data_Template_PTC[[#This Row],[Rsonde]]=MIN(data_Template_PTC[Rsonde]),100,$D8),ResValuesR24))</f>
        <v>0</v>
      </c>
      <c r="I9" s="9">
        <f>ROUND(data_Template_PTC[[#This Row],[RaddLow]]+(IF(data_Template_PTC[[#This Row],[Rsonde]]=MIN(data_Template_PTC[Rsonde]),0,$D8)-data_Template_PTC[[#This Row],[Rsonde]]),2)</f>
        <v>0</v>
      </c>
      <c r="J9" s="9" cm="1">
        <f t="array" ref="J9">MIN(IF(ResValuesR24&gt;=ROUND(data_Template_PTC[[#This Row],[Rsonde]],2)-IF(data_Template_PTC[[#This Row],[Rsonde]]=MIN(data_Template_PTC[Rsonde]),100,$D8),ResValuesR24))</f>
        <v>0.1</v>
      </c>
      <c r="K9" s="9">
        <f>ROUND(data_Template_PTC[[#This Row],[RaddHigh]]+(IF(data_Template_PTC[[#This Row],[Rsonde]]=MIN(data_Template_PTC[Rsonde]),0,$D8)-data_Template_PTC[[#This Row],[Rsonde]]),2)</f>
        <v>0.1</v>
      </c>
      <c r="L9" s="2" cm="1">
        <f t="array" aca="1" ref="L9" ca="1">IF(INDIRECT(RefCell_R77),(data_Template_PTC[[#This Row],[Rpcb]]*INDIRECT(RefCell_R77))/(data_Template_PTC[[#This Row],[Rpcb]]+INDIRECT(RefCell_R77)),data_Template_PTC[[#This Row],[Rpcb]])</f>
        <v>0</v>
      </c>
      <c r="N9" s="3" t="s">
        <v>181</v>
      </c>
      <c r="O9" t="e">
        <f t="shared" ref="O9" si="3">(O12-O13)/(O11-O12) * (O12^3-O11^3) + (O12^3-O13^3)</f>
        <v>#NUM!</v>
      </c>
    </row>
    <row r="10" spans="1:16" x14ac:dyDescent="0.25">
      <c r="A10" t="s">
        <v>24</v>
      </c>
      <c r="B10" s="8">
        <v>-4.5</v>
      </c>
      <c r="C10" s="9"/>
      <c r="D10" s="9" cm="1">
        <f t="array" aca="1" ref="D10" ca="1">INDIRECT(RefCell_Rpot)+SUM($G$3:G10)</f>
        <v>0</v>
      </c>
      <c r="E10" s="9">
        <f ca="1">data_Template_PTC[[#This Row],[Rpcb]]-data_Template_PTC[[#This Row],[Rsonde]]</f>
        <v>0</v>
      </c>
      <c r="F10" s="4" t="e">
        <f ca="1">data_Template_PTC[[#This Row],[Diff R]]/data_Template_PTC[[#This Row],[Rsonde]]</f>
        <v>#DIV/0!</v>
      </c>
      <c r="G10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0" s="9" cm="1">
        <f t="array" ref="H10">MAX(IF(ResValuesR24&lt;=ROUND(data_Template_PTC[[#This Row],[Rsonde]],2)-IF(data_Template_PTC[[#This Row],[Rsonde]]=MIN(data_Template_PTC[Rsonde]),100,$D9),ResValuesR24))</f>
        <v>0</v>
      </c>
      <c r="I10" s="9">
        <f>ROUND(data_Template_PTC[[#This Row],[RaddLow]]+(IF(data_Template_PTC[[#This Row],[Rsonde]]=MIN(data_Template_PTC[Rsonde]),0,$D9)-data_Template_PTC[[#This Row],[Rsonde]]),2)</f>
        <v>0</v>
      </c>
      <c r="J10" s="9" cm="1">
        <f t="array" ref="J10">MIN(IF(ResValuesR24&gt;=ROUND(data_Template_PTC[[#This Row],[Rsonde]],2)-IF(data_Template_PTC[[#This Row],[Rsonde]]=MIN(data_Template_PTC[Rsonde]),100,$D9),ResValuesR24))</f>
        <v>0.1</v>
      </c>
      <c r="K10" s="9">
        <f>ROUND(data_Template_PTC[[#This Row],[RaddHigh]]+(IF(data_Template_PTC[[#This Row],[Rsonde]]=MIN(data_Template_PTC[Rsonde]),0,$D9)-data_Template_PTC[[#This Row],[Rsonde]]),2)</f>
        <v>0.1</v>
      </c>
      <c r="L10" s="2" cm="1">
        <f t="array" aca="1" ref="L10" ca="1">IF(INDIRECT(RefCell_R77),(data_Template_PTC[[#This Row],[Rpcb]]*INDIRECT(RefCell_R77))/(data_Template_PTC[[#This Row],[Rpcb]]+INDIRECT(RefCell_R77)),data_Template_PTC[[#This Row],[Rpcb]])</f>
        <v>0</v>
      </c>
      <c r="N10" s="3" t="s">
        <v>182</v>
      </c>
      <c r="O10" t="e">
        <f t="shared" ref="O10" si="4">O15 - O16 - ( (O12-O13)/(O11-O12) ) * (O14-O15)</f>
        <v>#NUM!</v>
      </c>
    </row>
    <row r="11" spans="1:16" x14ac:dyDescent="0.25">
      <c r="A11" t="s">
        <v>25</v>
      </c>
      <c r="B11" s="8">
        <v>-3</v>
      </c>
      <c r="C11" s="9"/>
      <c r="D11" s="9" cm="1">
        <f t="array" aca="1" ref="D11" ca="1">INDIRECT(RefCell_Rpot)+SUM($G$3:G11)</f>
        <v>0</v>
      </c>
      <c r="E11" s="9">
        <f ca="1">data_Template_PTC[[#This Row],[Rpcb]]-data_Template_PTC[[#This Row],[Rsonde]]</f>
        <v>0</v>
      </c>
      <c r="F11" s="4" t="e">
        <f ca="1">data_Template_PTC[[#This Row],[Diff R]]/data_Template_PTC[[#This Row],[Rsonde]]</f>
        <v>#DIV/0!</v>
      </c>
      <c r="G11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1" s="9" cm="1">
        <f t="array" ref="H11">MAX(IF(ResValuesR24&lt;=ROUND(data_Template_PTC[[#This Row],[Rsonde]],2)-IF(data_Template_PTC[[#This Row],[Rsonde]]=MIN(data_Template_PTC[Rsonde]),100,$D10),ResValuesR24))</f>
        <v>0</v>
      </c>
      <c r="I11" s="9">
        <f>ROUND(data_Template_PTC[[#This Row],[RaddLow]]+(IF(data_Template_PTC[[#This Row],[Rsonde]]=MIN(data_Template_PTC[Rsonde]),0,$D10)-data_Template_PTC[[#This Row],[Rsonde]]),2)</f>
        <v>0</v>
      </c>
      <c r="J11" s="9" cm="1">
        <f t="array" ref="J11">MIN(IF(ResValuesR24&gt;=ROUND(data_Template_PTC[[#This Row],[Rsonde]],2)-IF(data_Template_PTC[[#This Row],[Rsonde]]=MIN(data_Template_PTC[Rsonde]),100,$D10),ResValuesR24))</f>
        <v>0.1</v>
      </c>
      <c r="K11" s="9">
        <f>ROUND(data_Template_PTC[[#This Row],[RaddHigh]]+(IF(data_Template_PTC[[#This Row],[Rsonde]]=MIN(data_Template_PTC[Rsonde]),0,$D10)-data_Template_PTC[[#This Row],[Rsonde]]),2)</f>
        <v>0.1</v>
      </c>
      <c r="L11" s="2" cm="1">
        <f t="array" aca="1" ref="L11" ca="1">IF(INDIRECT(RefCell_R77),(data_Template_PTC[[#This Row],[Rpcb]]*INDIRECT(RefCell_R77))/(data_Template_PTC[[#This Row],[Rpcb]]+INDIRECT(RefCell_R77)),data_Template_PTC[[#This Row],[Rpcb]])</f>
        <v>0</v>
      </c>
      <c r="N11" s="3" t="s">
        <v>178</v>
      </c>
      <c r="O11" t="e">
        <f>LN(C3)</f>
        <v>#NUM!</v>
      </c>
    </row>
    <row r="12" spans="1:16" x14ac:dyDescent="0.25">
      <c r="A12" t="s">
        <v>26</v>
      </c>
      <c r="B12" s="8">
        <v>-1.5</v>
      </c>
      <c r="C12" s="9"/>
      <c r="D12" s="9" cm="1">
        <f t="array" aca="1" ref="D12" ca="1">INDIRECT(RefCell_Rpot)+SUM($G$3:G12)</f>
        <v>0</v>
      </c>
      <c r="E12" s="9">
        <f ca="1">data_Template_PTC[[#This Row],[Rpcb]]-data_Template_PTC[[#This Row],[Rsonde]]</f>
        <v>0</v>
      </c>
      <c r="F12" s="4" t="e">
        <f ca="1">data_Template_PTC[[#This Row],[Diff R]]/data_Template_PTC[[#This Row],[Rsonde]]</f>
        <v>#DIV/0!</v>
      </c>
      <c r="G12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2" s="9" cm="1">
        <f t="array" ref="H12">MAX(IF(ResValuesR24&lt;=ROUND(data_Template_PTC[[#This Row],[Rsonde]],2)-IF(data_Template_PTC[[#This Row],[Rsonde]]=MIN(data_Template_PTC[Rsonde]),100,$D11),ResValuesR24))</f>
        <v>0</v>
      </c>
      <c r="I12" s="9">
        <f>ROUND(data_Template_PTC[[#This Row],[RaddLow]]+(IF(data_Template_PTC[[#This Row],[Rsonde]]=MIN(data_Template_PTC[Rsonde]),0,$D11)-data_Template_PTC[[#This Row],[Rsonde]]),2)</f>
        <v>0</v>
      </c>
      <c r="J12" s="9" cm="1">
        <f t="array" ref="J12">MIN(IF(ResValuesR24&gt;=ROUND(data_Template_PTC[[#This Row],[Rsonde]],2)-IF(data_Template_PTC[[#This Row],[Rsonde]]=MIN(data_Template_PTC[Rsonde]),100,$D11),ResValuesR24))</f>
        <v>0.1</v>
      </c>
      <c r="K12" s="9">
        <f>ROUND(data_Template_PTC[[#This Row],[RaddHigh]]+(IF(data_Template_PTC[[#This Row],[Rsonde]]=MIN(data_Template_PTC[Rsonde]),0,$D11)-data_Template_PTC[[#This Row],[Rsonde]]),2)</f>
        <v>0.1</v>
      </c>
      <c r="L12" s="2" cm="1">
        <f t="array" aca="1" ref="L12" ca="1">IF(INDIRECT(RefCell_R77),(data_Template_PTC[[#This Row],[Rpcb]]*INDIRECT(RefCell_R77))/(data_Template_PTC[[#This Row],[Rpcb]]+INDIRECT(RefCell_R77)),data_Template_PTC[[#This Row],[Rpcb]])</f>
        <v>0</v>
      </c>
      <c r="N12" s="3" t="s">
        <v>179</v>
      </c>
      <c r="O12" t="e">
        <f>LN(C17)</f>
        <v>#NUM!</v>
      </c>
    </row>
    <row r="13" spans="1:16" x14ac:dyDescent="0.25">
      <c r="A13" t="s">
        <v>27</v>
      </c>
      <c r="B13" s="8">
        <v>0</v>
      </c>
      <c r="C13" s="9"/>
      <c r="D13" s="9" cm="1">
        <f t="array" aca="1" ref="D13" ca="1">INDIRECT(RefCell_Rpot)+SUM($G$3:G13)</f>
        <v>0</v>
      </c>
      <c r="E13" s="9">
        <f ca="1">data_Template_PTC[[#This Row],[Rpcb]]-data_Template_PTC[[#This Row],[Rsonde]]</f>
        <v>0</v>
      </c>
      <c r="F13" s="4" t="e">
        <f ca="1">data_Template_PTC[[#This Row],[Diff R]]/data_Template_PTC[[#This Row],[Rsonde]]</f>
        <v>#DIV/0!</v>
      </c>
      <c r="G13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3" s="9" cm="1">
        <f t="array" ref="H13">MAX(IF(ResValuesR24&lt;=ROUND(data_Template_PTC[[#This Row],[Rsonde]],2)-IF(data_Template_PTC[[#This Row],[Rsonde]]=MIN(data_Template_PTC[Rsonde]),100,$D12),ResValuesR24))</f>
        <v>0</v>
      </c>
      <c r="I13" s="9">
        <f>ROUND(data_Template_PTC[[#This Row],[RaddLow]]+(IF(data_Template_PTC[[#This Row],[Rsonde]]=MIN(data_Template_PTC[Rsonde]),0,$D12)-data_Template_PTC[[#This Row],[Rsonde]]),2)</f>
        <v>0</v>
      </c>
      <c r="J13" s="9" cm="1">
        <f t="array" ref="J13">MIN(IF(ResValuesR24&gt;=ROUND(data_Template_PTC[[#This Row],[Rsonde]],2)-IF(data_Template_PTC[[#This Row],[Rsonde]]=MIN(data_Template_PTC[Rsonde]),100,$D12),ResValuesR24))</f>
        <v>0.1</v>
      </c>
      <c r="K13" s="9">
        <f>ROUND(data_Template_PTC[[#This Row],[RaddHigh]]+(IF(data_Template_PTC[[#This Row],[Rsonde]]=MIN(data_Template_PTC[Rsonde]),0,$D12)-data_Template_PTC[[#This Row],[Rsonde]]),2)</f>
        <v>0.1</v>
      </c>
      <c r="L13" s="2" cm="1">
        <f t="array" aca="1" ref="L13" ca="1">IF(INDIRECT(RefCell_R77),(data_Template_PTC[[#This Row],[Rpcb]]*INDIRECT(RefCell_R77))/(data_Template_PTC[[#This Row],[Rpcb]]+INDIRECT(RefCell_R77)),data_Template_PTC[[#This Row],[Rpcb]])</f>
        <v>0</v>
      </c>
      <c r="N13" s="3" t="s">
        <v>180</v>
      </c>
      <c r="O13" t="e">
        <f>LN(C31)</f>
        <v>#NUM!</v>
      </c>
    </row>
    <row r="14" spans="1:16" x14ac:dyDescent="0.25">
      <c r="A14" t="s">
        <v>28</v>
      </c>
      <c r="B14" s="8">
        <v>1.5</v>
      </c>
      <c r="C14" s="9"/>
      <c r="D14" s="9" cm="1">
        <f t="array" aca="1" ref="D14" ca="1">INDIRECT(RefCell_Rpot)+SUM($G$3:G14)</f>
        <v>0</v>
      </c>
      <c r="E14" s="9">
        <f ca="1">data_Template_PTC[[#This Row],[Rpcb]]-data_Template_PTC[[#This Row],[Rsonde]]</f>
        <v>0</v>
      </c>
      <c r="F14" s="4" t="e">
        <f ca="1">data_Template_PTC[[#This Row],[Diff R]]/data_Template_PTC[[#This Row],[Rsonde]]</f>
        <v>#DIV/0!</v>
      </c>
      <c r="G14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4" s="9" cm="1">
        <f t="array" ref="H14">MAX(IF(ResValuesR24&lt;=ROUND(data_Template_PTC[[#This Row],[Rsonde]],2)-IF(data_Template_PTC[[#This Row],[Rsonde]]=MIN(data_Template_PTC[Rsonde]),100,$D13),ResValuesR24))</f>
        <v>0</v>
      </c>
      <c r="I14" s="9">
        <f>ROUND(data_Template_PTC[[#This Row],[RaddLow]]+(IF(data_Template_PTC[[#This Row],[Rsonde]]=MIN(data_Template_PTC[Rsonde]),0,$D13)-data_Template_PTC[[#This Row],[Rsonde]]),2)</f>
        <v>0</v>
      </c>
      <c r="J14" s="9" cm="1">
        <f t="array" ref="J14">MIN(IF(ResValuesR24&gt;=ROUND(data_Template_PTC[[#This Row],[Rsonde]],2)-IF(data_Template_PTC[[#This Row],[Rsonde]]=MIN(data_Template_PTC[Rsonde]),100,$D13),ResValuesR24))</f>
        <v>0.1</v>
      </c>
      <c r="K14" s="9">
        <f>ROUND(data_Template_PTC[[#This Row],[RaddHigh]]+(IF(data_Template_PTC[[#This Row],[Rsonde]]=MIN(data_Template_PTC[Rsonde]),0,$D13)-data_Template_PTC[[#This Row],[Rsonde]]),2)</f>
        <v>0.1</v>
      </c>
      <c r="L14" s="2" cm="1">
        <f t="array" aca="1" ref="L14" ca="1">IF(INDIRECT(RefCell_R77),(data_Template_PTC[[#This Row],[Rpcb]]*INDIRECT(RefCell_R77))/(data_Template_PTC[[#This Row],[Rpcb]]+INDIRECT(RefCell_R77)),data_Template_PTC[[#This Row],[Rpcb]])</f>
        <v>0</v>
      </c>
      <c r="N14" s="3" t="s">
        <v>175</v>
      </c>
      <c r="O14">
        <f>1/(B3+273.15)</f>
        <v>3.8737168312996321E-3</v>
      </c>
    </row>
    <row r="15" spans="1:16" x14ac:dyDescent="0.25">
      <c r="A15" t="s">
        <v>29</v>
      </c>
      <c r="B15" s="8">
        <v>3</v>
      </c>
      <c r="C15" s="9"/>
      <c r="D15" s="9" cm="1">
        <f t="array" aca="1" ref="D15" ca="1">INDIRECT(RefCell_Rpot)+SUM($G$3:G15)</f>
        <v>0</v>
      </c>
      <c r="E15" s="9">
        <f ca="1">data_Template_PTC[[#This Row],[Rpcb]]-data_Template_PTC[[#This Row],[Rsonde]]</f>
        <v>0</v>
      </c>
      <c r="F15" s="4" t="e">
        <f ca="1">data_Template_PTC[[#This Row],[Diff R]]/data_Template_PTC[[#This Row],[Rsonde]]</f>
        <v>#DIV/0!</v>
      </c>
      <c r="G15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5" s="9" cm="1">
        <f t="array" ref="H15">MAX(IF(ResValuesR24&lt;=ROUND(data_Template_PTC[[#This Row],[Rsonde]],2)-IF(data_Template_PTC[[#This Row],[Rsonde]]=MIN(data_Template_PTC[Rsonde]),100,$D14),ResValuesR24))</f>
        <v>0</v>
      </c>
      <c r="I15" s="9">
        <f>ROUND(data_Template_PTC[[#This Row],[RaddLow]]+(IF(data_Template_PTC[[#This Row],[Rsonde]]=MIN(data_Template_PTC[Rsonde]),0,$D14)-data_Template_PTC[[#This Row],[Rsonde]]),2)</f>
        <v>0</v>
      </c>
      <c r="J15" s="9" cm="1">
        <f t="array" ref="J15">MIN(IF(ResValuesR24&gt;=ROUND(data_Template_PTC[[#This Row],[Rsonde]],2)-IF(data_Template_PTC[[#This Row],[Rsonde]]=MIN(data_Template_PTC[Rsonde]),100,$D14),ResValuesR24))</f>
        <v>0.1</v>
      </c>
      <c r="K15" s="9">
        <f>ROUND(data_Template_PTC[[#This Row],[RaddHigh]]+(IF(data_Template_PTC[[#This Row],[Rsonde]]=MIN(data_Template_PTC[Rsonde]),0,$D14)-data_Template_PTC[[#This Row],[Rsonde]]),2)</f>
        <v>0.1</v>
      </c>
      <c r="L15" s="2" cm="1">
        <f t="array" aca="1" ref="L15" ca="1">IF(INDIRECT(RefCell_R77),(data_Template_PTC[[#This Row],[Rpcb]]*INDIRECT(RefCell_R77))/(data_Template_PTC[[#This Row],[Rpcb]]+INDIRECT(RefCell_R77)),data_Template_PTC[[#This Row],[Rpcb]])</f>
        <v>0</v>
      </c>
      <c r="N15" s="3" t="s">
        <v>176</v>
      </c>
      <c r="O15">
        <f>1/(B17+273.15)</f>
        <v>3.5823034210997673E-3</v>
      </c>
    </row>
    <row r="16" spans="1:16" x14ac:dyDescent="0.25">
      <c r="A16" t="s">
        <v>30</v>
      </c>
      <c r="B16" s="8">
        <v>4.5</v>
      </c>
      <c r="C16" s="9"/>
      <c r="D16" s="9" cm="1">
        <f t="array" aca="1" ref="D16" ca="1">INDIRECT(RefCell_Rpot)+SUM($G$3:G16)</f>
        <v>0</v>
      </c>
      <c r="E16" s="9">
        <f ca="1">data_Template_PTC[[#This Row],[Rpcb]]-data_Template_PTC[[#This Row],[Rsonde]]</f>
        <v>0</v>
      </c>
      <c r="F16" s="4" t="e">
        <f ca="1">data_Template_PTC[[#This Row],[Diff R]]/data_Template_PTC[[#This Row],[Rsonde]]</f>
        <v>#DIV/0!</v>
      </c>
      <c r="G16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6" s="9" cm="1">
        <f t="array" ref="H16">MAX(IF(ResValuesR24&lt;=ROUND(data_Template_PTC[[#This Row],[Rsonde]],2)-IF(data_Template_PTC[[#This Row],[Rsonde]]=MIN(data_Template_PTC[Rsonde]),100,$D15),ResValuesR24))</f>
        <v>0</v>
      </c>
      <c r="I16" s="9">
        <f>ROUND(data_Template_PTC[[#This Row],[RaddLow]]+(IF(data_Template_PTC[[#This Row],[Rsonde]]=MIN(data_Template_PTC[Rsonde]),0,$D15)-data_Template_PTC[[#This Row],[Rsonde]]),2)</f>
        <v>0</v>
      </c>
      <c r="J16" s="9" cm="1">
        <f t="array" ref="J16">MIN(IF(ResValuesR24&gt;=ROUND(data_Template_PTC[[#This Row],[Rsonde]],2)-IF(data_Template_PTC[[#This Row],[Rsonde]]=MIN(data_Template_PTC[Rsonde]),100,$D15),ResValuesR24))</f>
        <v>0.1</v>
      </c>
      <c r="K16" s="9">
        <f>ROUND(data_Template_PTC[[#This Row],[RaddHigh]]+(IF(data_Template_PTC[[#This Row],[Rsonde]]=MIN(data_Template_PTC[Rsonde]),0,$D15)-data_Template_PTC[[#This Row],[Rsonde]]),2)</f>
        <v>0.1</v>
      </c>
      <c r="L16" s="2" cm="1">
        <f t="array" aca="1" ref="L16" ca="1">IF(INDIRECT(RefCell_R77),(data_Template_PTC[[#This Row],[Rpcb]]*INDIRECT(RefCell_R77))/(data_Template_PTC[[#This Row],[Rpcb]]+INDIRECT(RefCell_R77)),data_Template_PTC[[#This Row],[Rpcb]])</f>
        <v>0</v>
      </c>
      <c r="N16" s="3" t="s">
        <v>177</v>
      </c>
      <c r="O16">
        <f>1/(B31+273.15)</f>
        <v>3.331667499583542E-3</v>
      </c>
    </row>
    <row r="17" spans="1:12" x14ac:dyDescent="0.25">
      <c r="A17" t="s">
        <v>31</v>
      </c>
      <c r="B17" s="8">
        <v>6</v>
      </c>
      <c r="C17" s="9"/>
      <c r="D17" s="9" cm="1">
        <f t="array" aca="1" ref="D17" ca="1">INDIRECT(RefCell_Rpot)+SUM($G$3:G17)</f>
        <v>0</v>
      </c>
      <c r="E17" s="9">
        <f ca="1">data_Template_PTC[[#This Row],[Rpcb]]-data_Template_PTC[[#This Row],[Rsonde]]</f>
        <v>0</v>
      </c>
      <c r="F17" s="4" t="e">
        <f ca="1">data_Template_PTC[[#This Row],[Diff R]]/data_Template_PTC[[#This Row],[Rsonde]]</f>
        <v>#DIV/0!</v>
      </c>
      <c r="G17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7" s="9" cm="1">
        <f t="array" ref="H17">MAX(IF(ResValuesR24&lt;=ROUND(data_Template_PTC[[#This Row],[Rsonde]],2)-IF(data_Template_PTC[[#This Row],[Rsonde]]=MIN(data_Template_PTC[Rsonde]),100,$D16),ResValuesR24))</f>
        <v>0</v>
      </c>
      <c r="I17" s="9">
        <f>ROUND(data_Template_PTC[[#This Row],[RaddLow]]+(IF(data_Template_PTC[[#This Row],[Rsonde]]=MIN(data_Template_PTC[Rsonde]),0,$D16)-data_Template_PTC[[#This Row],[Rsonde]]),2)</f>
        <v>0</v>
      </c>
      <c r="J17" s="9" cm="1">
        <f t="array" ref="J17">MIN(IF(ResValuesR24&gt;=ROUND(data_Template_PTC[[#This Row],[Rsonde]],2)-IF(data_Template_PTC[[#This Row],[Rsonde]]=MIN(data_Template_PTC[Rsonde]),100,$D16),ResValuesR24))</f>
        <v>0.1</v>
      </c>
      <c r="K17" s="9">
        <f>ROUND(data_Template_PTC[[#This Row],[RaddHigh]]+(IF(data_Template_PTC[[#This Row],[Rsonde]]=MIN(data_Template_PTC[Rsonde]),0,$D16)-data_Template_PTC[[#This Row],[Rsonde]]),2)</f>
        <v>0.1</v>
      </c>
      <c r="L17" s="2" cm="1">
        <f t="array" aca="1" ref="L17" ca="1">IF(INDIRECT(RefCell_R77),(data_Template_PTC[[#This Row],[Rpcb]]*INDIRECT(RefCell_R77))/(data_Template_PTC[[#This Row],[Rpcb]]+INDIRECT(RefCell_R77)),data_Template_PTC[[#This Row],[Rpcb]])</f>
        <v>0</v>
      </c>
    </row>
    <row r="18" spans="1:12" x14ac:dyDescent="0.25">
      <c r="A18" t="s">
        <v>32</v>
      </c>
      <c r="B18" s="8">
        <v>7.5</v>
      </c>
      <c r="C18" s="9"/>
      <c r="D18" s="9" cm="1">
        <f t="array" aca="1" ref="D18" ca="1">INDIRECT(RefCell_Rpot)+SUM($G$3:G18)</f>
        <v>0</v>
      </c>
      <c r="E18" s="9">
        <f ca="1">data_Template_PTC[[#This Row],[Rpcb]]-data_Template_PTC[[#This Row],[Rsonde]]</f>
        <v>0</v>
      </c>
      <c r="F18" s="4" t="e">
        <f ca="1">data_Template_PTC[[#This Row],[Diff R]]/data_Template_PTC[[#This Row],[Rsonde]]</f>
        <v>#DIV/0!</v>
      </c>
      <c r="G18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8" s="9" cm="1">
        <f t="array" ref="H18">MAX(IF(ResValuesR24&lt;=ROUND(data_Template_PTC[[#This Row],[Rsonde]],2)-IF(data_Template_PTC[[#This Row],[Rsonde]]=MIN(data_Template_PTC[Rsonde]),100,$D17),ResValuesR24))</f>
        <v>0</v>
      </c>
      <c r="I18" s="9">
        <f>ROUND(data_Template_PTC[[#This Row],[RaddLow]]+(IF(data_Template_PTC[[#This Row],[Rsonde]]=MIN(data_Template_PTC[Rsonde]),0,$D17)-data_Template_PTC[[#This Row],[Rsonde]]),2)</f>
        <v>0</v>
      </c>
      <c r="J18" s="9" cm="1">
        <f t="array" ref="J18">MIN(IF(ResValuesR24&gt;=ROUND(data_Template_PTC[[#This Row],[Rsonde]],2)-IF(data_Template_PTC[[#This Row],[Rsonde]]=MIN(data_Template_PTC[Rsonde]),100,$D17),ResValuesR24))</f>
        <v>0.1</v>
      </c>
      <c r="K18" s="9">
        <f>ROUND(data_Template_PTC[[#This Row],[RaddHigh]]+(IF(data_Template_PTC[[#This Row],[Rsonde]]=MIN(data_Template_PTC[Rsonde]),0,$D17)-data_Template_PTC[[#This Row],[Rsonde]]),2)</f>
        <v>0.1</v>
      </c>
      <c r="L18" s="2" cm="1">
        <f t="array" aca="1" ref="L18" ca="1">IF(INDIRECT(RefCell_R77),(data_Template_PTC[[#This Row],[Rpcb]]*INDIRECT(RefCell_R77))/(data_Template_PTC[[#This Row],[Rpcb]]+INDIRECT(RefCell_R77)),data_Template_PTC[[#This Row],[Rpcb]])</f>
        <v>0</v>
      </c>
    </row>
    <row r="19" spans="1:12" x14ac:dyDescent="0.25">
      <c r="A19" t="s">
        <v>33</v>
      </c>
      <c r="B19" s="8">
        <v>9</v>
      </c>
      <c r="C19" s="9"/>
      <c r="D19" s="9" cm="1">
        <f t="array" aca="1" ref="D19" ca="1">INDIRECT(RefCell_Rpot)+SUM($G$3:G19)</f>
        <v>0</v>
      </c>
      <c r="E19" s="9">
        <f ca="1">data_Template_PTC[[#This Row],[Rpcb]]-data_Template_PTC[[#This Row],[Rsonde]]</f>
        <v>0</v>
      </c>
      <c r="F19" s="4" t="e">
        <f ca="1">data_Template_PTC[[#This Row],[Diff R]]/data_Template_PTC[[#This Row],[Rsonde]]</f>
        <v>#DIV/0!</v>
      </c>
      <c r="G19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9" s="9" cm="1">
        <f t="array" ref="H19">MAX(IF(ResValuesR24&lt;=ROUND(data_Template_PTC[[#This Row],[Rsonde]],2)-IF(data_Template_PTC[[#This Row],[Rsonde]]=MIN(data_Template_PTC[Rsonde]),100,$D18),ResValuesR24))</f>
        <v>0</v>
      </c>
      <c r="I19" s="9">
        <f>ROUND(data_Template_PTC[[#This Row],[RaddLow]]+(IF(data_Template_PTC[[#This Row],[Rsonde]]=MIN(data_Template_PTC[Rsonde]),0,$D18)-data_Template_PTC[[#This Row],[Rsonde]]),2)</f>
        <v>0</v>
      </c>
      <c r="J19" s="9" cm="1">
        <f t="array" ref="J19">MIN(IF(ResValuesR24&gt;=ROUND(data_Template_PTC[[#This Row],[Rsonde]],2)-IF(data_Template_PTC[[#This Row],[Rsonde]]=MIN(data_Template_PTC[Rsonde]),100,$D18),ResValuesR24))</f>
        <v>0.1</v>
      </c>
      <c r="K19" s="9">
        <f>ROUND(data_Template_PTC[[#This Row],[RaddHigh]]+(IF(data_Template_PTC[[#This Row],[Rsonde]]=MIN(data_Template_PTC[Rsonde]),0,$D18)-data_Template_PTC[[#This Row],[Rsonde]]),2)</f>
        <v>0.1</v>
      </c>
      <c r="L19" s="2" cm="1">
        <f t="array" aca="1" ref="L19" ca="1">IF(INDIRECT(RefCell_R77),(data_Template_PTC[[#This Row],[Rpcb]]*INDIRECT(RefCell_R77))/(data_Template_PTC[[#This Row],[Rpcb]]+INDIRECT(RefCell_R77)),data_Template_PTC[[#This Row],[Rpcb]])</f>
        <v>0</v>
      </c>
    </row>
    <row r="20" spans="1:12" x14ac:dyDescent="0.25">
      <c r="A20" t="s">
        <v>34</v>
      </c>
      <c r="B20" s="8">
        <v>10.5</v>
      </c>
      <c r="C20" s="9"/>
      <c r="D20" s="9" cm="1">
        <f t="array" aca="1" ref="D20" ca="1">INDIRECT(RefCell_Rpot)+SUM($G$3:G20)</f>
        <v>0</v>
      </c>
      <c r="E20" s="9">
        <f ca="1">data_Template_PTC[[#This Row],[Rpcb]]-data_Template_PTC[[#This Row],[Rsonde]]</f>
        <v>0</v>
      </c>
      <c r="F20" s="4" t="e">
        <f ca="1">data_Template_PTC[[#This Row],[Diff R]]/data_Template_PTC[[#This Row],[Rsonde]]</f>
        <v>#DIV/0!</v>
      </c>
      <c r="G20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0" s="9" cm="1">
        <f t="array" ref="H20">MAX(IF(ResValuesR24&lt;=ROUND(data_Template_PTC[[#This Row],[Rsonde]],2)-IF(data_Template_PTC[[#This Row],[Rsonde]]=MIN(data_Template_PTC[Rsonde]),100,$D19),ResValuesR24))</f>
        <v>0</v>
      </c>
      <c r="I20" s="9">
        <f>ROUND(data_Template_PTC[[#This Row],[RaddLow]]+(IF(data_Template_PTC[[#This Row],[Rsonde]]=MIN(data_Template_PTC[Rsonde]),0,$D19)-data_Template_PTC[[#This Row],[Rsonde]]),2)</f>
        <v>0</v>
      </c>
      <c r="J20" s="9" cm="1">
        <f t="array" ref="J20">MIN(IF(ResValuesR24&gt;=ROUND(data_Template_PTC[[#This Row],[Rsonde]],2)-IF(data_Template_PTC[[#This Row],[Rsonde]]=MIN(data_Template_PTC[Rsonde]),100,$D19),ResValuesR24))</f>
        <v>0.1</v>
      </c>
      <c r="K20" s="9">
        <f>ROUND(data_Template_PTC[[#This Row],[RaddHigh]]+(IF(data_Template_PTC[[#This Row],[Rsonde]]=MIN(data_Template_PTC[Rsonde]),0,$D19)-data_Template_PTC[[#This Row],[Rsonde]]),2)</f>
        <v>0.1</v>
      </c>
      <c r="L20" s="2" cm="1">
        <f t="array" aca="1" ref="L20" ca="1">IF(INDIRECT(RefCell_R77),(data_Template_PTC[[#This Row],[Rpcb]]*INDIRECT(RefCell_R77))/(data_Template_PTC[[#This Row],[Rpcb]]+INDIRECT(RefCell_R77)),data_Template_PTC[[#This Row],[Rpcb]])</f>
        <v>0</v>
      </c>
    </row>
    <row r="21" spans="1:12" x14ac:dyDescent="0.25">
      <c r="A21" t="s">
        <v>35</v>
      </c>
      <c r="B21" s="8">
        <v>12</v>
      </c>
      <c r="C21" s="9"/>
      <c r="D21" s="9" cm="1">
        <f t="array" aca="1" ref="D21" ca="1">INDIRECT(RefCell_Rpot)+SUM($G$3:G21)</f>
        <v>0</v>
      </c>
      <c r="E21" s="9">
        <f ca="1">data_Template_PTC[[#This Row],[Rpcb]]-data_Template_PTC[[#This Row],[Rsonde]]</f>
        <v>0</v>
      </c>
      <c r="F21" s="4" t="e">
        <f ca="1">data_Template_PTC[[#This Row],[Diff R]]/data_Template_PTC[[#This Row],[Rsonde]]</f>
        <v>#DIV/0!</v>
      </c>
      <c r="G21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1" s="9" cm="1">
        <f t="array" ref="H21">MAX(IF(ResValuesR24&lt;=ROUND(data_Template_PTC[[#This Row],[Rsonde]],2)-IF(data_Template_PTC[[#This Row],[Rsonde]]=MIN(data_Template_PTC[Rsonde]),100,$D20),ResValuesR24))</f>
        <v>0</v>
      </c>
      <c r="I21" s="9">
        <f>ROUND(data_Template_PTC[[#This Row],[RaddLow]]+(IF(data_Template_PTC[[#This Row],[Rsonde]]=MIN(data_Template_PTC[Rsonde]),0,$D20)-data_Template_PTC[[#This Row],[Rsonde]]),2)</f>
        <v>0</v>
      </c>
      <c r="J21" s="9" cm="1">
        <f t="array" ref="J21">MIN(IF(ResValuesR24&gt;=ROUND(data_Template_PTC[[#This Row],[Rsonde]],2)-IF(data_Template_PTC[[#This Row],[Rsonde]]=MIN(data_Template_PTC[Rsonde]),100,$D20),ResValuesR24))</f>
        <v>0.1</v>
      </c>
      <c r="K21" s="9">
        <f>ROUND(data_Template_PTC[[#This Row],[RaddHigh]]+(IF(data_Template_PTC[[#This Row],[Rsonde]]=MIN(data_Template_PTC[Rsonde]),0,$D20)-data_Template_PTC[[#This Row],[Rsonde]]),2)</f>
        <v>0.1</v>
      </c>
      <c r="L21" s="2" cm="1">
        <f t="array" aca="1" ref="L21" ca="1">IF(INDIRECT(RefCell_R77),(data_Template_PTC[[#This Row],[Rpcb]]*INDIRECT(RefCell_R77))/(data_Template_PTC[[#This Row],[Rpcb]]+INDIRECT(RefCell_R77)),data_Template_PTC[[#This Row],[Rpcb]])</f>
        <v>0</v>
      </c>
    </row>
    <row r="22" spans="1:12" x14ac:dyDescent="0.25">
      <c r="A22" t="s">
        <v>36</v>
      </c>
      <c r="B22" s="8">
        <v>13.5</v>
      </c>
      <c r="C22" s="9"/>
      <c r="D22" s="9" cm="1">
        <f t="array" aca="1" ref="D22" ca="1">INDIRECT(RefCell_Rpot)+SUM($G$3:G22)</f>
        <v>0</v>
      </c>
      <c r="E22" s="9">
        <f ca="1">data_Template_PTC[[#This Row],[Rpcb]]-data_Template_PTC[[#This Row],[Rsonde]]</f>
        <v>0</v>
      </c>
      <c r="F22" s="4" t="e">
        <f ca="1">data_Template_PTC[[#This Row],[Diff R]]/data_Template_PTC[[#This Row],[Rsonde]]</f>
        <v>#DIV/0!</v>
      </c>
      <c r="G22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2" s="9" cm="1">
        <f t="array" ref="H22">MAX(IF(ResValuesR24&lt;=ROUND(data_Template_PTC[[#This Row],[Rsonde]],2)-IF(data_Template_PTC[[#This Row],[Rsonde]]=MIN(data_Template_PTC[Rsonde]),100,$D21),ResValuesR24))</f>
        <v>0</v>
      </c>
      <c r="I22" s="9">
        <f>ROUND(data_Template_PTC[[#This Row],[RaddLow]]+(IF(data_Template_PTC[[#This Row],[Rsonde]]=MIN(data_Template_PTC[Rsonde]),0,$D21)-data_Template_PTC[[#This Row],[Rsonde]]),2)</f>
        <v>0</v>
      </c>
      <c r="J22" s="9" cm="1">
        <f t="array" ref="J22">MIN(IF(ResValuesR24&gt;=ROUND(data_Template_PTC[[#This Row],[Rsonde]],2)-IF(data_Template_PTC[[#This Row],[Rsonde]]=MIN(data_Template_PTC[Rsonde]),100,$D21),ResValuesR24))</f>
        <v>0.1</v>
      </c>
      <c r="K22" s="9">
        <f>ROUND(data_Template_PTC[[#This Row],[RaddHigh]]+(IF(data_Template_PTC[[#This Row],[Rsonde]]=MIN(data_Template_PTC[Rsonde]),0,$D21)-data_Template_PTC[[#This Row],[Rsonde]]),2)</f>
        <v>0.1</v>
      </c>
      <c r="L22" s="2" cm="1">
        <f t="array" aca="1" ref="L22" ca="1">IF(INDIRECT(RefCell_R77),(data_Template_PTC[[#This Row],[Rpcb]]*INDIRECT(RefCell_R77))/(data_Template_PTC[[#This Row],[Rpcb]]+INDIRECT(RefCell_R77)),data_Template_PTC[[#This Row],[Rpcb]])</f>
        <v>0</v>
      </c>
    </row>
    <row r="23" spans="1:12" x14ac:dyDescent="0.25">
      <c r="A23" t="s">
        <v>37</v>
      </c>
      <c r="B23" s="8">
        <v>15</v>
      </c>
      <c r="C23" s="9"/>
      <c r="D23" s="9" cm="1">
        <f t="array" aca="1" ref="D23" ca="1">INDIRECT(RefCell_Rpot)+SUM($G$3:G23)</f>
        <v>0</v>
      </c>
      <c r="E23" s="9">
        <f ca="1">data_Template_PTC[[#This Row],[Rpcb]]-data_Template_PTC[[#This Row],[Rsonde]]</f>
        <v>0</v>
      </c>
      <c r="F23" s="4" t="e">
        <f ca="1">data_Template_PTC[[#This Row],[Diff R]]/data_Template_PTC[[#This Row],[Rsonde]]</f>
        <v>#DIV/0!</v>
      </c>
      <c r="G23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3" s="9" cm="1">
        <f t="array" ref="H23">MAX(IF(ResValuesR24&lt;=ROUND(data_Template_PTC[[#This Row],[Rsonde]],2)-IF(data_Template_PTC[[#This Row],[Rsonde]]=MIN(data_Template_PTC[Rsonde]),100,$D22),ResValuesR24))</f>
        <v>0</v>
      </c>
      <c r="I23" s="9">
        <f>ROUND(data_Template_PTC[[#This Row],[RaddLow]]+(IF(data_Template_PTC[[#This Row],[Rsonde]]=MIN(data_Template_PTC[Rsonde]),0,$D22)-data_Template_PTC[[#This Row],[Rsonde]]),2)</f>
        <v>0</v>
      </c>
      <c r="J23" s="9" cm="1">
        <f t="array" ref="J23">MIN(IF(ResValuesR24&gt;=ROUND(data_Template_PTC[[#This Row],[Rsonde]],2)-IF(data_Template_PTC[[#This Row],[Rsonde]]=MIN(data_Template_PTC[Rsonde]),100,$D22),ResValuesR24))</f>
        <v>0.1</v>
      </c>
      <c r="K23" s="9">
        <f>ROUND(data_Template_PTC[[#This Row],[RaddHigh]]+(IF(data_Template_PTC[[#This Row],[Rsonde]]=MIN(data_Template_PTC[Rsonde]),0,$D22)-data_Template_PTC[[#This Row],[Rsonde]]),2)</f>
        <v>0.1</v>
      </c>
      <c r="L23" s="2" cm="1">
        <f t="array" aca="1" ref="L23" ca="1">IF(INDIRECT(RefCell_R77),(data_Template_PTC[[#This Row],[Rpcb]]*INDIRECT(RefCell_R77))/(data_Template_PTC[[#This Row],[Rpcb]]+INDIRECT(RefCell_R77)),data_Template_PTC[[#This Row],[Rpcb]])</f>
        <v>0</v>
      </c>
    </row>
    <row r="24" spans="1:12" x14ac:dyDescent="0.25">
      <c r="A24" t="s">
        <v>38</v>
      </c>
      <c r="B24" s="8">
        <v>16.5</v>
      </c>
      <c r="C24" s="9"/>
      <c r="D24" s="9" cm="1">
        <f t="array" aca="1" ref="D24" ca="1">INDIRECT(RefCell_Rpot)+SUM($G$3:G24)</f>
        <v>0</v>
      </c>
      <c r="E24" s="9">
        <f ca="1">data_Template_PTC[[#This Row],[Rpcb]]-data_Template_PTC[[#This Row],[Rsonde]]</f>
        <v>0</v>
      </c>
      <c r="F24" s="4" t="e">
        <f ca="1">data_Template_PTC[[#This Row],[Diff R]]/data_Template_PTC[[#This Row],[Rsonde]]</f>
        <v>#DIV/0!</v>
      </c>
      <c r="G24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4" s="9" cm="1">
        <f t="array" ref="H24">MAX(IF(ResValuesR24&lt;=ROUND(data_Template_PTC[[#This Row],[Rsonde]],2)-IF(data_Template_PTC[[#This Row],[Rsonde]]=MIN(data_Template_PTC[Rsonde]),100,$D23),ResValuesR24))</f>
        <v>0</v>
      </c>
      <c r="I24" s="9">
        <f>ROUND(data_Template_PTC[[#This Row],[RaddLow]]+(IF(data_Template_PTC[[#This Row],[Rsonde]]=MIN(data_Template_PTC[Rsonde]),0,$D23)-data_Template_PTC[[#This Row],[Rsonde]]),2)</f>
        <v>0</v>
      </c>
      <c r="J24" s="9" cm="1">
        <f t="array" ref="J24">MIN(IF(ResValuesR24&gt;=ROUND(data_Template_PTC[[#This Row],[Rsonde]],2)-IF(data_Template_PTC[[#This Row],[Rsonde]]=MIN(data_Template_PTC[Rsonde]),100,$D23),ResValuesR24))</f>
        <v>0.1</v>
      </c>
      <c r="K24" s="9">
        <f>ROUND(data_Template_PTC[[#This Row],[RaddHigh]]+(IF(data_Template_PTC[[#This Row],[Rsonde]]=MIN(data_Template_PTC[Rsonde]),0,$D23)-data_Template_PTC[[#This Row],[Rsonde]]),2)</f>
        <v>0.1</v>
      </c>
      <c r="L24" s="2" cm="1">
        <f t="array" aca="1" ref="L24" ca="1">IF(INDIRECT(RefCell_R77),(data_Template_PTC[[#This Row],[Rpcb]]*INDIRECT(RefCell_R77))/(data_Template_PTC[[#This Row],[Rpcb]]+INDIRECT(RefCell_R77)),data_Template_PTC[[#This Row],[Rpcb]])</f>
        <v>0</v>
      </c>
    </row>
    <row r="25" spans="1:12" x14ac:dyDescent="0.25">
      <c r="A25" t="s">
        <v>39</v>
      </c>
      <c r="B25" s="8">
        <v>18</v>
      </c>
      <c r="C25" s="9"/>
      <c r="D25" s="9" cm="1">
        <f t="array" aca="1" ref="D25" ca="1">INDIRECT(RefCell_Rpot)+SUM($G$3:G25)</f>
        <v>0</v>
      </c>
      <c r="E25" s="9">
        <f ca="1">data_Template_PTC[[#This Row],[Rpcb]]-data_Template_PTC[[#This Row],[Rsonde]]</f>
        <v>0</v>
      </c>
      <c r="F25" s="4" t="e">
        <f ca="1">data_Template_PTC[[#This Row],[Diff R]]/data_Template_PTC[[#This Row],[Rsonde]]</f>
        <v>#DIV/0!</v>
      </c>
      <c r="G25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5" s="9" cm="1">
        <f t="array" ref="H25">MAX(IF(ResValuesR24&lt;=ROUND(data_Template_PTC[[#This Row],[Rsonde]],2)-IF(data_Template_PTC[[#This Row],[Rsonde]]=MIN(data_Template_PTC[Rsonde]),100,$D24),ResValuesR24))</f>
        <v>0</v>
      </c>
      <c r="I25" s="9">
        <f>ROUND(data_Template_PTC[[#This Row],[RaddLow]]+(IF(data_Template_PTC[[#This Row],[Rsonde]]=MIN(data_Template_PTC[Rsonde]),0,$D24)-data_Template_PTC[[#This Row],[Rsonde]]),2)</f>
        <v>0</v>
      </c>
      <c r="J25" s="9" cm="1">
        <f t="array" ref="J25">MIN(IF(ResValuesR24&gt;=ROUND(data_Template_PTC[[#This Row],[Rsonde]],2)-IF(data_Template_PTC[[#This Row],[Rsonde]]=MIN(data_Template_PTC[Rsonde]),100,$D24),ResValuesR24))</f>
        <v>0.1</v>
      </c>
      <c r="K25" s="9">
        <f>ROUND(data_Template_PTC[[#This Row],[RaddHigh]]+(IF(data_Template_PTC[[#This Row],[Rsonde]]=MIN(data_Template_PTC[Rsonde]),0,$D24)-data_Template_PTC[[#This Row],[Rsonde]]),2)</f>
        <v>0.1</v>
      </c>
      <c r="L25" s="2" cm="1">
        <f t="array" aca="1" ref="L25" ca="1">IF(INDIRECT(RefCell_R77),(data_Template_PTC[[#This Row],[Rpcb]]*INDIRECT(RefCell_R77))/(data_Template_PTC[[#This Row],[Rpcb]]+INDIRECT(RefCell_R77)),data_Template_PTC[[#This Row],[Rpcb]])</f>
        <v>0</v>
      </c>
    </row>
    <row r="26" spans="1:12" x14ac:dyDescent="0.25">
      <c r="A26" t="s">
        <v>40</v>
      </c>
      <c r="B26" s="8">
        <v>19.5</v>
      </c>
      <c r="C26" s="9"/>
      <c r="D26" s="9" cm="1">
        <f t="array" aca="1" ref="D26" ca="1">INDIRECT(RefCell_Rpot)+SUM($G$3:G26)</f>
        <v>0</v>
      </c>
      <c r="E26" s="9">
        <f ca="1">data_Template_PTC[[#This Row],[Rpcb]]-data_Template_PTC[[#This Row],[Rsonde]]</f>
        <v>0</v>
      </c>
      <c r="F26" s="4" t="e">
        <f ca="1">data_Template_PTC[[#This Row],[Diff R]]/data_Template_PTC[[#This Row],[Rsonde]]</f>
        <v>#DIV/0!</v>
      </c>
      <c r="G26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6" s="9" cm="1">
        <f t="array" ref="H26">MAX(IF(ResValuesR24&lt;=ROUND(data_Template_PTC[[#This Row],[Rsonde]],2)-IF(data_Template_PTC[[#This Row],[Rsonde]]=MIN(data_Template_PTC[Rsonde]),100,$D25),ResValuesR24))</f>
        <v>0</v>
      </c>
      <c r="I26" s="9">
        <f>ROUND(data_Template_PTC[[#This Row],[RaddLow]]+(IF(data_Template_PTC[[#This Row],[Rsonde]]=MIN(data_Template_PTC[Rsonde]),0,$D25)-data_Template_PTC[[#This Row],[Rsonde]]),2)</f>
        <v>0</v>
      </c>
      <c r="J26" s="9" cm="1">
        <f t="array" ref="J26">MIN(IF(ResValuesR24&gt;=ROUND(data_Template_PTC[[#This Row],[Rsonde]],2)-IF(data_Template_PTC[[#This Row],[Rsonde]]=MIN(data_Template_PTC[Rsonde]),100,$D25),ResValuesR24))</f>
        <v>0.1</v>
      </c>
      <c r="K26" s="9">
        <f>ROUND(data_Template_PTC[[#This Row],[RaddHigh]]+(IF(data_Template_PTC[[#This Row],[Rsonde]]=MIN(data_Template_PTC[Rsonde]),0,$D25)-data_Template_PTC[[#This Row],[Rsonde]]),2)</f>
        <v>0.1</v>
      </c>
      <c r="L26" s="2" cm="1">
        <f t="array" aca="1" ref="L26" ca="1">IF(INDIRECT(RefCell_R77),(data_Template_PTC[[#This Row],[Rpcb]]*INDIRECT(RefCell_R77))/(data_Template_PTC[[#This Row],[Rpcb]]+INDIRECT(RefCell_R77)),data_Template_PTC[[#This Row],[Rpcb]])</f>
        <v>0</v>
      </c>
    </row>
    <row r="27" spans="1:12" x14ac:dyDescent="0.25">
      <c r="A27" t="s">
        <v>41</v>
      </c>
      <c r="B27" s="8">
        <v>21</v>
      </c>
      <c r="C27" s="9"/>
      <c r="D27" s="9" cm="1">
        <f t="array" aca="1" ref="D27" ca="1">INDIRECT(RefCell_Rpot)+SUM($G$3:G27)</f>
        <v>0</v>
      </c>
      <c r="E27" s="9">
        <f ca="1">data_Template_PTC[[#This Row],[Rpcb]]-data_Template_PTC[[#This Row],[Rsonde]]</f>
        <v>0</v>
      </c>
      <c r="F27" s="4" t="e">
        <f ca="1">data_Template_PTC[[#This Row],[Diff R]]/data_Template_PTC[[#This Row],[Rsonde]]</f>
        <v>#DIV/0!</v>
      </c>
      <c r="G27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7" s="9" cm="1">
        <f t="array" ref="H27">MAX(IF(ResValuesR24&lt;=ROUND(data_Template_PTC[[#This Row],[Rsonde]],2)-IF(data_Template_PTC[[#This Row],[Rsonde]]=MIN(data_Template_PTC[Rsonde]),100,$D26),ResValuesR24))</f>
        <v>0</v>
      </c>
      <c r="I27" s="9">
        <f>ROUND(data_Template_PTC[[#This Row],[RaddLow]]+(IF(data_Template_PTC[[#This Row],[Rsonde]]=MIN(data_Template_PTC[Rsonde]),0,$D26)-data_Template_PTC[[#This Row],[Rsonde]]),2)</f>
        <v>0</v>
      </c>
      <c r="J27" s="9" cm="1">
        <f t="array" ref="J27">MIN(IF(ResValuesR24&gt;=ROUND(data_Template_PTC[[#This Row],[Rsonde]],2)-IF(data_Template_PTC[[#This Row],[Rsonde]]=MIN(data_Template_PTC[Rsonde]),100,$D26),ResValuesR24))</f>
        <v>0.1</v>
      </c>
      <c r="K27" s="9">
        <f>ROUND(data_Template_PTC[[#This Row],[RaddHigh]]+(IF(data_Template_PTC[[#This Row],[Rsonde]]=MIN(data_Template_PTC[Rsonde]),0,$D26)-data_Template_PTC[[#This Row],[Rsonde]]),2)</f>
        <v>0.1</v>
      </c>
      <c r="L27" s="2" cm="1">
        <f t="array" aca="1" ref="L27" ca="1">IF(INDIRECT(RefCell_R77),(data_Template_PTC[[#This Row],[Rpcb]]*INDIRECT(RefCell_R77))/(data_Template_PTC[[#This Row],[Rpcb]]+INDIRECT(RefCell_R77)),data_Template_PTC[[#This Row],[Rpcb]])</f>
        <v>0</v>
      </c>
    </row>
    <row r="28" spans="1:12" x14ac:dyDescent="0.25">
      <c r="A28" t="s">
        <v>42</v>
      </c>
      <c r="B28" s="8">
        <v>22.5</v>
      </c>
      <c r="C28" s="9"/>
      <c r="D28" s="9" cm="1">
        <f t="array" aca="1" ref="D28" ca="1">INDIRECT(RefCell_Rpot)+SUM($G$3:G28)</f>
        <v>0</v>
      </c>
      <c r="E28" s="9">
        <f ca="1">data_Template_PTC[[#This Row],[Rpcb]]-data_Template_PTC[[#This Row],[Rsonde]]</f>
        <v>0</v>
      </c>
      <c r="F28" s="4" t="e">
        <f ca="1">data_Template_PTC[[#This Row],[Diff R]]/data_Template_PTC[[#This Row],[Rsonde]]</f>
        <v>#DIV/0!</v>
      </c>
      <c r="G28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8" s="9" cm="1">
        <f t="array" ref="H28">MAX(IF(ResValuesR24&lt;=ROUND(data_Template_PTC[[#This Row],[Rsonde]],2)-IF(data_Template_PTC[[#This Row],[Rsonde]]=MIN(data_Template_PTC[Rsonde]),100,$D27),ResValuesR24))</f>
        <v>0</v>
      </c>
      <c r="I28" s="9">
        <f>ROUND(data_Template_PTC[[#This Row],[RaddLow]]+(IF(data_Template_PTC[[#This Row],[Rsonde]]=MIN(data_Template_PTC[Rsonde]),0,$D27)-data_Template_PTC[[#This Row],[Rsonde]]),2)</f>
        <v>0</v>
      </c>
      <c r="J28" s="9" cm="1">
        <f t="array" ref="J28">MIN(IF(ResValuesR24&gt;=ROUND(data_Template_PTC[[#This Row],[Rsonde]],2)-IF(data_Template_PTC[[#This Row],[Rsonde]]=MIN(data_Template_PTC[Rsonde]),100,$D27),ResValuesR24))</f>
        <v>0.1</v>
      </c>
      <c r="K28" s="9">
        <f>ROUND(data_Template_PTC[[#This Row],[RaddHigh]]+(IF(data_Template_PTC[[#This Row],[Rsonde]]=MIN(data_Template_PTC[Rsonde]),0,$D27)-data_Template_PTC[[#This Row],[Rsonde]]),2)</f>
        <v>0.1</v>
      </c>
      <c r="L28" s="2" cm="1">
        <f t="array" aca="1" ref="L28" ca="1">IF(INDIRECT(RefCell_R77),(data_Template_PTC[[#This Row],[Rpcb]]*INDIRECT(RefCell_R77))/(data_Template_PTC[[#This Row],[Rpcb]]+INDIRECT(RefCell_R77)),data_Template_PTC[[#This Row],[Rpcb]])</f>
        <v>0</v>
      </c>
    </row>
    <row r="29" spans="1:12" x14ac:dyDescent="0.25">
      <c r="A29" t="s">
        <v>43</v>
      </c>
      <c r="B29" s="8">
        <v>24</v>
      </c>
      <c r="C29" s="9"/>
      <c r="D29" s="9" cm="1">
        <f t="array" aca="1" ref="D29" ca="1">INDIRECT(RefCell_Rpot)+SUM($G$3:G29)</f>
        <v>0</v>
      </c>
      <c r="E29" s="9">
        <f ca="1">data_Template_PTC[[#This Row],[Rpcb]]-data_Template_PTC[[#This Row],[Rsonde]]</f>
        <v>0</v>
      </c>
      <c r="F29" s="4" t="e">
        <f ca="1">data_Template_PTC[[#This Row],[Diff R]]/data_Template_PTC[[#This Row],[Rsonde]]</f>
        <v>#DIV/0!</v>
      </c>
      <c r="G29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9" s="9" cm="1">
        <f t="array" ref="H29">MAX(IF(ResValuesR24&lt;=ROUND(data_Template_PTC[[#This Row],[Rsonde]],2)-IF(data_Template_PTC[[#This Row],[Rsonde]]=MIN(data_Template_PTC[Rsonde]),100,$D28),ResValuesR24))</f>
        <v>0</v>
      </c>
      <c r="I29" s="9">
        <f>ROUND(data_Template_PTC[[#This Row],[RaddLow]]+(IF(data_Template_PTC[[#This Row],[Rsonde]]=MIN(data_Template_PTC[Rsonde]),0,$D28)-data_Template_PTC[[#This Row],[Rsonde]]),2)</f>
        <v>0</v>
      </c>
      <c r="J29" s="9" cm="1">
        <f t="array" ref="J29">MIN(IF(ResValuesR24&gt;=ROUND(data_Template_PTC[[#This Row],[Rsonde]],2)-IF(data_Template_PTC[[#This Row],[Rsonde]]=MIN(data_Template_PTC[Rsonde]),100,$D28),ResValuesR24))</f>
        <v>0.1</v>
      </c>
      <c r="K29" s="9">
        <f>ROUND(data_Template_PTC[[#This Row],[RaddHigh]]+(IF(data_Template_PTC[[#This Row],[Rsonde]]=MIN(data_Template_PTC[Rsonde]),0,$D28)-data_Template_PTC[[#This Row],[Rsonde]]),2)</f>
        <v>0.1</v>
      </c>
      <c r="L29" s="2" cm="1">
        <f t="array" aca="1" ref="L29" ca="1">IF(INDIRECT(RefCell_R77),(data_Template_PTC[[#This Row],[Rpcb]]*INDIRECT(RefCell_R77))/(data_Template_PTC[[#This Row],[Rpcb]]+INDIRECT(RefCell_R77)),data_Template_PTC[[#This Row],[Rpcb]])</f>
        <v>0</v>
      </c>
    </row>
    <row r="30" spans="1:12" x14ac:dyDescent="0.25">
      <c r="A30" t="s">
        <v>44</v>
      </c>
      <c r="B30" s="8">
        <v>25.5</v>
      </c>
      <c r="C30" s="9"/>
      <c r="D30" s="9" cm="1">
        <f t="array" aca="1" ref="D30" ca="1">INDIRECT(RefCell_Rpot)+SUM($G$3:G30)</f>
        <v>0</v>
      </c>
      <c r="E30" s="9">
        <f ca="1">data_Template_PTC[[#This Row],[Rpcb]]-data_Template_PTC[[#This Row],[Rsonde]]</f>
        <v>0</v>
      </c>
      <c r="F30" s="4" t="e">
        <f ca="1">data_Template_PTC[[#This Row],[Diff R]]/data_Template_PTC[[#This Row],[Rsonde]]</f>
        <v>#DIV/0!</v>
      </c>
      <c r="G30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30" s="9" cm="1">
        <f t="array" ref="H30">MAX(IF(ResValuesR24&lt;=ROUND(data_Template_PTC[[#This Row],[Rsonde]],2)-IF(data_Template_PTC[[#This Row],[Rsonde]]=MIN(data_Template_PTC[Rsonde]),100,$D29),ResValuesR24))</f>
        <v>0</v>
      </c>
      <c r="I30" s="9">
        <f>ROUND(data_Template_PTC[[#This Row],[RaddLow]]+(IF(data_Template_PTC[[#This Row],[Rsonde]]=MIN(data_Template_PTC[Rsonde]),0,$D29)-data_Template_PTC[[#This Row],[Rsonde]]),2)</f>
        <v>0</v>
      </c>
      <c r="J30" s="9" cm="1">
        <f t="array" ref="J30">MIN(IF(ResValuesR24&gt;=ROUND(data_Template_PTC[[#This Row],[Rsonde]],2)-IF(data_Template_PTC[[#This Row],[Rsonde]]=MIN(data_Template_PTC[Rsonde]),100,$D29),ResValuesR24))</f>
        <v>0.1</v>
      </c>
      <c r="K30" s="9">
        <f>ROUND(data_Template_PTC[[#This Row],[RaddHigh]]+(IF(data_Template_PTC[[#This Row],[Rsonde]]=MIN(data_Template_PTC[Rsonde]),0,$D29)-data_Template_PTC[[#This Row],[Rsonde]]),2)</f>
        <v>0.1</v>
      </c>
      <c r="L30" s="2" cm="1">
        <f t="array" aca="1" ref="L30" ca="1">IF(INDIRECT(RefCell_R77),(data_Template_PTC[[#This Row],[Rpcb]]*INDIRECT(RefCell_R77))/(data_Template_PTC[[#This Row],[Rpcb]]+INDIRECT(RefCell_R77)),data_Template_PTC[[#This Row],[Rpcb]])</f>
        <v>0</v>
      </c>
    </row>
    <row r="31" spans="1:12" x14ac:dyDescent="0.25">
      <c r="A31" t="s">
        <v>45</v>
      </c>
      <c r="B31" s="8">
        <v>27</v>
      </c>
      <c r="C31" s="9"/>
      <c r="D31" s="9" cm="1">
        <f t="array" aca="1" ref="D31" ca="1">INDIRECT(RefCell_Rpot)+SUM($G$3:G31)</f>
        <v>0</v>
      </c>
      <c r="E31" s="9">
        <f ca="1">data_Template_PTC[[#This Row],[Rpcb]]-data_Template_PTC[[#This Row],[Rsonde]]</f>
        <v>0</v>
      </c>
      <c r="F31" s="4" t="e">
        <f ca="1">data_Template_PTC[[#This Row],[Diff R]]/data_Template_PTC[[#This Row],[Rsonde]]</f>
        <v>#DIV/0!</v>
      </c>
      <c r="G31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31" s="9" cm="1">
        <f t="array" ref="H31">MAX(IF(ResValuesR24&lt;=ROUND(data_Template_PTC[[#This Row],[Rsonde]],2)-IF(data_Template_PTC[[#This Row],[Rsonde]]=MIN(data_Template_PTC[Rsonde]),100,$D30),ResValuesR24))</f>
        <v>0</v>
      </c>
      <c r="I31" s="9">
        <f>ROUND(data_Template_PTC[[#This Row],[RaddLow]]+(IF(data_Template_PTC[[#This Row],[Rsonde]]=MIN(data_Template_PTC[Rsonde]),0,$D30)-data_Template_PTC[[#This Row],[Rsonde]]),2)</f>
        <v>0</v>
      </c>
      <c r="J31" s="9" cm="1">
        <f t="array" ref="J31">MIN(IF(ResValuesR24&gt;=ROUND(data_Template_PTC[[#This Row],[Rsonde]],2)-IF(data_Template_PTC[[#This Row],[Rsonde]]=MIN(data_Template_PTC[Rsonde]),100,$D30),ResValuesR24))</f>
        <v>0.1</v>
      </c>
      <c r="K31" s="9">
        <f>ROUND(data_Template_PTC[[#This Row],[RaddHigh]]+(IF(data_Template_PTC[[#This Row],[Rsonde]]=MIN(data_Template_PTC[Rsonde]),0,$D30)-data_Template_PTC[[#This Row],[Rsonde]]),2)</f>
        <v>0.1</v>
      </c>
      <c r="L31" s="2" cm="1">
        <f t="array" aca="1" ref="L31" ca="1">IF(INDIRECT(RefCell_R77),(data_Template_PTC[[#This Row],[Rpcb]]*INDIRECT(RefCell_R77))/(data_Template_PTC[[#This Row],[Rpcb]]+INDIRECT(RefCell_R77)),data_Template_PTC[[#This Row],[Rpcb]])</f>
        <v>0</v>
      </c>
    </row>
    <row r="32" spans="1:12" x14ac:dyDescent="0.25">
      <c r="A32" t="s">
        <v>46</v>
      </c>
      <c r="B32" s="8">
        <v>28.5</v>
      </c>
      <c r="C32" s="9"/>
      <c r="D32" s="9" cm="1">
        <f t="array" aca="1" ref="D32" ca="1">INDIRECT(RefCell_Rpot)+SUM($G$3:G32)</f>
        <v>0</v>
      </c>
      <c r="E32" s="9">
        <f ca="1">data_Template_PTC[[#This Row],[Rpcb]]-data_Template_PTC[[#This Row],[Rsonde]]</f>
        <v>0</v>
      </c>
      <c r="F32" s="4" t="e">
        <f ca="1">data_Template_PTC[[#This Row],[Diff R]]/data_Template_PTC[[#This Row],[Rsonde]]</f>
        <v>#DIV/0!</v>
      </c>
      <c r="G32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32" s="9" cm="1">
        <f t="array" ref="H32">MAX(IF(ResValuesR24&lt;=ROUND(data_Template_PTC[[#This Row],[Rsonde]],2)-IF(data_Template_PTC[[#This Row],[Rsonde]]=MIN(data_Template_PTC[Rsonde]),100,$D31),ResValuesR24))</f>
        <v>0</v>
      </c>
      <c r="I32" s="9">
        <f>ROUND(data_Template_PTC[[#This Row],[RaddLow]]+(IF(data_Template_PTC[[#This Row],[Rsonde]]=MIN(data_Template_PTC[Rsonde]),0,$D31)-data_Template_PTC[[#This Row],[Rsonde]]),2)</f>
        <v>0</v>
      </c>
      <c r="J32" s="9" cm="1">
        <f t="array" ref="J32">MIN(IF(ResValuesR24&gt;=ROUND(data_Template_PTC[[#This Row],[Rsonde]],2)-IF(data_Template_PTC[[#This Row],[Rsonde]]=MIN(data_Template_PTC[Rsonde]),100,$D31),ResValuesR24))</f>
        <v>0.1</v>
      </c>
      <c r="K32" s="9">
        <f>ROUND(data_Template_PTC[[#This Row],[RaddHigh]]+(IF(data_Template_PTC[[#This Row],[Rsonde]]=MIN(data_Template_PTC[Rsonde]),0,$D31)-data_Template_PTC[[#This Row],[Rsonde]]),2)</f>
        <v>0.1</v>
      </c>
      <c r="L32" s="2" cm="1">
        <f t="array" aca="1" ref="L32" ca="1">IF(INDIRECT(RefCell_R77),(data_Template_PTC[[#This Row],[Rpcb]]*INDIRECT(RefCell_R77))/(data_Template_PTC[[#This Row],[Rpcb]]+INDIRECT(RefCell_R77)),data_Template_PTC[[#This Row],[Rpcb]])</f>
        <v>0</v>
      </c>
    </row>
    <row r="33" spans="1:12" x14ac:dyDescent="0.25">
      <c r="A33" t="s">
        <v>47</v>
      </c>
      <c r="B33" s="8">
        <v>30</v>
      </c>
      <c r="C33" s="9"/>
      <c r="D33" s="9" cm="1">
        <f t="array" aca="1" ref="D33" ca="1">INDIRECT(RefCell_Rpot)+SUM($G$3:G33)</f>
        <v>0</v>
      </c>
      <c r="E33" s="9">
        <f ca="1">data_Template_PTC[[#This Row],[Rpcb]]-data_Template_PTC[[#This Row],[Rsonde]]</f>
        <v>0</v>
      </c>
      <c r="F33" s="4" t="e">
        <f ca="1">data_Template_PTC[[#This Row],[Diff R]]/data_Template_PTC[[#This Row],[Rsonde]]</f>
        <v>#DIV/0!</v>
      </c>
      <c r="G33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33" s="9" cm="1">
        <f t="array" ref="H33">MAX(IF(ResValuesR24&lt;=ROUND(data_Template_PTC[[#This Row],[Rsonde]],2)-IF(data_Template_PTC[[#This Row],[Rsonde]]=MIN(data_Template_PTC[Rsonde]),100,$D32),ResValuesR24))</f>
        <v>0</v>
      </c>
      <c r="I33" s="9">
        <f>ROUND(data_Template_PTC[[#This Row],[RaddLow]]+(IF(data_Template_PTC[[#This Row],[Rsonde]]=MIN(data_Template_PTC[Rsonde]),0,$D32)-data_Template_PTC[[#This Row],[Rsonde]]),2)</f>
        <v>0</v>
      </c>
      <c r="J33" s="9" cm="1">
        <f t="array" ref="J33">MIN(IF(ResValuesR24&gt;=ROUND(data_Template_PTC[[#This Row],[Rsonde]],2)-IF(data_Template_PTC[[#This Row],[Rsonde]]=MIN(data_Template_PTC[Rsonde]),100,$D32),ResValuesR24))</f>
        <v>0.1</v>
      </c>
      <c r="K33" s="9">
        <f>ROUND(data_Template_PTC[[#This Row],[RaddHigh]]+(IF(data_Template_PTC[[#This Row],[Rsonde]]=MIN(data_Template_PTC[Rsonde]),0,$D32)-data_Template_PTC[[#This Row],[Rsonde]]),2)</f>
        <v>0.1</v>
      </c>
      <c r="L33" s="2" cm="1">
        <f t="array" aca="1" ref="L33" ca="1">IF(INDIRECT(RefCell_R77),(data_Template_PTC[[#This Row],[Rpcb]]*INDIRECT(RefCell_R77))/(data_Template_PTC[[#This Row],[Rpcb]]+INDIRECT(RefCell_R77)),data_Template_PTC[[#This Row],[Rpcb]])</f>
        <v>0</v>
      </c>
    </row>
    <row r="34" spans="1:12" x14ac:dyDescent="0.25">
      <c r="A34" t="s">
        <v>48</v>
      </c>
      <c r="B34" s="8">
        <v>31.5</v>
      </c>
      <c r="C34" s="9"/>
      <c r="D34" s="9" cm="1">
        <f t="array" aca="1" ref="D34" ca="1">INDIRECT(RefCell_Rpot)+SUM($G$3:G34)</f>
        <v>0</v>
      </c>
      <c r="E34" s="9">
        <f ca="1">data_Template_PTC[[#This Row],[Rpcb]]-data_Template_PTC[[#This Row],[Rsonde]]</f>
        <v>0</v>
      </c>
      <c r="F34" s="4" t="e">
        <f ca="1">data_Template_PTC[[#This Row],[Diff R]]/data_Template_PTC[[#This Row],[Rsonde]]</f>
        <v>#DIV/0!</v>
      </c>
      <c r="G34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34" s="9" cm="1">
        <f t="array" ref="H34">MAX(IF(ResValuesR24&lt;=ROUND(data_Template_PTC[[#This Row],[Rsonde]],2)-IF(data_Template_PTC[[#This Row],[Rsonde]]=MIN(data_Template_PTC[Rsonde]),100,$D33),ResValuesR24))</f>
        <v>0</v>
      </c>
      <c r="I34" s="9">
        <f>ROUND(data_Template_PTC[[#This Row],[RaddLow]]+(IF(data_Template_PTC[[#This Row],[Rsonde]]=MIN(data_Template_PTC[Rsonde]),0,$D33)-data_Template_PTC[[#This Row],[Rsonde]]),2)</f>
        <v>0</v>
      </c>
      <c r="J34" s="9" cm="1">
        <f t="array" ref="J34">MIN(IF(ResValuesR24&gt;=ROUND(data_Template_PTC[[#This Row],[Rsonde]],2)-IF(data_Template_PTC[[#This Row],[Rsonde]]=MIN(data_Template_PTC[Rsonde]),100,$D33),ResValuesR24))</f>
        <v>0.1</v>
      </c>
      <c r="K34" s="9">
        <f>ROUND(data_Template_PTC[[#This Row],[RaddHigh]]+(IF(data_Template_PTC[[#This Row],[Rsonde]]=MIN(data_Template_PTC[Rsonde]),0,$D33)-data_Template_PTC[[#This Row],[Rsonde]]),2)</f>
        <v>0.1</v>
      </c>
      <c r="L34" s="2" cm="1">
        <f t="array" aca="1" ref="L34" ca="1">IF(INDIRECT(RefCell_R77),(data_Template_PTC[[#This Row],[Rpcb]]*INDIRECT(RefCell_R77))/(data_Template_PTC[[#This Row],[Rpcb]]+INDIRECT(RefCell_R77)),data_Template_PTC[[#This Row],[Rpcb]])</f>
        <v>0</v>
      </c>
    </row>
  </sheetData>
  <mergeCells count="1">
    <mergeCell ref="A1:L1"/>
  </mergeCells>
  <conditionalFormatting sqref="F3:F34">
    <cfRule type="cellIs" dxfId="27" priority="1" operator="between">
      <formula>-0.005</formula>
      <formula>0.005</formula>
    </cfRule>
  </conditionalFormatting>
  <dataValidations count="1">
    <dataValidation type="list" allowBlank="1" showInputMessage="1" showErrorMessage="1" sqref="O3" xr:uid="{64DD1C2B-FAB2-49AD-BE2E-4666A609F4CE}">
      <formula1>INDIRECT("TableR77[R]")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1007-8303-4DF8-BFA5-4FE43142E216}">
  <sheetPr codeName="Feuil13"/>
  <dimension ref="A1:P34"/>
  <sheetViews>
    <sheetView workbookViewId="0">
      <selection sqref="A1:XFD1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0</v>
      </c>
      <c r="P2" s="7" t="s">
        <v>113</v>
      </c>
    </row>
    <row r="3" spans="1:16" x14ac:dyDescent="0.25">
      <c r="A3" t="s">
        <v>48</v>
      </c>
      <c r="B3" s="8">
        <v>-15</v>
      </c>
      <c r="C3" s="9"/>
      <c r="D3" s="9" cm="1">
        <f t="array" aca="1" ref="D3" ca="1">INDIRECT(RefCell_Rpot)+SUM(G3:G$34)</f>
        <v>0</v>
      </c>
      <c r="E3" s="9">
        <f ca="1">data_Template_NTC[[#This Row],[Rpcb]]-data_Template_NTC[[#This Row],[Rsonde]]</f>
        <v>0</v>
      </c>
      <c r="F3" s="4" t="e">
        <f ca="1">data_Template_NTC[[#This Row],[Diff R]]/data_Template_NTC[[#This Row],[Rsonde]]</f>
        <v>#DIV/0!</v>
      </c>
      <c r="G3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3" s="9" cm="1">
        <f t="array" ref="H3">MAX(IF(ResValuesR24&lt;=ROUND(data_Template_NTC[[#This Row],[Rsonde]],2)-IF(data_Template_NTC[[#This Row],[Rsonde]]=MIN(data_Template_NTC[Rsonde]),100,$D4),ResValuesR24))</f>
        <v>0</v>
      </c>
      <c r="I3" s="9">
        <f>ROUND(data_Template_NTC[[#This Row],[RaddLow]]+(IF(data_Template_NTC[[#This Row],[Rsonde]]=MIN(data_Template_NTC[Rsonde]),0,$D4)-data_Template_NTC[[#This Row],[Rsonde]]),2)</f>
        <v>0</v>
      </c>
      <c r="J3" s="9" cm="1">
        <f t="array" ref="J3">MIN(IF(ResValuesR24&gt;=ROUND(data_Template_NTC[[#This Row],[Rsonde]],2)-IF(data_Template_NTC[[#This Row],[Rsonde]]=MIN(data_Template_NTC[Rsonde]),100,$D4),ResValuesR24))</f>
        <v>0.1</v>
      </c>
      <c r="K3" s="9">
        <f>ROUND(data_Template_NTC[[#This Row],[RaddHigh]]+(IF(data_Template_NTC[[#This Row],[Rsonde]]=MIN(data_Template_NTC[Rsonde]),0,$D4)-data_Template_NTC[[#This Row],[Rsonde]]),2)</f>
        <v>0.1</v>
      </c>
      <c r="L3" s="2" cm="1">
        <f t="array" aca="1" ref="L3" ca="1">IF(INDIRECT(RefCell_R77),(data_Template_NTC[[#This Row],[Rpcb]]*INDIRECT(RefCell_R77))/(data_Template_NTC[[#This Row],[Rpcb]]+INDIRECT(RefCell_R77)),data_Template_NTC[[#This Row],[Rpcb]])</f>
        <v>0</v>
      </c>
      <c r="N3" t="s">
        <v>112</v>
      </c>
      <c r="P3" s="7" t="s">
        <v>113</v>
      </c>
    </row>
    <row r="4" spans="1:16" x14ac:dyDescent="0.25">
      <c r="A4" t="s">
        <v>47</v>
      </c>
      <c r="B4" s="8">
        <v>-13.5</v>
      </c>
      <c r="C4" s="9"/>
      <c r="D4" s="9" cm="1">
        <f t="array" aca="1" ref="D4" ca="1">INDIRECT(RefCell_Rpot)+SUM(G4:G$34)</f>
        <v>0</v>
      </c>
      <c r="E4" s="9">
        <f ca="1">data_Template_NTC[[#This Row],[Rpcb]]-data_Template_NTC[[#This Row],[Rsonde]]</f>
        <v>0</v>
      </c>
      <c r="F4" s="4" t="e">
        <f ca="1">data_Template_NTC[[#This Row],[Diff R]]/data_Template_NTC[[#This Row],[Rsonde]]</f>
        <v>#DIV/0!</v>
      </c>
      <c r="G4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4" s="9" cm="1">
        <f t="array" ref="H4">MAX(IF(ResValuesR24&lt;=ROUND(data_Template_NTC[[#This Row],[Rsonde]],2)-IF(data_Template_NTC[[#This Row],[Rsonde]]=MIN(data_Template_NTC[Rsonde]),100,$D5),ResValuesR24))</f>
        <v>0</v>
      </c>
      <c r="I4" s="9">
        <f>ROUND(data_Template_NTC[[#This Row],[RaddLow]]+(IF(data_Template_NTC[[#This Row],[Rsonde]]=MIN(data_Template_NTC[Rsonde]),0,$D5)-data_Template_NTC[[#This Row],[Rsonde]]),2)</f>
        <v>0</v>
      </c>
      <c r="J4" s="9" cm="1">
        <f t="array" ref="J4">MIN(IF(ResValuesR24&gt;=ROUND(data_Template_NTC[[#This Row],[Rsonde]],2)-IF(data_Template_NTC[[#This Row],[Rsonde]]=MIN(data_Template_NTC[Rsonde]),100,$D5),ResValuesR24))</f>
        <v>0.1</v>
      </c>
      <c r="K4" s="9">
        <f>ROUND(data_Template_NTC[[#This Row],[RaddHigh]]+(IF(data_Template_NTC[[#This Row],[Rsonde]]=MIN(data_Template_NTC[Rsonde]),0,$D5)-data_Template_NTC[[#This Row],[Rsonde]]),2)</f>
        <v>0.1</v>
      </c>
      <c r="L4" s="2" cm="1">
        <f t="array" aca="1" ref="L4" ca="1">IF(INDIRECT(RefCell_R77),(data_Template_NTC[[#This Row],[Rpcb]]*INDIRECT(RefCell_R77))/(data_Template_NTC[[#This Row],[Rpcb]]+INDIRECT(RefCell_R77)),data_Template_NTC[[#This Row],[Rpcb]])</f>
        <v>0</v>
      </c>
    </row>
    <row r="5" spans="1:16" x14ac:dyDescent="0.25">
      <c r="A5" t="s">
        <v>46</v>
      </c>
      <c r="B5" s="8">
        <v>-12</v>
      </c>
      <c r="C5" s="9"/>
      <c r="D5" s="9" cm="1">
        <f t="array" aca="1" ref="D5" ca="1">INDIRECT(RefCell_Rpot)+SUM(G5:G$34)</f>
        <v>0</v>
      </c>
      <c r="E5" s="9">
        <f ca="1">data_Template_NTC[[#This Row],[Rpcb]]-data_Template_NTC[[#This Row],[Rsonde]]</f>
        <v>0</v>
      </c>
      <c r="F5" s="4" t="e">
        <f ca="1">data_Template_NTC[[#This Row],[Diff R]]/data_Template_NTC[[#This Row],[Rsonde]]</f>
        <v>#DIV/0!</v>
      </c>
      <c r="G5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5" s="9" cm="1">
        <f t="array" ref="H5">MAX(IF(ResValuesR24&lt;=ROUND(data_Template_NTC[[#This Row],[Rsonde]],2)-IF(data_Template_NTC[[#This Row],[Rsonde]]=MIN(data_Template_NTC[Rsonde]),100,$D6),ResValuesR24))</f>
        <v>0</v>
      </c>
      <c r="I5" s="9">
        <f>ROUND(data_Template_NTC[[#This Row],[RaddLow]]+(IF(data_Template_NTC[[#This Row],[Rsonde]]=MIN(data_Template_NTC[Rsonde]),0,$D6)-data_Template_NTC[[#This Row],[Rsonde]]),2)</f>
        <v>0</v>
      </c>
      <c r="J5" s="9" cm="1">
        <f t="array" ref="J5">MIN(IF(ResValuesR24&gt;=ROUND(data_Template_NTC[[#This Row],[Rsonde]],2)-IF(data_Template_NTC[[#This Row],[Rsonde]]=MIN(data_Template_NTC[Rsonde]),100,$D6),ResValuesR24))</f>
        <v>0.1</v>
      </c>
      <c r="K5" s="9">
        <f>ROUND(data_Template_NTC[[#This Row],[RaddHigh]]+(IF(data_Template_NTC[[#This Row],[Rsonde]]=MIN(data_Template_NTC[Rsonde]),0,$D6)-data_Template_NTC[[#This Row],[Rsonde]]),2)</f>
        <v>0.1</v>
      </c>
      <c r="L5" s="2" cm="1">
        <f t="array" aca="1" ref="L5" ca="1">IF(INDIRECT(RefCell_R77),(data_Template_NTC[[#This Row],[Rpcb]]*INDIRECT(RefCell_R77))/(data_Template_NTC[[#This Row],[Rpcb]]+INDIRECT(RefCell_R77)),data_Template_NTC[[#This Row],[Rpcb]])</f>
        <v>0</v>
      </c>
      <c r="N5" s="1" t="s">
        <v>215</v>
      </c>
    </row>
    <row r="6" spans="1:16" x14ac:dyDescent="0.25">
      <c r="A6" t="s">
        <v>45</v>
      </c>
      <c r="B6" s="8">
        <v>-10.5</v>
      </c>
      <c r="C6" s="9"/>
      <c r="D6" s="9" cm="1">
        <f t="array" aca="1" ref="D6" ca="1">INDIRECT(RefCell_Rpot)+SUM(G6:G$34)</f>
        <v>0</v>
      </c>
      <c r="E6" s="9">
        <f ca="1">data_Template_NTC[[#This Row],[Rpcb]]-data_Template_NTC[[#This Row],[Rsonde]]</f>
        <v>0</v>
      </c>
      <c r="F6" s="4" t="e">
        <f ca="1">data_Template_NTC[[#This Row],[Diff R]]/data_Template_NTC[[#This Row],[Rsonde]]</f>
        <v>#DIV/0!</v>
      </c>
      <c r="G6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6" s="9" cm="1">
        <f t="array" ref="H6">MAX(IF(ResValuesR24&lt;=ROUND(data_Template_NTC[[#This Row],[Rsonde]],2)-IF(data_Template_NTC[[#This Row],[Rsonde]]=MIN(data_Template_NTC[Rsonde]),100,$D7),ResValuesR24))</f>
        <v>0</v>
      </c>
      <c r="I6" s="9">
        <f>ROUND(data_Template_NTC[[#This Row],[RaddLow]]+(IF(data_Template_NTC[[#This Row],[Rsonde]]=MIN(data_Template_NTC[Rsonde]),0,$D7)-data_Template_NTC[[#This Row],[Rsonde]]),2)</f>
        <v>0</v>
      </c>
      <c r="J6" s="9" cm="1">
        <f t="array" ref="J6">MIN(IF(ResValuesR24&gt;=ROUND(data_Template_NTC[[#This Row],[Rsonde]],2)-IF(data_Template_NTC[[#This Row],[Rsonde]]=MIN(data_Template_NTC[Rsonde]),100,$D7),ResValuesR24))</f>
        <v>0.1</v>
      </c>
      <c r="K6" s="9">
        <f>ROUND(data_Template_NTC[[#This Row],[RaddHigh]]+(IF(data_Template_NTC[[#This Row],[Rsonde]]=MIN(data_Template_NTC[Rsonde]),0,$D7)-data_Template_NTC[[#This Row],[Rsonde]]),2)</f>
        <v>0.1</v>
      </c>
      <c r="L6" s="2" cm="1">
        <f t="array" aca="1" ref="L6" ca="1">IF(INDIRECT(RefCell_R77),(data_Template_NTC[[#This Row],[Rpcb]]*INDIRECT(RefCell_R77))/(data_Template_NTC[[#This Row],[Rpcb]]+INDIRECT(RefCell_R77)),data_Template_NTC[[#This Row],[Rpcb]])</f>
        <v>0</v>
      </c>
      <c r="N6" s="35" t="s">
        <v>131</v>
      </c>
      <c r="O6" t="e">
        <f t="shared" ref="O6" si="0">O14 - O11*O7 - O11^3*O8</f>
        <v>#NUM!</v>
      </c>
    </row>
    <row r="7" spans="1:16" x14ac:dyDescent="0.25">
      <c r="A7" t="s">
        <v>44</v>
      </c>
      <c r="B7" s="8">
        <v>-9</v>
      </c>
      <c r="C7" s="9"/>
      <c r="D7" s="9" cm="1">
        <f t="array" aca="1" ref="D7" ca="1">INDIRECT(RefCell_Rpot)+SUM(G7:G$34)</f>
        <v>0</v>
      </c>
      <c r="E7" s="9">
        <f ca="1">data_Template_NTC[[#This Row],[Rpcb]]-data_Template_NTC[[#This Row],[Rsonde]]</f>
        <v>0</v>
      </c>
      <c r="F7" s="4" t="e">
        <f ca="1">data_Template_NTC[[#This Row],[Diff R]]/data_Template_NTC[[#This Row],[Rsonde]]</f>
        <v>#DIV/0!</v>
      </c>
      <c r="G7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7" s="9" cm="1">
        <f t="array" ref="H7">MAX(IF(ResValuesR24&lt;=ROUND(data_Template_NTC[[#This Row],[Rsonde]],2)-IF(data_Template_NTC[[#This Row],[Rsonde]]=MIN(data_Template_NTC[Rsonde]),100,$D8),ResValuesR24))</f>
        <v>0</v>
      </c>
      <c r="I7" s="9">
        <f>ROUND(data_Template_NTC[[#This Row],[RaddLow]]+(IF(data_Template_NTC[[#This Row],[Rsonde]]=MIN(data_Template_NTC[Rsonde]),0,$D8)-data_Template_NTC[[#This Row],[Rsonde]]),2)</f>
        <v>0</v>
      </c>
      <c r="J7" s="9" cm="1">
        <f t="array" ref="J7">MIN(IF(ResValuesR24&gt;=ROUND(data_Template_NTC[[#This Row],[Rsonde]],2)-IF(data_Template_NTC[[#This Row],[Rsonde]]=MIN(data_Template_NTC[Rsonde]),100,$D8),ResValuesR24))</f>
        <v>0.1</v>
      </c>
      <c r="K7" s="9">
        <f>ROUND(data_Template_NTC[[#This Row],[RaddHigh]]+(IF(data_Template_NTC[[#This Row],[Rsonde]]=MIN(data_Template_NTC[Rsonde]),0,$D8)-data_Template_NTC[[#This Row],[Rsonde]]),2)</f>
        <v>0.1</v>
      </c>
      <c r="L7" s="2" cm="1">
        <f t="array" aca="1" ref="L7" ca="1">IF(INDIRECT(RefCell_R77),(data_Template_NTC[[#This Row],[Rpcb]]*INDIRECT(RefCell_R77))/(data_Template_NTC[[#This Row],[Rpcb]]+INDIRECT(RefCell_R77)),data_Template_NTC[[#This Row],[Rpcb]])</f>
        <v>0</v>
      </c>
      <c r="N7" s="35" t="s">
        <v>130</v>
      </c>
      <c r="O7" t="e">
        <f t="shared" ref="O7" si="1">(1/(O11-O12)) * (O14-O15-(O11^3-O12^3)*O8)</f>
        <v>#NUM!</v>
      </c>
    </row>
    <row r="8" spans="1:16" x14ac:dyDescent="0.25">
      <c r="A8" t="s">
        <v>43</v>
      </c>
      <c r="B8" s="8">
        <v>-7.5</v>
      </c>
      <c r="C8" s="9"/>
      <c r="D8" s="9" cm="1">
        <f t="array" aca="1" ref="D8" ca="1">INDIRECT(RefCell_Rpot)+SUM(G8:G$34)</f>
        <v>0</v>
      </c>
      <c r="E8" s="9">
        <f ca="1">data_Template_NTC[[#This Row],[Rpcb]]-data_Template_NTC[[#This Row],[Rsonde]]</f>
        <v>0</v>
      </c>
      <c r="F8" s="4" t="e">
        <f ca="1">data_Template_NTC[[#This Row],[Diff R]]/data_Template_NTC[[#This Row],[Rsonde]]</f>
        <v>#DIV/0!</v>
      </c>
      <c r="G8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8" s="9" cm="1">
        <f t="array" ref="H8">MAX(IF(ResValuesR24&lt;=ROUND(data_Template_NTC[[#This Row],[Rsonde]],2)-IF(data_Template_NTC[[#This Row],[Rsonde]]=MIN(data_Template_NTC[Rsonde]),100,$D9),ResValuesR24))</f>
        <v>0</v>
      </c>
      <c r="I8" s="9">
        <f>ROUND(data_Template_NTC[[#This Row],[RaddLow]]+(IF(data_Template_NTC[[#This Row],[Rsonde]]=MIN(data_Template_NTC[Rsonde]),0,$D9)-data_Template_NTC[[#This Row],[Rsonde]]),2)</f>
        <v>0</v>
      </c>
      <c r="J8" s="9" cm="1">
        <f t="array" ref="J8">MIN(IF(ResValuesR24&gt;=ROUND(data_Template_NTC[[#This Row],[Rsonde]],2)-IF(data_Template_NTC[[#This Row],[Rsonde]]=MIN(data_Template_NTC[Rsonde]),100,$D9),ResValuesR24))</f>
        <v>0.1</v>
      </c>
      <c r="K8" s="9">
        <f>ROUND(data_Template_NTC[[#This Row],[RaddHigh]]+(IF(data_Template_NTC[[#This Row],[Rsonde]]=MIN(data_Template_NTC[Rsonde]),0,$D9)-data_Template_NTC[[#This Row],[Rsonde]]),2)</f>
        <v>0.1</v>
      </c>
      <c r="L8" s="2" cm="1">
        <f t="array" aca="1" ref="L8" ca="1">IF(INDIRECT(RefCell_R77),(data_Template_NTC[[#This Row],[Rpcb]]*INDIRECT(RefCell_R77))/(data_Template_NTC[[#This Row],[Rpcb]]+INDIRECT(RefCell_R77)),data_Template_NTC[[#This Row],[Rpcb]])</f>
        <v>0</v>
      </c>
      <c r="N8" s="35" t="s">
        <v>129</v>
      </c>
      <c r="O8" t="e">
        <f t="shared" ref="O8" si="2">O10/O9</f>
        <v>#NUM!</v>
      </c>
    </row>
    <row r="9" spans="1:16" x14ac:dyDescent="0.25">
      <c r="A9" t="s">
        <v>42</v>
      </c>
      <c r="B9" s="8">
        <v>-6</v>
      </c>
      <c r="C9" s="9"/>
      <c r="D9" s="9" cm="1">
        <f t="array" aca="1" ref="D9" ca="1">INDIRECT(RefCell_Rpot)+SUM(G9:G$34)</f>
        <v>0</v>
      </c>
      <c r="E9" s="9">
        <f ca="1">data_Template_NTC[[#This Row],[Rpcb]]-data_Template_NTC[[#This Row],[Rsonde]]</f>
        <v>0</v>
      </c>
      <c r="F9" s="4" t="e">
        <f ca="1">data_Template_NTC[[#This Row],[Diff R]]/data_Template_NTC[[#This Row],[Rsonde]]</f>
        <v>#DIV/0!</v>
      </c>
      <c r="G9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9" s="9" cm="1">
        <f t="array" ref="H9">MAX(IF(ResValuesR24&lt;=ROUND(data_Template_NTC[[#This Row],[Rsonde]],2)-IF(data_Template_NTC[[#This Row],[Rsonde]]=MIN(data_Template_NTC[Rsonde]),100,$D10),ResValuesR24))</f>
        <v>0</v>
      </c>
      <c r="I9" s="9">
        <f>ROUND(data_Template_NTC[[#This Row],[RaddLow]]+(IF(data_Template_NTC[[#This Row],[Rsonde]]=MIN(data_Template_NTC[Rsonde]),0,$D10)-data_Template_NTC[[#This Row],[Rsonde]]),2)</f>
        <v>0</v>
      </c>
      <c r="J9" s="9" cm="1">
        <f t="array" ref="J9">MIN(IF(ResValuesR24&gt;=ROUND(data_Template_NTC[[#This Row],[Rsonde]],2)-IF(data_Template_NTC[[#This Row],[Rsonde]]=MIN(data_Template_NTC[Rsonde]),100,$D10),ResValuesR24))</f>
        <v>0.1</v>
      </c>
      <c r="K9" s="9">
        <f>ROUND(data_Template_NTC[[#This Row],[RaddHigh]]+(IF(data_Template_NTC[[#This Row],[Rsonde]]=MIN(data_Template_NTC[Rsonde]),0,$D10)-data_Template_NTC[[#This Row],[Rsonde]]),2)</f>
        <v>0.1</v>
      </c>
      <c r="L9" s="2" cm="1">
        <f t="array" aca="1" ref="L9" ca="1">IF(INDIRECT(RefCell_R77),(data_Template_NTC[[#This Row],[Rpcb]]*INDIRECT(RefCell_R77))/(data_Template_NTC[[#This Row],[Rpcb]]+INDIRECT(RefCell_R77)),data_Template_NTC[[#This Row],[Rpcb]])</f>
        <v>0</v>
      </c>
      <c r="N9" s="3" t="s">
        <v>181</v>
      </c>
      <c r="O9" t="e">
        <f t="shared" ref="O9" si="3">(O12-O13)/(O11-O12) * (O12^3-O11^3) + (O12^3-O13^3)</f>
        <v>#NUM!</v>
      </c>
    </row>
    <row r="10" spans="1:16" x14ac:dyDescent="0.25">
      <c r="A10" t="s">
        <v>41</v>
      </c>
      <c r="B10" s="8">
        <v>-4.5</v>
      </c>
      <c r="C10" s="9"/>
      <c r="D10" s="9" cm="1">
        <f t="array" aca="1" ref="D10" ca="1">INDIRECT(RefCell_Rpot)+SUM(G10:G$34)</f>
        <v>0</v>
      </c>
      <c r="E10" s="9">
        <f ca="1">data_Template_NTC[[#This Row],[Rpcb]]-data_Template_NTC[[#This Row],[Rsonde]]</f>
        <v>0</v>
      </c>
      <c r="F10" s="4" t="e">
        <f ca="1">data_Template_NTC[[#This Row],[Diff R]]/data_Template_NTC[[#This Row],[Rsonde]]</f>
        <v>#DIV/0!</v>
      </c>
      <c r="G10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0" s="9" cm="1">
        <f t="array" ref="H10">MAX(IF(ResValuesR24&lt;=ROUND(data_Template_NTC[[#This Row],[Rsonde]],2)-IF(data_Template_NTC[[#This Row],[Rsonde]]=MIN(data_Template_NTC[Rsonde]),100,$D11),ResValuesR24))</f>
        <v>0</v>
      </c>
      <c r="I10" s="9">
        <f>ROUND(data_Template_NTC[[#This Row],[RaddLow]]+(IF(data_Template_NTC[[#This Row],[Rsonde]]=MIN(data_Template_NTC[Rsonde]),0,$D11)-data_Template_NTC[[#This Row],[Rsonde]]),2)</f>
        <v>0</v>
      </c>
      <c r="J10" s="9" cm="1">
        <f t="array" ref="J10">MIN(IF(ResValuesR24&gt;=ROUND(data_Template_NTC[[#This Row],[Rsonde]],2)-IF(data_Template_NTC[[#This Row],[Rsonde]]=MIN(data_Template_NTC[Rsonde]),100,$D11),ResValuesR24))</f>
        <v>0.1</v>
      </c>
      <c r="K10" s="9">
        <f>ROUND(data_Template_NTC[[#This Row],[RaddHigh]]+(IF(data_Template_NTC[[#This Row],[Rsonde]]=MIN(data_Template_NTC[Rsonde]),0,$D11)-data_Template_NTC[[#This Row],[Rsonde]]),2)</f>
        <v>0.1</v>
      </c>
      <c r="L10" s="2" cm="1">
        <f t="array" aca="1" ref="L10" ca="1">IF(INDIRECT(RefCell_R77),(data_Template_NTC[[#This Row],[Rpcb]]*INDIRECT(RefCell_R77))/(data_Template_NTC[[#This Row],[Rpcb]]+INDIRECT(RefCell_R77)),data_Template_NTC[[#This Row],[Rpcb]])</f>
        <v>0</v>
      </c>
      <c r="N10" s="3" t="s">
        <v>182</v>
      </c>
      <c r="O10" t="e">
        <f t="shared" ref="O10" si="4">O15 - O16 - ( (O12-O13)/(O11-O12) ) * (O14-O15)</f>
        <v>#NUM!</v>
      </c>
    </row>
    <row r="11" spans="1:16" x14ac:dyDescent="0.25">
      <c r="A11" t="s">
        <v>40</v>
      </c>
      <c r="B11" s="8">
        <v>-3</v>
      </c>
      <c r="C11" s="9"/>
      <c r="D11" s="9" cm="1">
        <f t="array" aca="1" ref="D11" ca="1">INDIRECT(RefCell_Rpot)+SUM(G11:G$34)</f>
        <v>0</v>
      </c>
      <c r="E11" s="9">
        <f ca="1">data_Template_NTC[[#This Row],[Rpcb]]-data_Template_NTC[[#This Row],[Rsonde]]</f>
        <v>0</v>
      </c>
      <c r="F11" s="4" t="e">
        <f ca="1">data_Template_NTC[[#This Row],[Diff R]]/data_Template_NTC[[#This Row],[Rsonde]]</f>
        <v>#DIV/0!</v>
      </c>
      <c r="G11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1" s="9" cm="1">
        <f t="array" ref="H11">MAX(IF(ResValuesR24&lt;=ROUND(data_Template_NTC[[#This Row],[Rsonde]],2)-IF(data_Template_NTC[[#This Row],[Rsonde]]=MIN(data_Template_NTC[Rsonde]),100,$D12),ResValuesR24))</f>
        <v>0</v>
      </c>
      <c r="I11" s="9">
        <f>ROUND(data_Template_NTC[[#This Row],[RaddLow]]+(IF(data_Template_NTC[[#This Row],[Rsonde]]=MIN(data_Template_NTC[Rsonde]),0,$D12)-data_Template_NTC[[#This Row],[Rsonde]]),2)</f>
        <v>0</v>
      </c>
      <c r="J11" s="9" cm="1">
        <f t="array" ref="J11">MIN(IF(ResValuesR24&gt;=ROUND(data_Template_NTC[[#This Row],[Rsonde]],2)-IF(data_Template_NTC[[#This Row],[Rsonde]]=MIN(data_Template_NTC[Rsonde]),100,$D12),ResValuesR24))</f>
        <v>0.1</v>
      </c>
      <c r="K11" s="9">
        <f>ROUND(data_Template_NTC[[#This Row],[RaddHigh]]+(IF(data_Template_NTC[[#This Row],[Rsonde]]=MIN(data_Template_NTC[Rsonde]),0,$D12)-data_Template_NTC[[#This Row],[Rsonde]]),2)</f>
        <v>0.1</v>
      </c>
      <c r="L11" s="2" cm="1">
        <f t="array" aca="1" ref="L11" ca="1">IF(INDIRECT(RefCell_R77),(data_Template_NTC[[#This Row],[Rpcb]]*INDIRECT(RefCell_R77))/(data_Template_NTC[[#This Row],[Rpcb]]+INDIRECT(RefCell_R77)),data_Template_NTC[[#This Row],[Rpcb]])</f>
        <v>0</v>
      </c>
      <c r="N11" s="3" t="s">
        <v>178</v>
      </c>
      <c r="O11" t="e">
        <f>LN(C3)</f>
        <v>#NUM!</v>
      </c>
    </row>
    <row r="12" spans="1:16" x14ac:dyDescent="0.25">
      <c r="A12" t="s">
        <v>39</v>
      </c>
      <c r="B12" s="8">
        <v>-1.5</v>
      </c>
      <c r="C12" s="9"/>
      <c r="D12" s="9" cm="1">
        <f t="array" aca="1" ref="D12" ca="1">INDIRECT(RefCell_Rpot)+SUM(G12:G$34)</f>
        <v>0</v>
      </c>
      <c r="E12" s="9">
        <f ca="1">data_Template_NTC[[#This Row],[Rpcb]]-data_Template_NTC[[#This Row],[Rsonde]]</f>
        <v>0</v>
      </c>
      <c r="F12" s="4" t="e">
        <f ca="1">data_Template_NTC[[#This Row],[Diff R]]/data_Template_NTC[[#This Row],[Rsonde]]</f>
        <v>#DIV/0!</v>
      </c>
      <c r="G12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2" s="9" cm="1">
        <f t="array" ref="H12">MAX(IF(ResValuesR24&lt;=ROUND(data_Template_NTC[[#This Row],[Rsonde]],2)-IF(data_Template_NTC[[#This Row],[Rsonde]]=MIN(data_Template_NTC[Rsonde]),100,$D13),ResValuesR24))</f>
        <v>0</v>
      </c>
      <c r="I12" s="9">
        <f>ROUND(data_Template_NTC[[#This Row],[RaddLow]]+(IF(data_Template_NTC[[#This Row],[Rsonde]]=MIN(data_Template_NTC[Rsonde]),0,$D13)-data_Template_NTC[[#This Row],[Rsonde]]),2)</f>
        <v>0</v>
      </c>
      <c r="J12" s="9" cm="1">
        <f t="array" ref="J12">MIN(IF(ResValuesR24&gt;=ROUND(data_Template_NTC[[#This Row],[Rsonde]],2)-IF(data_Template_NTC[[#This Row],[Rsonde]]=MIN(data_Template_NTC[Rsonde]),100,$D13),ResValuesR24))</f>
        <v>0.1</v>
      </c>
      <c r="K12" s="9">
        <f>ROUND(data_Template_NTC[[#This Row],[RaddHigh]]+(IF(data_Template_NTC[[#This Row],[Rsonde]]=MIN(data_Template_NTC[Rsonde]),0,$D13)-data_Template_NTC[[#This Row],[Rsonde]]),2)</f>
        <v>0.1</v>
      </c>
      <c r="L12" s="2" cm="1">
        <f t="array" aca="1" ref="L12" ca="1">IF(INDIRECT(RefCell_R77),(data_Template_NTC[[#This Row],[Rpcb]]*INDIRECT(RefCell_R77))/(data_Template_NTC[[#This Row],[Rpcb]]+INDIRECT(RefCell_R77)),data_Template_NTC[[#This Row],[Rpcb]])</f>
        <v>0</v>
      </c>
      <c r="N12" s="3" t="s">
        <v>179</v>
      </c>
      <c r="O12" t="e">
        <f>LN(C17)</f>
        <v>#NUM!</v>
      </c>
    </row>
    <row r="13" spans="1:16" x14ac:dyDescent="0.25">
      <c r="A13" t="s">
        <v>38</v>
      </c>
      <c r="B13" s="8">
        <v>0</v>
      </c>
      <c r="C13" s="9"/>
      <c r="D13" s="9" cm="1">
        <f t="array" aca="1" ref="D13" ca="1">INDIRECT(RefCell_Rpot)+SUM(G13:G$34)</f>
        <v>0</v>
      </c>
      <c r="E13" s="9">
        <f ca="1">data_Template_NTC[[#This Row],[Rpcb]]-data_Template_NTC[[#This Row],[Rsonde]]</f>
        <v>0</v>
      </c>
      <c r="F13" s="4" t="e">
        <f ca="1">data_Template_NTC[[#This Row],[Diff R]]/data_Template_NTC[[#This Row],[Rsonde]]</f>
        <v>#DIV/0!</v>
      </c>
      <c r="G13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3" s="9" cm="1">
        <f t="array" ref="H13">MAX(IF(ResValuesR24&lt;=ROUND(data_Template_NTC[[#This Row],[Rsonde]],2)-IF(data_Template_NTC[[#This Row],[Rsonde]]=MIN(data_Template_NTC[Rsonde]),100,$D14),ResValuesR24))</f>
        <v>0</v>
      </c>
      <c r="I13" s="9">
        <f>ROUND(data_Template_NTC[[#This Row],[RaddLow]]+(IF(data_Template_NTC[[#This Row],[Rsonde]]=MIN(data_Template_NTC[Rsonde]),0,$D14)-data_Template_NTC[[#This Row],[Rsonde]]),2)</f>
        <v>0</v>
      </c>
      <c r="J13" s="9" cm="1">
        <f t="array" ref="J13">MIN(IF(ResValuesR24&gt;=ROUND(data_Template_NTC[[#This Row],[Rsonde]],2)-IF(data_Template_NTC[[#This Row],[Rsonde]]=MIN(data_Template_NTC[Rsonde]),100,$D14),ResValuesR24))</f>
        <v>0.1</v>
      </c>
      <c r="K13" s="9">
        <f>ROUND(data_Template_NTC[[#This Row],[RaddHigh]]+(IF(data_Template_NTC[[#This Row],[Rsonde]]=MIN(data_Template_NTC[Rsonde]),0,$D14)-data_Template_NTC[[#This Row],[Rsonde]]),2)</f>
        <v>0.1</v>
      </c>
      <c r="L13" s="2" cm="1">
        <f t="array" aca="1" ref="L13" ca="1">IF(INDIRECT(RefCell_R77),(data_Template_NTC[[#This Row],[Rpcb]]*INDIRECT(RefCell_R77))/(data_Template_NTC[[#This Row],[Rpcb]]+INDIRECT(RefCell_R77)),data_Template_NTC[[#This Row],[Rpcb]])</f>
        <v>0</v>
      </c>
      <c r="N13" s="3" t="s">
        <v>180</v>
      </c>
      <c r="O13" t="e">
        <f>LN(C31)</f>
        <v>#NUM!</v>
      </c>
    </row>
    <row r="14" spans="1:16" x14ac:dyDescent="0.25">
      <c r="A14" t="s">
        <v>37</v>
      </c>
      <c r="B14" s="8">
        <v>1.5</v>
      </c>
      <c r="C14" s="9"/>
      <c r="D14" s="9" cm="1">
        <f t="array" aca="1" ref="D14" ca="1">INDIRECT(RefCell_Rpot)+SUM(G14:G$34)</f>
        <v>0</v>
      </c>
      <c r="E14" s="9">
        <f ca="1">data_Template_NTC[[#This Row],[Rpcb]]-data_Template_NTC[[#This Row],[Rsonde]]</f>
        <v>0</v>
      </c>
      <c r="F14" s="4" t="e">
        <f ca="1">data_Template_NTC[[#This Row],[Diff R]]/data_Template_NTC[[#This Row],[Rsonde]]</f>
        <v>#DIV/0!</v>
      </c>
      <c r="G14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4" s="9" cm="1">
        <f t="array" ref="H14">MAX(IF(ResValuesR24&lt;=ROUND(data_Template_NTC[[#This Row],[Rsonde]],2)-IF(data_Template_NTC[[#This Row],[Rsonde]]=MIN(data_Template_NTC[Rsonde]),100,$D15),ResValuesR24))</f>
        <v>0</v>
      </c>
      <c r="I14" s="9">
        <f>ROUND(data_Template_NTC[[#This Row],[RaddLow]]+(IF(data_Template_NTC[[#This Row],[Rsonde]]=MIN(data_Template_NTC[Rsonde]),0,$D15)-data_Template_NTC[[#This Row],[Rsonde]]),2)</f>
        <v>0</v>
      </c>
      <c r="J14" s="9" cm="1">
        <f t="array" ref="J14">MIN(IF(ResValuesR24&gt;=ROUND(data_Template_NTC[[#This Row],[Rsonde]],2)-IF(data_Template_NTC[[#This Row],[Rsonde]]=MIN(data_Template_NTC[Rsonde]),100,$D15),ResValuesR24))</f>
        <v>0.1</v>
      </c>
      <c r="K14" s="9">
        <f>ROUND(data_Template_NTC[[#This Row],[RaddHigh]]+(IF(data_Template_NTC[[#This Row],[Rsonde]]=MIN(data_Template_NTC[Rsonde]),0,$D15)-data_Template_NTC[[#This Row],[Rsonde]]),2)</f>
        <v>0.1</v>
      </c>
      <c r="L14" s="2" cm="1">
        <f t="array" aca="1" ref="L14" ca="1">IF(INDIRECT(RefCell_R77),(data_Template_NTC[[#This Row],[Rpcb]]*INDIRECT(RefCell_R77))/(data_Template_NTC[[#This Row],[Rpcb]]+INDIRECT(RefCell_R77)),data_Template_NTC[[#This Row],[Rpcb]])</f>
        <v>0</v>
      </c>
      <c r="N14" s="3" t="s">
        <v>175</v>
      </c>
      <c r="O14">
        <f>1/(B3+273.15)</f>
        <v>3.8737168312996321E-3</v>
      </c>
    </row>
    <row r="15" spans="1:16" x14ac:dyDescent="0.25">
      <c r="A15" t="s">
        <v>36</v>
      </c>
      <c r="B15" s="8">
        <v>3</v>
      </c>
      <c r="C15" s="9"/>
      <c r="D15" s="9" cm="1">
        <f t="array" aca="1" ref="D15" ca="1">INDIRECT(RefCell_Rpot)+SUM(G15:G$34)</f>
        <v>0</v>
      </c>
      <c r="E15" s="9">
        <f ca="1">data_Template_NTC[[#This Row],[Rpcb]]-data_Template_NTC[[#This Row],[Rsonde]]</f>
        <v>0</v>
      </c>
      <c r="F15" s="4" t="e">
        <f ca="1">data_Template_NTC[[#This Row],[Diff R]]/data_Template_NTC[[#This Row],[Rsonde]]</f>
        <v>#DIV/0!</v>
      </c>
      <c r="G15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5" s="9" cm="1">
        <f t="array" ref="H15">MAX(IF(ResValuesR24&lt;=ROUND(data_Template_NTC[[#This Row],[Rsonde]],2)-IF(data_Template_NTC[[#This Row],[Rsonde]]=MIN(data_Template_NTC[Rsonde]),100,$D16),ResValuesR24))</f>
        <v>0</v>
      </c>
      <c r="I15" s="9">
        <f>ROUND(data_Template_NTC[[#This Row],[RaddLow]]+(IF(data_Template_NTC[[#This Row],[Rsonde]]=MIN(data_Template_NTC[Rsonde]),0,$D16)-data_Template_NTC[[#This Row],[Rsonde]]),2)</f>
        <v>0</v>
      </c>
      <c r="J15" s="9" cm="1">
        <f t="array" ref="J15">MIN(IF(ResValuesR24&gt;=ROUND(data_Template_NTC[[#This Row],[Rsonde]],2)-IF(data_Template_NTC[[#This Row],[Rsonde]]=MIN(data_Template_NTC[Rsonde]),100,$D16),ResValuesR24))</f>
        <v>0.1</v>
      </c>
      <c r="K15" s="9">
        <f>ROUND(data_Template_NTC[[#This Row],[RaddHigh]]+(IF(data_Template_NTC[[#This Row],[Rsonde]]=MIN(data_Template_NTC[Rsonde]),0,$D16)-data_Template_NTC[[#This Row],[Rsonde]]),2)</f>
        <v>0.1</v>
      </c>
      <c r="L15" s="2" cm="1">
        <f t="array" aca="1" ref="L15" ca="1">IF(INDIRECT(RefCell_R77),(data_Template_NTC[[#This Row],[Rpcb]]*INDIRECT(RefCell_R77))/(data_Template_NTC[[#This Row],[Rpcb]]+INDIRECT(RefCell_R77)),data_Template_NTC[[#This Row],[Rpcb]])</f>
        <v>0</v>
      </c>
      <c r="N15" s="3" t="s">
        <v>176</v>
      </c>
      <c r="O15">
        <f>1/(B17+273.15)</f>
        <v>3.5823034210997673E-3</v>
      </c>
    </row>
    <row r="16" spans="1:16" x14ac:dyDescent="0.25">
      <c r="A16" t="s">
        <v>35</v>
      </c>
      <c r="B16" s="8">
        <v>4.5</v>
      </c>
      <c r="C16" s="9"/>
      <c r="D16" s="9" cm="1">
        <f t="array" aca="1" ref="D16" ca="1">INDIRECT(RefCell_Rpot)+SUM(G16:G$34)</f>
        <v>0</v>
      </c>
      <c r="E16" s="9">
        <f ca="1">data_Template_NTC[[#This Row],[Rpcb]]-data_Template_NTC[[#This Row],[Rsonde]]</f>
        <v>0</v>
      </c>
      <c r="F16" s="4" t="e">
        <f ca="1">data_Template_NTC[[#This Row],[Diff R]]/data_Template_NTC[[#This Row],[Rsonde]]</f>
        <v>#DIV/0!</v>
      </c>
      <c r="G16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6" s="9" cm="1">
        <f t="array" ref="H16">MAX(IF(ResValuesR24&lt;=ROUND(data_Template_NTC[[#This Row],[Rsonde]],2)-IF(data_Template_NTC[[#This Row],[Rsonde]]=MIN(data_Template_NTC[Rsonde]),100,$D17),ResValuesR24))</f>
        <v>0</v>
      </c>
      <c r="I16" s="9">
        <f>ROUND(data_Template_NTC[[#This Row],[RaddLow]]+(IF(data_Template_NTC[[#This Row],[Rsonde]]=MIN(data_Template_NTC[Rsonde]),0,$D17)-data_Template_NTC[[#This Row],[Rsonde]]),2)</f>
        <v>0</v>
      </c>
      <c r="J16" s="9" cm="1">
        <f t="array" ref="J16">MIN(IF(ResValuesR24&gt;=ROUND(data_Template_NTC[[#This Row],[Rsonde]],2)-IF(data_Template_NTC[[#This Row],[Rsonde]]=MIN(data_Template_NTC[Rsonde]),100,$D17),ResValuesR24))</f>
        <v>0.1</v>
      </c>
      <c r="K16" s="9">
        <f>ROUND(data_Template_NTC[[#This Row],[RaddHigh]]+(IF(data_Template_NTC[[#This Row],[Rsonde]]=MIN(data_Template_NTC[Rsonde]),0,$D17)-data_Template_NTC[[#This Row],[Rsonde]]),2)</f>
        <v>0.1</v>
      </c>
      <c r="L16" s="2" cm="1">
        <f t="array" aca="1" ref="L16" ca="1">IF(INDIRECT(RefCell_R77),(data_Template_NTC[[#This Row],[Rpcb]]*INDIRECT(RefCell_R77))/(data_Template_NTC[[#This Row],[Rpcb]]+INDIRECT(RefCell_R77)),data_Template_NTC[[#This Row],[Rpcb]])</f>
        <v>0</v>
      </c>
      <c r="N16" s="3" t="s">
        <v>177</v>
      </c>
      <c r="O16">
        <f>1/(B31+273.15)</f>
        <v>3.331667499583542E-3</v>
      </c>
    </row>
    <row r="17" spans="1:12" x14ac:dyDescent="0.25">
      <c r="A17" t="s">
        <v>34</v>
      </c>
      <c r="B17" s="8">
        <v>6</v>
      </c>
      <c r="C17" s="9"/>
      <c r="D17" s="9" cm="1">
        <f t="array" aca="1" ref="D17" ca="1">INDIRECT(RefCell_Rpot)+SUM(G17:G$34)</f>
        <v>0</v>
      </c>
      <c r="E17" s="9">
        <f ca="1">data_Template_NTC[[#This Row],[Rpcb]]-data_Template_NTC[[#This Row],[Rsonde]]</f>
        <v>0</v>
      </c>
      <c r="F17" s="4" t="e">
        <f ca="1">data_Template_NTC[[#This Row],[Diff R]]/data_Template_NTC[[#This Row],[Rsonde]]</f>
        <v>#DIV/0!</v>
      </c>
      <c r="G17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7" s="9" cm="1">
        <f t="array" ref="H17">MAX(IF(ResValuesR24&lt;=ROUND(data_Template_NTC[[#This Row],[Rsonde]],2)-IF(data_Template_NTC[[#This Row],[Rsonde]]=MIN(data_Template_NTC[Rsonde]),100,$D18),ResValuesR24))</f>
        <v>0</v>
      </c>
      <c r="I17" s="9">
        <f>ROUND(data_Template_NTC[[#This Row],[RaddLow]]+(IF(data_Template_NTC[[#This Row],[Rsonde]]=MIN(data_Template_NTC[Rsonde]),0,$D18)-data_Template_NTC[[#This Row],[Rsonde]]),2)</f>
        <v>0</v>
      </c>
      <c r="J17" s="9" cm="1">
        <f t="array" ref="J17">MIN(IF(ResValuesR24&gt;=ROUND(data_Template_NTC[[#This Row],[Rsonde]],2)-IF(data_Template_NTC[[#This Row],[Rsonde]]=MIN(data_Template_NTC[Rsonde]),100,$D18),ResValuesR24))</f>
        <v>0.1</v>
      </c>
      <c r="K17" s="9">
        <f>ROUND(data_Template_NTC[[#This Row],[RaddHigh]]+(IF(data_Template_NTC[[#This Row],[Rsonde]]=MIN(data_Template_NTC[Rsonde]),0,$D18)-data_Template_NTC[[#This Row],[Rsonde]]),2)</f>
        <v>0.1</v>
      </c>
      <c r="L17" s="2" cm="1">
        <f t="array" aca="1" ref="L17" ca="1">IF(INDIRECT(RefCell_R77),(data_Template_NTC[[#This Row],[Rpcb]]*INDIRECT(RefCell_R77))/(data_Template_NTC[[#This Row],[Rpcb]]+INDIRECT(RefCell_R77)),data_Template_NTC[[#This Row],[Rpcb]])</f>
        <v>0</v>
      </c>
    </row>
    <row r="18" spans="1:12" x14ac:dyDescent="0.25">
      <c r="A18" t="s">
        <v>33</v>
      </c>
      <c r="B18" s="8">
        <v>7.5</v>
      </c>
      <c r="C18" s="9"/>
      <c r="D18" s="9" cm="1">
        <f t="array" aca="1" ref="D18" ca="1">INDIRECT(RefCell_Rpot)+SUM(G18:G$34)</f>
        <v>0</v>
      </c>
      <c r="E18" s="9">
        <f ca="1">data_Template_NTC[[#This Row],[Rpcb]]-data_Template_NTC[[#This Row],[Rsonde]]</f>
        <v>0</v>
      </c>
      <c r="F18" s="4" t="e">
        <f ca="1">data_Template_NTC[[#This Row],[Diff R]]/data_Template_NTC[[#This Row],[Rsonde]]</f>
        <v>#DIV/0!</v>
      </c>
      <c r="G18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8" s="9" cm="1">
        <f t="array" ref="H18">MAX(IF(ResValuesR24&lt;=ROUND(data_Template_NTC[[#This Row],[Rsonde]],2)-IF(data_Template_NTC[[#This Row],[Rsonde]]=MIN(data_Template_NTC[Rsonde]),100,$D19),ResValuesR24))</f>
        <v>0</v>
      </c>
      <c r="I18" s="9">
        <f>ROUND(data_Template_NTC[[#This Row],[RaddLow]]+(IF(data_Template_NTC[[#This Row],[Rsonde]]=MIN(data_Template_NTC[Rsonde]),0,$D19)-data_Template_NTC[[#This Row],[Rsonde]]),2)</f>
        <v>0</v>
      </c>
      <c r="J18" s="9" cm="1">
        <f t="array" ref="J18">MIN(IF(ResValuesR24&gt;=ROUND(data_Template_NTC[[#This Row],[Rsonde]],2)-IF(data_Template_NTC[[#This Row],[Rsonde]]=MIN(data_Template_NTC[Rsonde]),100,$D19),ResValuesR24))</f>
        <v>0.1</v>
      </c>
      <c r="K18" s="9">
        <f>ROUND(data_Template_NTC[[#This Row],[RaddHigh]]+(IF(data_Template_NTC[[#This Row],[Rsonde]]=MIN(data_Template_NTC[Rsonde]),0,$D19)-data_Template_NTC[[#This Row],[Rsonde]]),2)</f>
        <v>0.1</v>
      </c>
      <c r="L18" s="2" cm="1">
        <f t="array" aca="1" ref="L18" ca="1">IF(INDIRECT(RefCell_R77),(data_Template_NTC[[#This Row],[Rpcb]]*INDIRECT(RefCell_R77))/(data_Template_NTC[[#This Row],[Rpcb]]+INDIRECT(RefCell_R77)),data_Template_NTC[[#This Row],[Rpcb]])</f>
        <v>0</v>
      </c>
    </row>
    <row r="19" spans="1:12" x14ac:dyDescent="0.25">
      <c r="A19" t="s">
        <v>32</v>
      </c>
      <c r="B19" s="8">
        <v>9</v>
      </c>
      <c r="C19" s="9"/>
      <c r="D19" s="9" cm="1">
        <f t="array" aca="1" ref="D19" ca="1">INDIRECT(RefCell_Rpot)+SUM(G19:G$34)</f>
        <v>0</v>
      </c>
      <c r="E19" s="9">
        <f ca="1">data_Template_NTC[[#This Row],[Rpcb]]-data_Template_NTC[[#This Row],[Rsonde]]</f>
        <v>0</v>
      </c>
      <c r="F19" s="4" t="e">
        <f ca="1">data_Template_NTC[[#This Row],[Diff R]]/data_Template_NTC[[#This Row],[Rsonde]]</f>
        <v>#DIV/0!</v>
      </c>
      <c r="G19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9" s="9" cm="1">
        <f t="array" ref="H19">MAX(IF(ResValuesR24&lt;=ROUND(data_Template_NTC[[#This Row],[Rsonde]],2)-IF(data_Template_NTC[[#This Row],[Rsonde]]=MIN(data_Template_NTC[Rsonde]),100,$D20),ResValuesR24))</f>
        <v>0</v>
      </c>
      <c r="I19" s="9">
        <f>ROUND(data_Template_NTC[[#This Row],[RaddLow]]+(IF(data_Template_NTC[[#This Row],[Rsonde]]=MIN(data_Template_NTC[Rsonde]),0,$D20)-data_Template_NTC[[#This Row],[Rsonde]]),2)</f>
        <v>0</v>
      </c>
      <c r="J19" s="9" cm="1">
        <f t="array" ref="J19">MIN(IF(ResValuesR24&gt;=ROUND(data_Template_NTC[[#This Row],[Rsonde]],2)-IF(data_Template_NTC[[#This Row],[Rsonde]]=MIN(data_Template_NTC[Rsonde]),100,$D20),ResValuesR24))</f>
        <v>0.1</v>
      </c>
      <c r="K19" s="9">
        <f>ROUND(data_Template_NTC[[#This Row],[RaddHigh]]+(IF(data_Template_NTC[[#This Row],[Rsonde]]=MIN(data_Template_NTC[Rsonde]),0,$D20)-data_Template_NTC[[#This Row],[Rsonde]]),2)</f>
        <v>0.1</v>
      </c>
      <c r="L19" s="2" cm="1">
        <f t="array" aca="1" ref="L19" ca="1">IF(INDIRECT(RefCell_R77),(data_Template_NTC[[#This Row],[Rpcb]]*INDIRECT(RefCell_R77))/(data_Template_NTC[[#This Row],[Rpcb]]+INDIRECT(RefCell_R77)),data_Template_NTC[[#This Row],[Rpcb]])</f>
        <v>0</v>
      </c>
    </row>
    <row r="20" spans="1:12" x14ac:dyDescent="0.25">
      <c r="A20" t="s">
        <v>31</v>
      </c>
      <c r="B20" s="8">
        <v>10.5</v>
      </c>
      <c r="C20" s="9"/>
      <c r="D20" s="9" cm="1">
        <f t="array" aca="1" ref="D20" ca="1">INDIRECT(RefCell_Rpot)+SUM(G20:G$34)</f>
        <v>0</v>
      </c>
      <c r="E20" s="9">
        <f ca="1">data_Template_NTC[[#This Row],[Rpcb]]-data_Template_NTC[[#This Row],[Rsonde]]</f>
        <v>0</v>
      </c>
      <c r="F20" s="4" t="e">
        <f ca="1">data_Template_NTC[[#This Row],[Diff R]]/data_Template_NTC[[#This Row],[Rsonde]]</f>
        <v>#DIV/0!</v>
      </c>
      <c r="G20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0" s="9" cm="1">
        <f t="array" ref="H20">MAX(IF(ResValuesR24&lt;=ROUND(data_Template_NTC[[#This Row],[Rsonde]],2)-IF(data_Template_NTC[[#This Row],[Rsonde]]=MIN(data_Template_NTC[Rsonde]),100,$D21),ResValuesR24))</f>
        <v>0</v>
      </c>
      <c r="I20" s="9">
        <f>ROUND(data_Template_NTC[[#This Row],[RaddLow]]+(IF(data_Template_NTC[[#This Row],[Rsonde]]=MIN(data_Template_NTC[Rsonde]),0,$D21)-data_Template_NTC[[#This Row],[Rsonde]]),2)</f>
        <v>0</v>
      </c>
      <c r="J20" s="9" cm="1">
        <f t="array" ref="J20">MIN(IF(ResValuesR24&gt;=ROUND(data_Template_NTC[[#This Row],[Rsonde]],2)-IF(data_Template_NTC[[#This Row],[Rsonde]]=MIN(data_Template_NTC[Rsonde]),100,$D21),ResValuesR24))</f>
        <v>0.1</v>
      </c>
      <c r="K20" s="9">
        <f>ROUND(data_Template_NTC[[#This Row],[RaddHigh]]+(IF(data_Template_NTC[[#This Row],[Rsonde]]=MIN(data_Template_NTC[Rsonde]),0,$D21)-data_Template_NTC[[#This Row],[Rsonde]]),2)</f>
        <v>0.1</v>
      </c>
      <c r="L20" s="2" cm="1">
        <f t="array" aca="1" ref="L20" ca="1">IF(INDIRECT(RefCell_R77),(data_Template_NTC[[#This Row],[Rpcb]]*INDIRECT(RefCell_R77))/(data_Template_NTC[[#This Row],[Rpcb]]+INDIRECT(RefCell_R77)),data_Template_NTC[[#This Row],[Rpcb]])</f>
        <v>0</v>
      </c>
    </row>
    <row r="21" spans="1:12" x14ac:dyDescent="0.25">
      <c r="A21" t="s">
        <v>30</v>
      </c>
      <c r="B21" s="8">
        <v>12</v>
      </c>
      <c r="C21" s="9"/>
      <c r="D21" s="9" cm="1">
        <f t="array" aca="1" ref="D21" ca="1">INDIRECT(RefCell_Rpot)+SUM(G21:G$34)</f>
        <v>0</v>
      </c>
      <c r="E21" s="9">
        <f ca="1">data_Template_NTC[[#This Row],[Rpcb]]-data_Template_NTC[[#This Row],[Rsonde]]</f>
        <v>0</v>
      </c>
      <c r="F21" s="4" t="e">
        <f ca="1">data_Template_NTC[[#This Row],[Diff R]]/data_Template_NTC[[#This Row],[Rsonde]]</f>
        <v>#DIV/0!</v>
      </c>
      <c r="G21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1" s="9" cm="1">
        <f t="array" ref="H21">MAX(IF(ResValuesR24&lt;=ROUND(data_Template_NTC[[#This Row],[Rsonde]],2)-IF(data_Template_NTC[[#This Row],[Rsonde]]=MIN(data_Template_NTC[Rsonde]),100,$D22),ResValuesR24))</f>
        <v>0</v>
      </c>
      <c r="I21" s="9">
        <f>ROUND(data_Template_NTC[[#This Row],[RaddLow]]+(IF(data_Template_NTC[[#This Row],[Rsonde]]=MIN(data_Template_NTC[Rsonde]),0,$D22)-data_Template_NTC[[#This Row],[Rsonde]]),2)</f>
        <v>0</v>
      </c>
      <c r="J21" s="9" cm="1">
        <f t="array" ref="J21">MIN(IF(ResValuesR24&gt;=ROUND(data_Template_NTC[[#This Row],[Rsonde]],2)-IF(data_Template_NTC[[#This Row],[Rsonde]]=MIN(data_Template_NTC[Rsonde]),100,$D22),ResValuesR24))</f>
        <v>0.1</v>
      </c>
      <c r="K21" s="9">
        <f>ROUND(data_Template_NTC[[#This Row],[RaddHigh]]+(IF(data_Template_NTC[[#This Row],[Rsonde]]=MIN(data_Template_NTC[Rsonde]),0,$D22)-data_Template_NTC[[#This Row],[Rsonde]]),2)</f>
        <v>0.1</v>
      </c>
      <c r="L21" s="2" cm="1">
        <f t="array" aca="1" ref="L21" ca="1">IF(INDIRECT(RefCell_R77),(data_Template_NTC[[#This Row],[Rpcb]]*INDIRECT(RefCell_R77))/(data_Template_NTC[[#This Row],[Rpcb]]+INDIRECT(RefCell_R77)),data_Template_NTC[[#This Row],[Rpcb]])</f>
        <v>0</v>
      </c>
    </row>
    <row r="22" spans="1:12" x14ac:dyDescent="0.25">
      <c r="A22" t="s">
        <v>29</v>
      </c>
      <c r="B22" s="8">
        <v>13.5</v>
      </c>
      <c r="C22" s="9"/>
      <c r="D22" s="9" cm="1">
        <f t="array" aca="1" ref="D22" ca="1">INDIRECT(RefCell_Rpot)+SUM(G22:G$34)</f>
        <v>0</v>
      </c>
      <c r="E22" s="9">
        <f ca="1">data_Template_NTC[[#This Row],[Rpcb]]-data_Template_NTC[[#This Row],[Rsonde]]</f>
        <v>0</v>
      </c>
      <c r="F22" s="4" t="e">
        <f ca="1">data_Template_NTC[[#This Row],[Diff R]]/data_Template_NTC[[#This Row],[Rsonde]]</f>
        <v>#DIV/0!</v>
      </c>
      <c r="G22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2" s="9" cm="1">
        <f t="array" ref="H22">MAX(IF(ResValuesR24&lt;=ROUND(data_Template_NTC[[#This Row],[Rsonde]],2)-IF(data_Template_NTC[[#This Row],[Rsonde]]=MIN(data_Template_NTC[Rsonde]),100,$D23),ResValuesR24))</f>
        <v>0</v>
      </c>
      <c r="I22" s="9">
        <f>ROUND(data_Template_NTC[[#This Row],[RaddLow]]+(IF(data_Template_NTC[[#This Row],[Rsonde]]=MIN(data_Template_NTC[Rsonde]),0,$D23)-data_Template_NTC[[#This Row],[Rsonde]]),2)</f>
        <v>0</v>
      </c>
      <c r="J22" s="9" cm="1">
        <f t="array" ref="J22">MIN(IF(ResValuesR24&gt;=ROUND(data_Template_NTC[[#This Row],[Rsonde]],2)-IF(data_Template_NTC[[#This Row],[Rsonde]]=MIN(data_Template_NTC[Rsonde]),100,$D23),ResValuesR24))</f>
        <v>0.1</v>
      </c>
      <c r="K22" s="9">
        <f>ROUND(data_Template_NTC[[#This Row],[RaddHigh]]+(IF(data_Template_NTC[[#This Row],[Rsonde]]=MIN(data_Template_NTC[Rsonde]),0,$D23)-data_Template_NTC[[#This Row],[Rsonde]]),2)</f>
        <v>0.1</v>
      </c>
      <c r="L22" s="2" cm="1">
        <f t="array" aca="1" ref="L22" ca="1">IF(INDIRECT(RefCell_R77),(data_Template_NTC[[#This Row],[Rpcb]]*INDIRECT(RefCell_R77))/(data_Template_NTC[[#This Row],[Rpcb]]+INDIRECT(RefCell_R77)),data_Template_NTC[[#This Row],[Rpcb]])</f>
        <v>0</v>
      </c>
    </row>
    <row r="23" spans="1:12" x14ac:dyDescent="0.25">
      <c r="A23" t="s">
        <v>28</v>
      </c>
      <c r="B23" s="8">
        <v>15</v>
      </c>
      <c r="C23" s="9"/>
      <c r="D23" s="9" cm="1">
        <f t="array" aca="1" ref="D23" ca="1">INDIRECT(RefCell_Rpot)+SUM(G23:G$34)</f>
        <v>0</v>
      </c>
      <c r="E23" s="9">
        <f ca="1">data_Template_NTC[[#This Row],[Rpcb]]-data_Template_NTC[[#This Row],[Rsonde]]</f>
        <v>0</v>
      </c>
      <c r="F23" s="4" t="e">
        <f ca="1">data_Template_NTC[[#This Row],[Diff R]]/data_Template_NTC[[#This Row],[Rsonde]]</f>
        <v>#DIV/0!</v>
      </c>
      <c r="G23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3" s="9" cm="1">
        <f t="array" ref="H23">MAX(IF(ResValuesR24&lt;=ROUND(data_Template_NTC[[#This Row],[Rsonde]],2)-IF(data_Template_NTC[[#This Row],[Rsonde]]=MIN(data_Template_NTC[Rsonde]),100,$D24),ResValuesR24))</f>
        <v>0</v>
      </c>
      <c r="I23" s="9">
        <f>ROUND(data_Template_NTC[[#This Row],[RaddLow]]+(IF(data_Template_NTC[[#This Row],[Rsonde]]=MIN(data_Template_NTC[Rsonde]),0,$D24)-data_Template_NTC[[#This Row],[Rsonde]]),2)</f>
        <v>0</v>
      </c>
      <c r="J23" s="9" cm="1">
        <f t="array" ref="J23">MIN(IF(ResValuesR24&gt;=ROUND(data_Template_NTC[[#This Row],[Rsonde]],2)-IF(data_Template_NTC[[#This Row],[Rsonde]]=MIN(data_Template_NTC[Rsonde]),100,$D24),ResValuesR24))</f>
        <v>0.1</v>
      </c>
      <c r="K23" s="9">
        <f>ROUND(data_Template_NTC[[#This Row],[RaddHigh]]+(IF(data_Template_NTC[[#This Row],[Rsonde]]=MIN(data_Template_NTC[Rsonde]),0,$D24)-data_Template_NTC[[#This Row],[Rsonde]]),2)</f>
        <v>0.1</v>
      </c>
      <c r="L23" s="2" cm="1">
        <f t="array" aca="1" ref="L23" ca="1">IF(INDIRECT(RefCell_R77),(data_Template_NTC[[#This Row],[Rpcb]]*INDIRECT(RefCell_R77))/(data_Template_NTC[[#This Row],[Rpcb]]+INDIRECT(RefCell_R77)),data_Template_NTC[[#This Row],[Rpcb]])</f>
        <v>0</v>
      </c>
    </row>
    <row r="24" spans="1:12" x14ac:dyDescent="0.25">
      <c r="A24" t="s">
        <v>27</v>
      </c>
      <c r="B24" s="8">
        <v>16.5</v>
      </c>
      <c r="C24" s="9"/>
      <c r="D24" s="9" cm="1">
        <f t="array" aca="1" ref="D24" ca="1">INDIRECT(RefCell_Rpot)+SUM(G24:G$34)</f>
        <v>0</v>
      </c>
      <c r="E24" s="9">
        <f ca="1">data_Template_NTC[[#This Row],[Rpcb]]-data_Template_NTC[[#This Row],[Rsonde]]</f>
        <v>0</v>
      </c>
      <c r="F24" s="4" t="e">
        <f ca="1">data_Template_NTC[[#This Row],[Diff R]]/data_Template_NTC[[#This Row],[Rsonde]]</f>
        <v>#DIV/0!</v>
      </c>
      <c r="G24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4" s="9" cm="1">
        <f t="array" ref="H24">MAX(IF(ResValuesR24&lt;=ROUND(data_Template_NTC[[#This Row],[Rsonde]],2)-IF(data_Template_NTC[[#This Row],[Rsonde]]=MIN(data_Template_NTC[Rsonde]),100,$D25),ResValuesR24))</f>
        <v>0</v>
      </c>
      <c r="I24" s="9">
        <f>ROUND(data_Template_NTC[[#This Row],[RaddLow]]+(IF(data_Template_NTC[[#This Row],[Rsonde]]=MIN(data_Template_NTC[Rsonde]),0,$D25)-data_Template_NTC[[#This Row],[Rsonde]]),2)</f>
        <v>0</v>
      </c>
      <c r="J24" s="9" cm="1">
        <f t="array" ref="J24">MIN(IF(ResValuesR24&gt;=ROUND(data_Template_NTC[[#This Row],[Rsonde]],2)-IF(data_Template_NTC[[#This Row],[Rsonde]]=MIN(data_Template_NTC[Rsonde]),100,$D25),ResValuesR24))</f>
        <v>0.1</v>
      </c>
      <c r="K24" s="9">
        <f>ROUND(data_Template_NTC[[#This Row],[RaddHigh]]+(IF(data_Template_NTC[[#This Row],[Rsonde]]=MIN(data_Template_NTC[Rsonde]),0,$D25)-data_Template_NTC[[#This Row],[Rsonde]]),2)</f>
        <v>0.1</v>
      </c>
      <c r="L24" s="2" cm="1">
        <f t="array" aca="1" ref="L24" ca="1">IF(INDIRECT(RefCell_R77),(data_Template_NTC[[#This Row],[Rpcb]]*INDIRECT(RefCell_R77))/(data_Template_NTC[[#This Row],[Rpcb]]+INDIRECT(RefCell_R77)),data_Template_NTC[[#This Row],[Rpcb]])</f>
        <v>0</v>
      </c>
    </row>
    <row r="25" spans="1:12" x14ac:dyDescent="0.25">
      <c r="A25" t="s">
        <v>26</v>
      </c>
      <c r="B25" s="8">
        <v>18</v>
      </c>
      <c r="C25" s="9"/>
      <c r="D25" s="9" cm="1">
        <f t="array" aca="1" ref="D25" ca="1">INDIRECT(RefCell_Rpot)+SUM(G25:G$34)</f>
        <v>0</v>
      </c>
      <c r="E25" s="9">
        <f ca="1">data_Template_NTC[[#This Row],[Rpcb]]-data_Template_NTC[[#This Row],[Rsonde]]</f>
        <v>0</v>
      </c>
      <c r="F25" s="4" t="e">
        <f ca="1">data_Template_NTC[[#This Row],[Diff R]]/data_Template_NTC[[#This Row],[Rsonde]]</f>
        <v>#DIV/0!</v>
      </c>
      <c r="G25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5" s="9" cm="1">
        <f t="array" ref="H25">MAX(IF(ResValuesR24&lt;=ROUND(data_Template_NTC[[#This Row],[Rsonde]],2)-IF(data_Template_NTC[[#This Row],[Rsonde]]=MIN(data_Template_NTC[Rsonde]),100,$D26),ResValuesR24))</f>
        <v>0</v>
      </c>
      <c r="I25" s="9">
        <f>ROUND(data_Template_NTC[[#This Row],[RaddLow]]+(IF(data_Template_NTC[[#This Row],[Rsonde]]=MIN(data_Template_NTC[Rsonde]),0,$D26)-data_Template_NTC[[#This Row],[Rsonde]]),2)</f>
        <v>0</v>
      </c>
      <c r="J25" s="9" cm="1">
        <f t="array" ref="J25">MIN(IF(ResValuesR24&gt;=ROUND(data_Template_NTC[[#This Row],[Rsonde]],2)-IF(data_Template_NTC[[#This Row],[Rsonde]]=MIN(data_Template_NTC[Rsonde]),100,$D26),ResValuesR24))</f>
        <v>0.1</v>
      </c>
      <c r="K25" s="9">
        <f>ROUND(data_Template_NTC[[#This Row],[RaddHigh]]+(IF(data_Template_NTC[[#This Row],[Rsonde]]=MIN(data_Template_NTC[Rsonde]),0,$D26)-data_Template_NTC[[#This Row],[Rsonde]]),2)</f>
        <v>0.1</v>
      </c>
      <c r="L25" s="2" cm="1">
        <f t="array" aca="1" ref="L25" ca="1">IF(INDIRECT(RefCell_R77),(data_Template_NTC[[#This Row],[Rpcb]]*INDIRECT(RefCell_R77))/(data_Template_NTC[[#This Row],[Rpcb]]+INDIRECT(RefCell_R77)),data_Template_NTC[[#This Row],[Rpcb]])</f>
        <v>0</v>
      </c>
    </row>
    <row r="26" spans="1:12" x14ac:dyDescent="0.25">
      <c r="A26" t="s">
        <v>25</v>
      </c>
      <c r="B26" s="8">
        <v>19.5</v>
      </c>
      <c r="C26" s="9"/>
      <c r="D26" s="9" cm="1">
        <f t="array" aca="1" ref="D26" ca="1">INDIRECT(RefCell_Rpot)+SUM(G26:G$34)</f>
        <v>0</v>
      </c>
      <c r="E26" s="9">
        <f ca="1">data_Template_NTC[[#This Row],[Rpcb]]-data_Template_NTC[[#This Row],[Rsonde]]</f>
        <v>0</v>
      </c>
      <c r="F26" s="4" t="e">
        <f ca="1">data_Template_NTC[[#This Row],[Diff R]]/data_Template_NTC[[#This Row],[Rsonde]]</f>
        <v>#DIV/0!</v>
      </c>
      <c r="G26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6" s="9" cm="1">
        <f t="array" ref="H26">MAX(IF(ResValuesR24&lt;=ROUND(data_Template_NTC[[#This Row],[Rsonde]],2)-IF(data_Template_NTC[[#This Row],[Rsonde]]=MIN(data_Template_NTC[Rsonde]),100,$D27),ResValuesR24))</f>
        <v>0</v>
      </c>
      <c r="I26" s="9">
        <f>ROUND(data_Template_NTC[[#This Row],[RaddLow]]+(IF(data_Template_NTC[[#This Row],[Rsonde]]=MIN(data_Template_NTC[Rsonde]),0,$D27)-data_Template_NTC[[#This Row],[Rsonde]]),2)</f>
        <v>0</v>
      </c>
      <c r="J26" s="9" cm="1">
        <f t="array" ref="J26">MIN(IF(ResValuesR24&gt;=ROUND(data_Template_NTC[[#This Row],[Rsonde]],2)-IF(data_Template_NTC[[#This Row],[Rsonde]]=MIN(data_Template_NTC[Rsonde]),100,$D27),ResValuesR24))</f>
        <v>0.1</v>
      </c>
      <c r="K26" s="9">
        <f>ROUND(data_Template_NTC[[#This Row],[RaddHigh]]+(IF(data_Template_NTC[[#This Row],[Rsonde]]=MIN(data_Template_NTC[Rsonde]),0,$D27)-data_Template_NTC[[#This Row],[Rsonde]]),2)</f>
        <v>0.1</v>
      </c>
      <c r="L26" s="2" cm="1">
        <f t="array" aca="1" ref="L26" ca="1">IF(INDIRECT(RefCell_R77),(data_Template_NTC[[#This Row],[Rpcb]]*INDIRECT(RefCell_R77))/(data_Template_NTC[[#This Row],[Rpcb]]+INDIRECT(RefCell_R77)),data_Template_NTC[[#This Row],[Rpcb]])</f>
        <v>0</v>
      </c>
    </row>
    <row r="27" spans="1:12" x14ac:dyDescent="0.25">
      <c r="A27" t="s">
        <v>24</v>
      </c>
      <c r="B27" s="8">
        <v>21</v>
      </c>
      <c r="C27" s="9"/>
      <c r="D27" s="9" cm="1">
        <f t="array" aca="1" ref="D27" ca="1">INDIRECT(RefCell_Rpot)+SUM(G27:G$34)</f>
        <v>0</v>
      </c>
      <c r="E27" s="9">
        <f ca="1">data_Template_NTC[[#This Row],[Rpcb]]-data_Template_NTC[[#This Row],[Rsonde]]</f>
        <v>0</v>
      </c>
      <c r="F27" s="4" t="e">
        <f ca="1">data_Template_NTC[[#This Row],[Diff R]]/data_Template_NTC[[#This Row],[Rsonde]]</f>
        <v>#DIV/0!</v>
      </c>
      <c r="G27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7" s="9" cm="1">
        <f t="array" ref="H27">MAX(IF(ResValuesR24&lt;=ROUND(data_Template_NTC[[#This Row],[Rsonde]],2)-IF(data_Template_NTC[[#This Row],[Rsonde]]=MIN(data_Template_NTC[Rsonde]),100,$D28),ResValuesR24))</f>
        <v>0</v>
      </c>
      <c r="I27" s="9">
        <f>ROUND(data_Template_NTC[[#This Row],[RaddLow]]+(IF(data_Template_NTC[[#This Row],[Rsonde]]=MIN(data_Template_NTC[Rsonde]),0,$D28)-data_Template_NTC[[#This Row],[Rsonde]]),2)</f>
        <v>0</v>
      </c>
      <c r="J27" s="9" cm="1">
        <f t="array" ref="J27">MIN(IF(ResValuesR24&gt;=ROUND(data_Template_NTC[[#This Row],[Rsonde]],2)-IF(data_Template_NTC[[#This Row],[Rsonde]]=MIN(data_Template_NTC[Rsonde]),100,$D28),ResValuesR24))</f>
        <v>0.1</v>
      </c>
      <c r="K27" s="9">
        <f>ROUND(data_Template_NTC[[#This Row],[RaddHigh]]+(IF(data_Template_NTC[[#This Row],[Rsonde]]=MIN(data_Template_NTC[Rsonde]),0,$D28)-data_Template_NTC[[#This Row],[Rsonde]]),2)</f>
        <v>0.1</v>
      </c>
      <c r="L27" s="2" cm="1">
        <f t="array" aca="1" ref="L27" ca="1">IF(INDIRECT(RefCell_R77),(data_Template_NTC[[#This Row],[Rpcb]]*INDIRECT(RefCell_R77))/(data_Template_NTC[[#This Row],[Rpcb]]+INDIRECT(RefCell_R77)),data_Template_NTC[[#This Row],[Rpcb]])</f>
        <v>0</v>
      </c>
    </row>
    <row r="28" spans="1:12" x14ac:dyDescent="0.25">
      <c r="A28" t="s">
        <v>23</v>
      </c>
      <c r="B28" s="8">
        <v>22.5</v>
      </c>
      <c r="C28" s="9"/>
      <c r="D28" s="9" cm="1">
        <f t="array" aca="1" ref="D28" ca="1">INDIRECT(RefCell_Rpot)+SUM(G28:G$34)</f>
        <v>0</v>
      </c>
      <c r="E28" s="9">
        <f ca="1">data_Template_NTC[[#This Row],[Rpcb]]-data_Template_NTC[[#This Row],[Rsonde]]</f>
        <v>0</v>
      </c>
      <c r="F28" s="4" t="e">
        <f ca="1">data_Template_NTC[[#This Row],[Diff R]]/data_Template_NTC[[#This Row],[Rsonde]]</f>
        <v>#DIV/0!</v>
      </c>
      <c r="G28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8" s="9" cm="1">
        <f t="array" ref="H28">MAX(IF(ResValuesR24&lt;=ROUND(data_Template_NTC[[#This Row],[Rsonde]],2)-IF(data_Template_NTC[[#This Row],[Rsonde]]=MIN(data_Template_NTC[Rsonde]),100,$D29),ResValuesR24))</f>
        <v>0</v>
      </c>
      <c r="I28" s="9">
        <f>ROUND(data_Template_NTC[[#This Row],[RaddLow]]+(IF(data_Template_NTC[[#This Row],[Rsonde]]=MIN(data_Template_NTC[Rsonde]),0,$D29)-data_Template_NTC[[#This Row],[Rsonde]]),2)</f>
        <v>0</v>
      </c>
      <c r="J28" s="9" cm="1">
        <f t="array" ref="J28">MIN(IF(ResValuesR24&gt;=ROUND(data_Template_NTC[[#This Row],[Rsonde]],2)-IF(data_Template_NTC[[#This Row],[Rsonde]]=MIN(data_Template_NTC[Rsonde]),100,$D29),ResValuesR24))</f>
        <v>0.1</v>
      </c>
      <c r="K28" s="9">
        <f>ROUND(data_Template_NTC[[#This Row],[RaddHigh]]+(IF(data_Template_NTC[[#This Row],[Rsonde]]=MIN(data_Template_NTC[Rsonde]),0,$D29)-data_Template_NTC[[#This Row],[Rsonde]]),2)</f>
        <v>0.1</v>
      </c>
      <c r="L28" s="2" cm="1">
        <f t="array" aca="1" ref="L28" ca="1">IF(INDIRECT(RefCell_R77),(data_Template_NTC[[#This Row],[Rpcb]]*INDIRECT(RefCell_R77))/(data_Template_NTC[[#This Row],[Rpcb]]+INDIRECT(RefCell_R77)),data_Template_NTC[[#This Row],[Rpcb]])</f>
        <v>0</v>
      </c>
    </row>
    <row r="29" spans="1:12" x14ac:dyDescent="0.25">
      <c r="A29" t="s">
        <v>22</v>
      </c>
      <c r="B29" s="8">
        <v>24</v>
      </c>
      <c r="C29" s="9"/>
      <c r="D29" s="9" cm="1">
        <f t="array" aca="1" ref="D29" ca="1">INDIRECT(RefCell_Rpot)+SUM(G29:G$34)</f>
        <v>0</v>
      </c>
      <c r="E29" s="9">
        <f ca="1">data_Template_NTC[[#This Row],[Rpcb]]-data_Template_NTC[[#This Row],[Rsonde]]</f>
        <v>0</v>
      </c>
      <c r="F29" s="4" t="e">
        <f ca="1">data_Template_NTC[[#This Row],[Diff R]]/data_Template_NTC[[#This Row],[Rsonde]]</f>
        <v>#DIV/0!</v>
      </c>
      <c r="G29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9" s="9" cm="1">
        <f t="array" ref="H29">MAX(IF(ResValuesR24&lt;=ROUND(data_Template_NTC[[#This Row],[Rsonde]],2)-IF(data_Template_NTC[[#This Row],[Rsonde]]=MIN(data_Template_NTC[Rsonde]),100,$D30),ResValuesR24))</f>
        <v>0</v>
      </c>
      <c r="I29" s="9">
        <f>ROUND(data_Template_NTC[[#This Row],[RaddLow]]+(IF(data_Template_NTC[[#This Row],[Rsonde]]=MIN(data_Template_NTC[Rsonde]),0,$D30)-data_Template_NTC[[#This Row],[Rsonde]]),2)</f>
        <v>0</v>
      </c>
      <c r="J29" s="9" cm="1">
        <f t="array" ref="J29">MIN(IF(ResValuesR24&gt;=ROUND(data_Template_NTC[[#This Row],[Rsonde]],2)-IF(data_Template_NTC[[#This Row],[Rsonde]]=MIN(data_Template_NTC[Rsonde]),100,$D30),ResValuesR24))</f>
        <v>0.1</v>
      </c>
      <c r="K29" s="9">
        <f>ROUND(data_Template_NTC[[#This Row],[RaddHigh]]+(IF(data_Template_NTC[[#This Row],[Rsonde]]=MIN(data_Template_NTC[Rsonde]),0,$D30)-data_Template_NTC[[#This Row],[Rsonde]]),2)</f>
        <v>0.1</v>
      </c>
      <c r="L29" s="2" cm="1">
        <f t="array" aca="1" ref="L29" ca="1">IF(INDIRECT(RefCell_R77),(data_Template_NTC[[#This Row],[Rpcb]]*INDIRECT(RefCell_R77))/(data_Template_NTC[[#This Row],[Rpcb]]+INDIRECT(RefCell_R77)),data_Template_NTC[[#This Row],[Rpcb]])</f>
        <v>0</v>
      </c>
    </row>
    <row r="30" spans="1:12" x14ac:dyDescent="0.25">
      <c r="A30" t="s">
        <v>21</v>
      </c>
      <c r="B30" s="8">
        <v>25.5</v>
      </c>
      <c r="C30" s="9"/>
      <c r="D30" s="9" cm="1">
        <f t="array" aca="1" ref="D30" ca="1">INDIRECT(RefCell_Rpot)+SUM(G30:G$34)</f>
        <v>0</v>
      </c>
      <c r="E30" s="9">
        <f ca="1">data_Template_NTC[[#This Row],[Rpcb]]-data_Template_NTC[[#This Row],[Rsonde]]</f>
        <v>0</v>
      </c>
      <c r="F30" s="4" t="e">
        <f ca="1">data_Template_NTC[[#This Row],[Diff R]]/data_Template_NTC[[#This Row],[Rsonde]]</f>
        <v>#DIV/0!</v>
      </c>
      <c r="G30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30" s="9" cm="1">
        <f t="array" ref="H30">MAX(IF(ResValuesR24&lt;=ROUND(data_Template_NTC[[#This Row],[Rsonde]],2)-IF(data_Template_NTC[[#This Row],[Rsonde]]=MIN(data_Template_NTC[Rsonde]),100,$D31),ResValuesR24))</f>
        <v>0</v>
      </c>
      <c r="I30" s="9">
        <f>ROUND(data_Template_NTC[[#This Row],[RaddLow]]+(IF(data_Template_NTC[[#This Row],[Rsonde]]=MIN(data_Template_NTC[Rsonde]),0,$D31)-data_Template_NTC[[#This Row],[Rsonde]]),2)</f>
        <v>0</v>
      </c>
      <c r="J30" s="9" cm="1">
        <f t="array" ref="J30">MIN(IF(ResValuesR24&gt;=ROUND(data_Template_NTC[[#This Row],[Rsonde]],2)-IF(data_Template_NTC[[#This Row],[Rsonde]]=MIN(data_Template_NTC[Rsonde]),100,$D31),ResValuesR24))</f>
        <v>0.1</v>
      </c>
      <c r="K30" s="9">
        <f>ROUND(data_Template_NTC[[#This Row],[RaddHigh]]+(IF(data_Template_NTC[[#This Row],[Rsonde]]=MIN(data_Template_NTC[Rsonde]),0,$D31)-data_Template_NTC[[#This Row],[Rsonde]]),2)</f>
        <v>0.1</v>
      </c>
      <c r="L30" s="2" cm="1">
        <f t="array" aca="1" ref="L30" ca="1">IF(INDIRECT(RefCell_R77),(data_Template_NTC[[#This Row],[Rpcb]]*INDIRECT(RefCell_R77))/(data_Template_NTC[[#This Row],[Rpcb]]+INDIRECT(RefCell_R77)),data_Template_NTC[[#This Row],[Rpcb]])</f>
        <v>0</v>
      </c>
    </row>
    <row r="31" spans="1:12" x14ac:dyDescent="0.25">
      <c r="A31" t="s">
        <v>20</v>
      </c>
      <c r="B31" s="8">
        <v>27</v>
      </c>
      <c r="C31" s="9"/>
      <c r="D31" s="9" cm="1">
        <f t="array" aca="1" ref="D31" ca="1">INDIRECT(RefCell_Rpot)+SUM(G31:G$34)</f>
        <v>0</v>
      </c>
      <c r="E31" s="9">
        <f ca="1">data_Template_NTC[[#This Row],[Rpcb]]-data_Template_NTC[[#This Row],[Rsonde]]</f>
        <v>0</v>
      </c>
      <c r="F31" s="4" t="e">
        <f ca="1">data_Template_NTC[[#This Row],[Diff R]]/data_Template_NTC[[#This Row],[Rsonde]]</f>
        <v>#DIV/0!</v>
      </c>
      <c r="G31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31" s="9" cm="1">
        <f t="array" ref="H31">MAX(IF(ResValuesR24&lt;=ROUND(data_Template_NTC[[#This Row],[Rsonde]],2)-IF(data_Template_NTC[[#This Row],[Rsonde]]=MIN(data_Template_NTC[Rsonde]),100,$D32),ResValuesR24))</f>
        <v>0</v>
      </c>
      <c r="I31" s="9">
        <f>ROUND(data_Template_NTC[[#This Row],[RaddLow]]+(IF(data_Template_NTC[[#This Row],[Rsonde]]=MIN(data_Template_NTC[Rsonde]),0,$D32)-data_Template_NTC[[#This Row],[Rsonde]]),2)</f>
        <v>0</v>
      </c>
      <c r="J31" s="9" cm="1">
        <f t="array" ref="J31">MIN(IF(ResValuesR24&gt;=ROUND(data_Template_NTC[[#This Row],[Rsonde]],2)-IF(data_Template_NTC[[#This Row],[Rsonde]]=MIN(data_Template_NTC[Rsonde]),100,$D32),ResValuesR24))</f>
        <v>0.1</v>
      </c>
      <c r="K31" s="9">
        <f>ROUND(data_Template_NTC[[#This Row],[RaddHigh]]+(IF(data_Template_NTC[[#This Row],[Rsonde]]=MIN(data_Template_NTC[Rsonde]),0,$D32)-data_Template_NTC[[#This Row],[Rsonde]]),2)</f>
        <v>0.1</v>
      </c>
      <c r="L31" s="2" cm="1">
        <f t="array" aca="1" ref="L31" ca="1">IF(INDIRECT(RefCell_R77),(data_Template_NTC[[#This Row],[Rpcb]]*INDIRECT(RefCell_R77))/(data_Template_NTC[[#This Row],[Rpcb]]+INDIRECT(RefCell_R77)),data_Template_NTC[[#This Row],[Rpcb]])</f>
        <v>0</v>
      </c>
    </row>
    <row r="32" spans="1:12" x14ac:dyDescent="0.25">
      <c r="A32" t="s">
        <v>19</v>
      </c>
      <c r="B32" s="8">
        <v>28.5</v>
      </c>
      <c r="C32" s="9"/>
      <c r="D32" s="9" cm="1">
        <f t="array" aca="1" ref="D32" ca="1">INDIRECT(RefCell_Rpot)+SUM(G32:G$34)</f>
        <v>0</v>
      </c>
      <c r="E32" s="9">
        <f ca="1">data_Template_NTC[[#This Row],[Rpcb]]-data_Template_NTC[[#This Row],[Rsonde]]</f>
        <v>0</v>
      </c>
      <c r="F32" s="4" t="e">
        <f ca="1">data_Template_NTC[[#This Row],[Diff R]]/data_Template_NTC[[#This Row],[Rsonde]]</f>
        <v>#DIV/0!</v>
      </c>
      <c r="G32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32" s="9" cm="1">
        <f t="array" ref="H32">MAX(IF(ResValuesR24&lt;=ROUND(data_Template_NTC[[#This Row],[Rsonde]],2)-IF(data_Template_NTC[[#This Row],[Rsonde]]=MIN(data_Template_NTC[Rsonde]),100,$D33),ResValuesR24))</f>
        <v>0</v>
      </c>
      <c r="I32" s="9">
        <f>ROUND(data_Template_NTC[[#This Row],[RaddLow]]+(IF(data_Template_NTC[[#This Row],[Rsonde]]=MIN(data_Template_NTC[Rsonde]),0,$D33)-data_Template_NTC[[#This Row],[Rsonde]]),2)</f>
        <v>0</v>
      </c>
      <c r="J32" s="9" cm="1">
        <f t="array" ref="J32">MIN(IF(ResValuesR24&gt;=ROUND(data_Template_NTC[[#This Row],[Rsonde]],2)-IF(data_Template_NTC[[#This Row],[Rsonde]]=MIN(data_Template_NTC[Rsonde]),100,$D33),ResValuesR24))</f>
        <v>0.1</v>
      </c>
      <c r="K32" s="9">
        <f>ROUND(data_Template_NTC[[#This Row],[RaddHigh]]+(IF(data_Template_NTC[[#This Row],[Rsonde]]=MIN(data_Template_NTC[Rsonde]),0,$D33)-data_Template_NTC[[#This Row],[Rsonde]]),2)</f>
        <v>0.1</v>
      </c>
      <c r="L32" s="2" cm="1">
        <f t="array" aca="1" ref="L32" ca="1">IF(INDIRECT(RefCell_R77),(data_Template_NTC[[#This Row],[Rpcb]]*INDIRECT(RefCell_R77))/(data_Template_NTC[[#This Row],[Rpcb]]+INDIRECT(RefCell_R77)),data_Template_NTC[[#This Row],[Rpcb]])</f>
        <v>0</v>
      </c>
    </row>
    <row r="33" spans="1:12" x14ac:dyDescent="0.25">
      <c r="A33" t="s">
        <v>18</v>
      </c>
      <c r="B33" s="8">
        <v>30</v>
      </c>
      <c r="C33" s="9"/>
      <c r="D33" s="9" cm="1">
        <f t="array" aca="1" ref="D33" ca="1">INDIRECT(RefCell_Rpot)+SUM(G33:G$34)</f>
        <v>0</v>
      </c>
      <c r="E33" s="9">
        <f ca="1">data_Template_NTC[[#This Row],[Rpcb]]-data_Template_NTC[[#This Row],[Rsonde]]</f>
        <v>0</v>
      </c>
      <c r="F33" s="4" t="e">
        <f ca="1">data_Template_NTC[[#This Row],[Diff R]]/data_Template_NTC[[#This Row],[Rsonde]]</f>
        <v>#DIV/0!</v>
      </c>
      <c r="G33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33" s="9" cm="1">
        <f t="array" ref="H33">MAX(IF(ResValuesR24&lt;=ROUND(data_Template_NTC[[#This Row],[Rsonde]],2)-IF(data_Template_NTC[[#This Row],[Rsonde]]=MIN(data_Template_NTC[Rsonde]),100,$D34),ResValuesR24))</f>
        <v>0</v>
      </c>
      <c r="I33" s="9">
        <f>ROUND(data_Template_NTC[[#This Row],[RaddLow]]+(IF(data_Template_NTC[[#This Row],[Rsonde]]=MIN(data_Template_NTC[Rsonde]),0,$D34)-data_Template_NTC[[#This Row],[Rsonde]]),2)</f>
        <v>0</v>
      </c>
      <c r="J33" s="9" cm="1">
        <f t="array" ref="J33">MIN(IF(ResValuesR24&gt;=ROUND(data_Template_NTC[[#This Row],[Rsonde]],2)-IF(data_Template_NTC[[#This Row],[Rsonde]]=MIN(data_Template_NTC[Rsonde]),100,$D34),ResValuesR24))</f>
        <v>0.1</v>
      </c>
      <c r="K33" s="9">
        <f>ROUND(data_Template_NTC[[#This Row],[RaddHigh]]+(IF(data_Template_NTC[[#This Row],[Rsonde]]=MIN(data_Template_NTC[Rsonde]),0,$D34)-data_Template_NTC[[#This Row],[Rsonde]]),2)</f>
        <v>0.1</v>
      </c>
      <c r="L33" s="2" cm="1">
        <f t="array" aca="1" ref="L33" ca="1">IF(INDIRECT(RefCell_R77),(data_Template_NTC[[#This Row],[Rpcb]]*INDIRECT(RefCell_R77))/(data_Template_NTC[[#This Row],[Rpcb]]+INDIRECT(RefCell_R77)),data_Template_NTC[[#This Row],[Rpcb]])</f>
        <v>0</v>
      </c>
    </row>
    <row r="34" spans="1:12" x14ac:dyDescent="0.25">
      <c r="A34" t="s">
        <v>17</v>
      </c>
      <c r="B34" s="8">
        <v>31.5</v>
      </c>
      <c r="C34" s="9"/>
      <c r="D34" s="9" cm="1">
        <f t="array" aca="1" ref="D34" ca="1">INDIRECT(RefCell_Rpot)+SUM(G34:G$34)</f>
        <v>0</v>
      </c>
      <c r="E34" s="9">
        <f ca="1">data_Template_NTC[[#This Row],[Rpcb]]-data_Template_NTC[[#This Row],[Rsonde]]</f>
        <v>0</v>
      </c>
      <c r="F34" s="4" t="e">
        <f ca="1">data_Template_NTC[[#This Row],[Diff R]]/data_Template_NTC[[#This Row],[Rsonde]]</f>
        <v>#DIV/0!</v>
      </c>
      <c r="G34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34" s="9" cm="1">
        <f t="array" ref="H34">MAX(IF(ResValuesR24&lt;=ROUND(data_Template_NTC[[#This Row],[Rsonde]],2)-IF(data_Template_NTC[[#This Row],[Rsonde]]=MIN(data_Template_NTC[Rsonde]),100,$D35),ResValuesR24))</f>
        <v>0</v>
      </c>
      <c r="I34" s="9">
        <f>ROUND(data_Template_NTC[[#This Row],[RaddLow]]+(IF(data_Template_NTC[[#This Row],[Rsonde]]=MIN(data_Template_NTC[Rsonde]),0,$D35)-data_Template_NTC[[#This Row],[Rsonde]]),2)</f>
        <v>0</v>
      </c>
      <c r="J34" s="9" cm="1">
        <f t="array" ref="J34">MIN(IF(ResValuesR24&gt;=ROUND(data_Template_NTC[[#This Row],[Rsonde]],2)-IF(data_Template_NTC[[#This Row],[Rsonde]]=MIN(data_Template_NTC[Rsonde]),100,$D35),ResValuesR24))</f>
        <v>0.1</v>
      </c>
      <c r="K34" s="9">
        <f>ROUND(data_Template_NTC[[#This Row],[RaddHigh]]+(IF(data_Template_NTC[[#This Row],[Rsonde]]=MIN(data_Template_NTC[Rsonde]),0,$D35)-data_Template_NTC[[#This Row],[Rsonde]]),2)</f>
        <v>0.1</v>
      </c>
      <c r="L34" s="2" cm="1">
        <f t="array" aca="1" ref="L34" ca="1">IF(INDIRECT(RefCell_R77),(data_Template_NTC[[#This Row],[Rpcb]]*INDIRECT(RefCell_R77))/(data_Template_NTC[[#This Row],[Rpcb]]+INDIRECT(RefCell_R77)),data_Template_NTC[[#This Row],[Rpcb]])</f>
        <v>0</v>
      </c>
    </row>
  </sheetData>
  <mergeCells count="1">
    <mergeCell ref="A1:L1"/>
  </mergeCells>
  <conditionalFormatting sqref="F3:F34">
    <cfRule type="cellIs" dxfId="15" priority="1" operator="between">
      <formula>-0.005</formula>
      <formula>0.005</formula>
    </cfRule>
  </conditionalFormatting>
  <dataValidations disablePrompts="1" count="1">
    <dataValidation type="list" allowBlank="1" showInputMessage="1" showErrorMessage="1" sqref="O3" xr:uid="{C7E03949-3E9D-478E-B0CC-9DB143067F42}">
      <formula1>INDIRECT("TableR77[R]")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D9F56-6DC1-4D85-BEEF-B3A3C1E33F5C}">
  <sheetPr codeName="Feuil14"/>
  <dimension ref="A1:H146"/>
  <sheetViews>
    <sheetView workbookViewId="0">
      <selection activeCell="A3" sqref="A3:B19"/>
    </sheetView>
  </sheetViews>
  <sheetFormatPr baseColWidth="10" defaultRowHeight="15" x14ac:dyDescent="0.25"/>
  <cols>
    <col min="1" max="2" width="20.5703125" customWidth="1"/>
    <col min="4" max="6" width="8.5703125" customWidth="1"/>
    <col min="7" max="7" width="15.5703125" customWidth="1"/>
    <col min="9" max="9" width="8.5703125" customWidth="1"/>
    <col min="10" max="10" width="16.140625" customWidth="1"/>
    <col min="11" max="12" width="8.5703125" customWidth="1"/>
  </cols>
  <sheetData>
    <row r="1" spans="1:8" ht="18.75" x14ac:dyDescent="0.3">
      <c r="A1" s="65" t="s">
        <v>148</v>
      </c>
      <c r="B1" s="65"/>
      <c r="C1" s="10"/>
      <c r="D1" s="65" t="s">
        <v>146</v>
      </c>
      <c r="E1" s="65"/>
      <c r="F1" s="65"/>
      <c r="G1" s="65"/>
      <c r="H1" s="10"/>
    </row>
    <row r="2" spans="1:8" x14ac:dyDescent="0.25">
      <c r="A2" t="s">
        <v>147</v>
      </c>
      <c r="B2" t="s">
        <v>149</v>
      </c>
      <c r="D2" t="s">
        <v>114</v>
      </c>
      <c r="E2" t="s">
        <v>143</v>
      </c>
      <c r="F2" t="s">
        <v>144</v>
      </c>
      <c r="G2" t="s">
        <v>145</v>
      </c>
    </row>
    <row r="3" spans="1:8" x14ac:dyDescent="0.25">
      <c r="A3" t="s">
        <v>222</v>
      </c>
      <c r="B3" t="str">
        <f t="shared" ref="B3:B19" si="0">"data_"&amp;SUBSTITUTE(SUBSTITUTE(A3," ","_"),"-","_")</f>
        <v>data_DeDietrich_AF40</v>
      </c>
      <c r="D3">
        <v>0.1</v>
      </c>
      <c r="E3">
        <v>1</v>
      </c>
      <c r="F3">
        <f>D3*1</f>
        <v>0.1</v>
      </c>
    </row>
    <row r="4" spans="1:8" x14ac:dyDescent="0.25">
      <c r="A4" t="s">
        <v>270</v>
      </c>
      <c r="B4" t="str">
        <f t="shared" si="0"/>
        <v>data_DeDietrich_AF60</v>
      </c>
      <c r="D4">
        <v>0.1</v>
      </c>
      <c r="E4">
        <v>2</v>
      </c>
      <c r="F4">
        <f>D4*1.1</f>
        <v>0.11000000000000001</v>
      </c>
    </row>
    <row r="5" spans="1:8" x14ac:dyDescent="0.25">
      <c r="A5" t="s">
        <v>259</v>
      </c>
      <c r="B5" t="str">
        <f t="shared" si="0"/>
        <v>data_KTY81_210</v>
      </c>
      <c r="D5">
        <v>0.1</v>
      </c>
      <c r="E5">
        <v>3</v>
      </c>
      <c r="F5">
        <f>D5*1.2</f>
        <v>0.12</v>
      </c>
    </row>
    <row r="6" spans="1:8" x14ac:dyDescent="0.25">
      <c r="A6" t="s">
        <v>150</v>
      </c>
      <c r="B6" t="str">
        <f t="shared" si="0"/>
        <v>data_Ni1000_TK5000</v>
      </c>
      <c r="D6">
        <v>0.1</v>
      </c>
      <c r="E6">
        <v>4</v>
      </c>
      <c r="F6">
        <f>D6*1.3</f>
        <v>0.13</v>
      </c>
    </row>
    <row r="7" spans="1:8" x14ac:dyDescent="0.25">
      <c r="A7" t="s">
        <v>154</v>
      </c>
      <c r="B7" t="str">
        <f t="shared" si="0"/>
        <v>data_Ni1000_TK6180</v>
      </c>
      <c r="D7">
        <v>0.1</v>
      </c>
      <c r="E7">
        <v>5</v>
      </c>
      <c r="F7">
        <f>D7*1.5</f>
        <v>0.15000000000000002</v>
      </c>
    </row>
    <row r="8" spans="1:8" x14ac:dyDescent="0.25">
      <c r="A8" t="s">
        <v>223</v>
      </c>
      <c r="B8" t="str">
        <f t="shared" si="0"/>
        <v>data_NTC_10k_3977</v>
      </c>
      <c r="D8">
        <v>0.1</v>
      </c>
      <c r="E8">
        <v>6</v>
      </c>
      <c r="F8">
        <f>D8*1.6</f>
        <v>0.16000000000000003</v>
      </c>
    </row>
    <row r="9" spans="1:8" x14ac:dyDescent="0.25">
      <c r="A9" t="s">
        <v>287</v>
      </c>
      <c r="B9" t="str">
        <f t="shared" si="0"/>
        <v>data_NTC_10k2_3977</v>
      </c>
      <c r="D9">
        <v>0.1</v>
      </c>
      <c r="E9">
        <v>7</v>
      </c>
      <c r="F9">
        <f>D9*1.8</f>
        <v>0.18000000000000002</v>
      </c>
    </row>
    <row r="10" spans="1:8" x14ac:dyDescent="0.25">
      <c r="A10" t="s">
        <v>256</v>
      </c>
      <c r="B10" t="str">
        <f t="shared" si="0"/>
        <v>data_NTC_1k_3528</v>
      </c>
      <c r="D10">
        <v>0.1</v>
      </c>
      <c r="E10">
        <v>8</v>
      </c>
      <c r="F10">
        <f>D10*2</f>
        <v>0.2</v>
      </c>
    </row>
    <row r="11" spans="1:8" x14ac:dyDescent="0.25">
      <c r="A11" t="s">
        <v>141</v>
      </c>
      <c r="B11" t="str">
        <f t="shared" si="0"/>
        <v>data_NTC_2.2k_3528</v>
      </c>
      <c r="D11">
        <v>0.1</v>
      </c>
      <c r="E11">
        <v>9</v>
      </c>
      <c r="F11">
        <f>D11*2.2</f>
        <v>0.22000000000000003</v>
      </c>
    </row>
    <row r="12" spans="1:8" x14ac:dyDescent="0.25">
      <c r="A12" t="s">
        <v>285</v>
      </c>
      <c r="B12" t="str">
        <f t="shared" si="0"/>
        <v>data_NTC_20k_4370</v>
      </c>
      <c r="D12">
        <v>0.1</v>
      </c>
      <c r="E12">
        <v>10</v>
      </c>
      <c r="F12">
        <f>D12*2.4</f>
        <v>0.24</v>
      </c>
    </row>
    <row r="13" spans="1:8" x14ac:dyDescent="0.25">
      <c r="A13" t="s">
        <v>220</v>
      </c>
      <c r="B13" t="str">
        <f t="shared" si="0"/>
        <v>data_NTC_2k_3390</v>
      </c>
      <c r="D13">
        <v>0.1</v>
      </c>
      <c r="E13">
        <v>11</v>
      </c>
      <c r="F13">
        <f>D13*2.7</f>
        <v>0.27</v>
      </c>
    </row>
    <row r="14" spans="1:8" x14ac:dyDescent="0.25">
      <c r="A14" t="s">
        <v>121</v>
      </c>
      <c r="B14" t="str">
        <f t="shared" si="0"/>
        <v>data_NTC_2k_Xavier</v>
      </c>
      <c r="D14">
        <v>0.1</v>
      </c>
      <c r="E14">
        <v>12</v>
      </c>
      <c r="F14">
        <f>D14*3</f>
        <v>0.30000000000000004</v>
      </c>
    </row>
    <row r="15" spans="1:8" x14ac:dyDescent="0.25">
      <c r="A15" t="s">
        <v>268</v>
      </c>
      <c r="B15" t="str">
        <f t="shared" si="0"/>
        <v>data_Pt100</v>
      </c>
      <c r="D15">
        <v>0.1</v>
      </c>
      <c r="E15">
        <v>13</v>
      </c>
      <c r="F15">
        <f>D15*3.3</f>
        <v>0.33</v>
      </c>
    </row>
    <row r="16" spans="1:8" x14ac:dyDescent="0.25">
      <c r="A16" t="s">
        <v>257</v>
      </c>
      <c r="B16" t="str">
        <f t="shared" si="0"/>
        <v>data_Pt1000</v>
      </c>
      <c r="D16">
        <v>0.1</v>
      </c>
      <c r="E16">
        <v>14</v>
      </c>
      <c r="F16">
        <f>D16*3.6</f>
        <v>0.36000000000000004</v>
      </c>
    </row>
    <row r="17" spans="1:6" x14ac:dyDescent="0.25">
      <c r="A17" t="s">
        <v>278</v>
      </c>
      <c r="B17" t="str">
        <f t="shared" si="0"/>
        <v>data_Siemens_QAC32</v>
      </c>
      <c r="D17">
        <v>0.1</v>
      </c>
      <c r="E17">
        <v>15</v>
      </c>
      <c r="F17">
        <f>D17*3.9</f>
        <v>0.39</v>
      </c>
    </row>
    <row r="18" spans="1:6" x14ac:dyDescent="0.25">
      <c r="A18" t="s">
        <v>275</v>
      </c>
      <c r="B18" t="str">
        <f t="shared" si="0"/>
        <v>data_Viessmann_AV17</v>
      </c>
      <c r="D18">
        <v>0.1</v>
      </c>
      <c r="E18">
        <v>16</v>
      </c>
      <c r="F18">
        <f>D18*4.3</f>
        <v>0.43</v>
      </c>
    </row>
    <row r="19" spans="1:6" x14ac:dyDescent="0.25">
      <c r="A19" t="s">
        <v>142</v>
      </c>
      <c r="B19" t="str">
        <f t="shared" si="0"/>
        <v>data_VRC_DCF_9535</v>
      </c>
      <c r="D19">
        <v>0.1</v>
      </c>
      <c r="E19">
        <v>17</v>
      </c>
      <c r="F19">
        <f>D19*4.7</f>
        <v>0.47000000000000003</v>
      </c>
    </row>
    <row r="20" spans="1:6" x14ac:dyDescent="0.25">
      <c r="D20">
        <v>0.1</v>
      </c>
      <c r="E20">
        <v>18</v>
      </c>
      <c r="F20">
        <f>D20*5.1</f>
        <v>0.51</v>
      </c>
    </row>
    <row r="21" spans="1:6" x14ac:dyDescent="0.25">
      <c r="D21">
        <v>0.1</v>
      </c>
      <c r="E21">
        <v>19</v>
      </c>
      <c r="F21">
        <f>D21*5.6</f>
        <v>0.55999999999999994</v>
      </c>
    </row>
    <row r="22" spans="1:6" x14ac:dyDescent="0.25">
      <c r="D22">
        <v>0.1</v>
      </c>
      <c r="E22">
        <v>20</v>
      </c>
      <c r="F22">
        <f>D22*6.2</f>
        <v>0.62000000000000011</v>
      </c>
    </row>
    <row r="23" spans="1:6" x14ac:dyDescent="0.25">
      <c r="D23">
        <v>0.1</v>
      </c>
      <c r="E23">
        <v>21</v>
      </c>
      <c r="F23">
        <f>D23*6.8</f>
        <v>0.68</v>
      </c>
    </row>
    <row r="24" spans="1:6" x14ac:dyDescent="0.25">
      <c r="D24">
        <v>0.1</v>
      </c>
      <c r="E24">
        <v>22</v>
      </c>
      <c r="F24">
        <f>D24*7.5</f>
        <v>0.75</v>
      </c>
    </row>
    <row r="25" spans="1:6" x14ac:dyDescent="0.25">
      <c r="D25">
        <v>0.1</v>
      </c>
      <c r="E25">
        <v>23</v>
      </c>
      <c r="F25">
        <f>D25*8.2</f>
        <v>0.82</v>
      </c>
    </row>
    <row r="26" spans="1:6" x14ac:dyDescent="0.25">
      <c r="D26">
        <v>0.1</v>
      </c>
      <c r="E26">
        <v>24</v>
      </c>
      <c r="F26">
        <f>D26*9.1</f>
        <v>0.91</v>
      </c>
    </row>
    <row r="27" spans="1:6" x14ac:dyDescent="0.25">
      <c r="D27">
        <v>1</v>
      </c>
      <c r="E27">
        <v>1</v>
      </c>
      <c r="F27">
        <f>D27*1</f>
        <v>1</v>
      </c>
    </row>
    <row r="28" spans="1:6" x14ac:dyDescent="0.25">
      <c r="D28">
        <v>1</v>
      </c>
      <c r="E28">
        <v>2</v>
      </c>
      <c r="F28">
        <f>D28*1.1</f>
        <v>1.1000000000000001</v>
      </c>
    </row>
    <row r="29" spans="1:6" x14ac:dyDescent="0.25">
      <c r="D29">
        <v>1</v>
      </c>
      <c r="E29">
        <v>3</v>
      </c>
      <c r="F29">
        <f>D29*1.2</f>
        <v>1.2</v>
      </c>
    </row>
    <row r="30" spans="1:6" x14ac:dyDescent="0.25">
      <c r="D30">
        <v>1</v>
      </c>
      <c r="E30">
        <v>4</v>
      </c>
      <c r="F30">
        <f>D30*1.3</f>
        <v>1.3</v>
      </c>
    </row>
    <row r="31" spans="1:6" x14ac:dyDescent="0.25">
      <c r="D31">
        <v>1</v>
      </c>
      <c r="E31">
        <v>5</v>
      </c>
      <c r="F31">
        <f>D31*1.5</f>
        <v>1.5</v>
      </c>
    </row>
    <row r="32" spans="1:6" x14ac:dyDescent="0.25">
      <c r="D32">
        <v>1</v>
      </c>
      <c r="E32">
        <v>6</v>
      </c>
      <c r="F32">
        <f>D32*1.6</f>
        <v>1.6</v>
      </c>
    </row>
    <row r="33" spans="4:6" x14ac:dyDescent="0.25">
      <c r="D33">
        <v>1</v>
      </c>
      <c r="E33">
        <v>7</v>
      </c>
      <c r="F33">
        <f>D33*1.8</f>
        <v>1.8</v>
      </c>
    </row>
    <row r="34" spans="4:6" x14ac:dyDescent="0.25">
      <c r="D34">
        <v>1</v>
      </c>
      <c r="E34">
        <v>8</v>
      </c>
      <c r="F34">
        <f>D34*2</f>
        <v>2</v>
      </c>
    </row>
    <row r="35" spans="4:6" x14ac:dyDescent="0.25">
      <c r="D35">
        <v>1</v>
      </c>
      <c r="E35">
        <v>9</v>
      </c>
      <c r="F35">
        <f>D35*2.2</f>
        <v>2.2000000000000002</v>
      </c>
    </row>
    <row r="36" spans="4:6" x14ac:dyDescent="0.25">
      <c r="D36">
        <v>1</v>
      </c>
      <c r="E36">
        <v>10</v>
      </c>
      <c r="F36">
        <f>D36*2.4</f>
        <v>2.4</v>
      </c>
    </row>
    <row r="37" spans="4:6" x14ac:dyDescent="0.25">
      <c r="D37">
        <v>1</v>
      </c>
      <c r="E37">
        <v>11</v>
      </c>
      <c r="F37">
        <f>D37*2.7</f>
        <v>2.7</v>
      </c>
    </row>
    <row r="38" spans="4:6" x14ac:dyDescent="0.25">
      <c r="D38">
        <v>1</v>
      </c>
      <c r="E38">
        <v>12</v>
      </c>
      <c r="F38">
        <f>D38*3</f>
        <v>3</v>
      </c>
    </row>
    <row r="39" spans="4:6" x14ac:dyDescent="0.25">
      <c r="D39">
        <v>1</v>
      </c>
      <c r="E39">
        <v>13</v>
      </c>
      <c r="F39">
        <f>D39*3.3</f>
        <v>3.3</v>
      </c>
    </row>
    <row r="40" spans="4:6" x14ac:dyDescent="0.25">
      <c r="D40">
        <v>1</v>
      </c>
      <c r="E40">
        <v>14</v>
      </c>
      <c r="F40">
        <f>D40*3.6</f>
        <v>3.6</v>
      </c>
    </row>
    <row r="41" spans="4:6" x14ac:dyDescent="0.25">
      <c r="D41">
        <v>1</v>
      </c>
      <c r="E41">
        <v>15</v>
      </c>
      <c r="F41">
        <f>D41*3.9</f>
        <v>3.9</v>
      </c>
    </row>
    <row r="42" spans="4:6" x14ac:dyDescent="0.25">
      <c r="D42">
        <v>1</v>
      </c>
      <c r="E42">
        <v>16</v>
      </c>
      <c r="F42">
        <f>D42*4.3</f>
        <v>4.3</v>
      </c>
    </row>
    <row r="43" spans="4:6" x14ac:dyDescent="0.25">
      <c r="D43">
        <v>1</v>
      </c>
      <c r="E43">
        <v>17</v>
      </c>
      <c r="F43">
        <f>D43*4.7</f>
        <v>4.7</v>
      </c>
    </row>
    <row r="44" spans="4:6" x14ac:dyDescent="0.25">
      <c r="D44">
        <v>1</v>
      </c>
      <c r="E44">
        <v>18</v>
      </c>
      <c r="F44">
        <f>D44*5.1</f>
        <v>5.0999999999999996</v>
      </c>
    </row>
    <row r="45" spans="4:6" x14ac:dyDescent="0.25">
      <c r="D45">
        <v>1</v>
      </c>
      <c r="E45">
        <v>19</v>
      </c>
      <c r="F45">
        <f>D45*5.6</f>
        <v>5.6</v>
      </c>
    </row>
    <row r="46" spans="4:6" x14ac:dyDescent="0.25">
      <c r="D46">
        <v>1</v>
      </c>
      <c r="E46">
        <v>20</v>
      </c>
      <c r="F46">
        <f>D46*6.2</f>
        <v>6.2</v>
      </c>
    </row>
    <row r="47" spans="4:6" x14ac:dyDescent="0.25">
      <c r="D47">
        <v>1</v>
      </c>
      <c r="E47">
        <v>21</v>
      </c>
      <c r="F47">
        <f>D47*6.8</f>
        <v>6.8</v>
      </c>
    </row>
    <row r="48" spans="4:6" x14ac:dyDescent="0.25">
      <c r="D48">
        <v>1</v>
      </c>
      <c r="E48">
        <v>22</v>
      </c>
      <c r="F48">
        <f>D48*7.5</f>
        <v>7.5</v>
      </c>
    </row>
    <row r="49" spans="4:6" x14ac:dyDescent="0.25">
      <c r="D49">
        <v>1</v>
      </c>
      <c r="E49">
        <v>23</v>
      </c>
      <c r="F49">
        <f>D49*8.2</f>
        <v>8.1999999999999993</v>
      </c>
    </row>
    <row r="50" spans="4:6" x14ac:dyDescent="0.25">
      <c r="D50">
        <v>1</v>
      </c>
      <c r="E50">
        <v>24</v>
      </c>
      <c r="F50">
        <f>D50*9.1</f>
        <v>9.1</v>
      </c>
    </row>
    <row r="51" spans="4:6" x14ac:dyDescent="0.25">
      <c r="D51">
        <v>10</v>
      </c>
      <c r="E51">
        <v>1</v>
      </c>
      <c r="F51">
        <f>D51*1</f>
        <v>10</v>
      </c>
    </row>
    <row r="52" spans="4:6" x14ac:dyDescent="0.25">
      <c r="D52">
        <v>10</v>
      </c>
      <c r="E52">
        <v>2</v>
      </c>
      <c r="F52">
        <f>D52*1.1</f>
        <v>11</v>
      </c>
    </row>
    <row r="53" spans="4:6" x14ac:dyDescent="0.25">
      <c r="D53">
        <v>10</v>
      </c>
      <c r="E53">
        <v>3</v>
      </c>
      <c r="F53">
        <f>D53*1.2</f>
        <v>12</v>
      </c>
    </row>
    <row r="54" spans="4:6" x14ac:dyDescent="0.25">
      <c r="D54">
        <v>10</v>
      </c>
      <c r="E54">
        <v>4</v>
      </c>
      <c r="F54">
        <f>D54*1.3</f>
        <v>13</v>
      </c>
    </row>
    <row r="55" spans="4:6" x14ac:dyDescent="0.25">
      <c r="D55">
        <v>10</v>
      </c>
      <c r="E55">
        <v>5</v>
      </c>
      <c r="F55">
        <f>D55*1.5</f>
        <v>15</v>
      </c>
    </row>
    <row r="56" spans="4:6" x14ac:dyDescent="0.25">
      <c r="D56">
        <v>10</v>
      </c>
      <c r="E56">
        <v>6</v>
      </c>
      <c r="F56">
        <f>D56*1.6</f>
        <v>16</v>
      </c>
    </row>
    <row r="57" spans="4:6" x14ac:dyDescent="0.25">
      <c r="D57">
        <v>10</v>
      </c>
      <c r="E57">
        <v>7</v>
      </c>
      <c r="F57">
        <f>D57*1.8</f>
        <v>18</v>
      </c>
    </row>
    <row r="58" spans="4:6" x14ac:dyDescent="0.25">
      <c r="D58">
        <v>10</v>
      </c>
      <c r="E58">
        <v>8</v>
      </c>
      <c r="F58">
        <f>D58*2</f>
        <v>20</v>
      </c>
    </row>
    <row r="59" spans="4:6" x14ac:dyDescent="0.25">
      <c r="D59">
        <v>10</v>
      </c>
      <c r="E59">
        <v>9</v>
      </c>
      <c r="F59">
        <f>D59*2.2</f>
        <v>22</v>
      </c>
    </row>
    <row r="60" spans="4:6" x14ac:dyDescent="0.25">
      <c r="D60">
        <v>10</v>
      </c>
      <c r="E60">
        <v>10</v>
      </c>
      <c r="F60">
        <f>D60*2.4</f>
        <v>24</v>
      </c>
    </row>
    <row r="61" spans="4:6" x14ac:dyDescent="0.25">
      <c r="D61">
        <v>10</v>
      </c>
      <c r="E61">
        <v>11</v>
      </c>
      <c r="F61">
        <f>D61*2.7</f>
        <v>27</v>
      </c>
    </row>
    <row r="62" spans="4:6" x14ac:dyDescent="0.25">
      <c r="D62">
        <v>10</v>
      </c>
      <c r="E62">
        <v>12</v>
      </c>
      <c r="F62">
        <f>D62*3</f>
        <v>30</v>
      </c>
    </row>
    <row r="63" spans="4:6" x14ac:dyDescent="0.25">
      <c r="D63">
        <v>10</v>
      </c>
      <c r="E63">
        <v>13</v>
      </c>
      <c r="F63">
        <f>D63*3.3</f>
        <v>33</v>
      </c>
    </row>
    <row r="64" spans="4:6" x14ac:dyDescent="0.25">
      <c r="D64">
        <v>10</v>
      </c>
      <c r="E64">
        <v>14</v>
      </c>
      <c r="F64">
        <f>D64*3.6</f>
        <v>36</v>
      </c>
    </row>
    <row r="65" spans="4:6" x14ac:dyDescent="0.25">
      <c r="D65">
        <v>10</v>
      </c>
      <c r="E65">
        <v>15</v>
      </c>
      <c r="F65">
        <f>D65*3.9</f>
        <v>39</v>
      </c>
    </row>
    <row r="66" spans="4:6" x14ac:dyDescent="0.25">
      <c r="D66">
        <v>10</v>
      </c>
      <c r="E66">
        <v>16</v>
      </c>
      <c r="F66">
        <f>D66*4.3</f>
        <v>43</v>
      </c>
    </row>
    <row r="67" spans="4:6" x14ac:dyDescent="0.25">
      <c r="D67">
        <v>10</v>
      </c>
      <c r="E67">
        <v>17</v>
      </c>
      <c r="F67">
        <f>D67*4.7</f>
        <v>47</v>
      </c>
    </row>
    <row r="68" spans="4:6" x14ac:dyDescent="0.25">
      <c r="D68">
        <v>10</v>
      </c>
      <c r="E68">
        <v>18</v>
      </c>
      <c r="F68">
        <f>D68*5.1</f>
        <v>51</v>
      </c>
    </row>
    <row r="69" spans="4:6" x14ac:dyDescent="0.25">
      <c r="D69">
        <v>10</v>
      </c>
      <c r="E69">
        <v>19</v>
      </c>
      <c r="F69">
        <f>D69*5.6</f>
        <v>56</v>
      </c>
    </row>
    <row r="70" spans="4:6" x14ac:dyDescent="0.25">
      <c r="D70">
        <v>10</v>
      </c>
      <c r="E70">
        <v>20</v>
      </c>
      <c r="F70">
        <f>D70*6.2</f>
        <v>62</v>
      </c>
    </row>
    <row r="71" spans="4:6" x14ac:dyDescent="0.25">
      <c r="D71">
        <v>10</v>
      </c>
      <c r="E71">
        <v>21</v>
      </c>
      <c r="F71">
        <f>D71*6.8</f>
        <v>68</v>
      </c>
    </row>
    <row r="72" spans="4:6" x14ac:dyDescent="0.25">
      <c r="D72">
        <v>10</v>
      </c>
      <c r="E72">
        <v>22</v>
      </c>
      <c r="F72">
        <f>D72*7.5</f>
        <v>75</v>
      </c>
    </row>
    <row r="73" spans="4:6" x14ac:dyDescent="0.25">
      <c r="D73">
        <v>10</v>
      </c>
      <c r="E73">
        <v>23</v>
      </c>
      <c r="F73">
        <f>D73*8.2</f>
        <v>82</v>
      </c>
    </row>
    <row r="74" spans="4:6" x14ac:dyDescent="0.25">
      <c r="D74">
        <v>10</v>
      </c>
      <c r="E74">
        <v>24</v>
      </c>
      <c r="F74">
        <f>D74*9.1</f>
        <v>91</v>
      </c>
    </row>
    <row r="75" spans="4:6" x14ac:dyDescent="0.25">
      <c r="D75">
        <v>100</v>
      </c>
      <c r="E75">
        <v>1</v>
      </c>
      <c r="F75">
        <f>D75*1</f>
        <v>100</v>
      </c>
    </row>
    <row r="76" spans="4:6" x14ac:dyDescent="0.25">
      <c r="D76">
        <v>100</v>
      </c>
      <c r="E76">
        <v>2</v>
      </c>
      <c r="F76">
        <f>D76*1.1</f>
        <v>110.00000000000001</v>
      </c>
    </row>
    <row r="77" spans="4:6" x14ac:dyDescent="0.25">
      <c r="D77">
        <v>100</v>
      </c>
      <c r="E77">
        <v>3</v>
      </c>
      <c r="F77">
        <f>D77*1.2</f>
        <v>120</v>
      </c>
    </row>
    <row r="78" spans="4:6" x14ac:dyDescent="0.25">
      <c r="D78">
        <v>100</v>
      </c>
      <c r="E78">
        <v>4</v>
      </c>
      <c r="F78">
        <f>D78*1.3</f>
        <v>130</v>
      </c>
    </row>
    <row r="79" spans="4:6" x14ac:dyDescent="0.25">
      <c r="D79">
        <v>100</v>
      </c>
      <c r="E79">
        <v>5</v>
      </c>
      <c r="F79">
        <f>D79*1.5</f>
        <v>150</v>
      </c>
    </row>
    <row r="80" spans="4:6" x14ac:dyDescent="0.25">
      <c r="D80">
        <v>100</v>
      </c>
      <c r="E80">
        <v>6</v>
      </c>
      <c r="F80">
        <f>D80*1.6</f>
        <v>160</v>
      </c>
    </row>
    <row r="81" spans="4:6" x14ac:dyDescent="0.25">
      <c r="D81">
        <v>100</v>
      </c>
      <c r="E81">
        <v>7</v>
      </c>
      <c r="F81">
        <f>D81*1.8</f>
        <v>180</v>
      </c>
    </row>
    <row r="82" spans="4:6" x14ac:dyDescent="0.25">
      <c r="D82">
        <v>100</v>
      </c>
      <c r="E82">
        <v>8</v>
      </c>
      <c r="F82">
        <f>D82*2</f>
        <v>200</v>
      </c>
    </row>
    <row r="83" spans="4:6" x14ac:dyDescent="0.25">
      <c r="D83">
        <v>100</v>
      </c>
      <c r="E83">
        <v>9</v>
      </c>
      <c r="F83">
        <f>D83*2.2</f>
        <v>220.00000000000003</v>
      </c>
    </row>
    <row r="84" spans="4:6" x14ac:dyDescent="0.25">
      <c r="D84">
        <v>100</v>
      </c>
      <c r="E84">
        <v>10</v>
      </c>
      <c r="F84">
        <f>D84*2.4</f>
        <v>240</v>
      </c>
    </row>
    <row r="85" spans="4:6" x14ac:dyDescent="0.25">
      <c r="D85">
        <v>100</v>
      </c>
      <c r="E85">
        <v>11</v>
      </c>
      <c r="F85">
        <f>D85*2.7</f>
        <v>270</v>
      </c>
    </row>
    <row r="86" spans="4:6" x14ac:dyDescent="0.25">
      <c r="D86">
        <v>100</v>
      </c>
      <c r="E86">
        <v>12</v>
      </c>
      <c r="F86">
        <f>D86*3</f>
        <v>300</v>
      </c>
    </row>
    <row r="87" spans="4:6" x14ac:dyDescent="0.25">
      <c r="D87">
        <v>100</v>
      </c>
      <c r="E87">
        <v>13</v>
      </c>
      <c r="F87">
        <f>D87*3.3</f>
        <v>330</v>
      </c>
    </row>
    <row r="88" spans="4:6" x14ac:dyDescent="0.25">
      <c r="D88">
        <v>100</v>
      </c>
      <c r="E88">
        <v>14</v>
      </c>
      <c r="F88">
        <f>D88*3.6</f>
        <v>360</v>
      </c>
    </row>
    <row r="89" spans="4:6" x14ac:dyDescent="0.25">
      <c r="D89">
        <v>100</v>
      </c>
      <c r="E89">
        <v>15</v>
      </c>
      <c r="F89">
        <f>D89*3.9</f>
        <v>390</v>
      </c>
    </row>
    <row r="90" spans="4:6" x14ac:dyDescent="0.25">
      <c r="D90">
        <v>100</v>
      </c>
      <c r="E90">
        <v>16</v>
      </c>
      <c r="F90">
        <f>D90*4.3</f>
        <v>430</v>
      </c>
    </row>
    <row r="91" spans="4:6" x14ac:dyDescent="0.25">
      <c r="D91">
        <v>100</v>
      </c>
      <c r="E91">
        <v>17</v>
      </c>
      <c r="F91">
        <f>D91*4.7</f>
        <v>470</v>
      </c>
    </row>
    <row r="92" spans="4:6" x14ac:dyDescent="0.25">
      <c r="D92">
        <v>100</v>
      </c>
      <c r="E92">
        <v>18</v>
      </c>
      <c r="F92">
        <f>D92*5.1</f>
        <v>509.99999999999994</v>
      </c>
    </row>
    <row r="93" spans="4:6" x14ac:dyDescent="0.25">
      <c r="D93">
        <v>100</v>
      </c>
      <c r="E93">
        <v>19</v>
      </c>
      <c r="F93">
        <f>D93*5.6</f>
        <v>560</v>
      </c>
    </row>
    <row r="94" spans="4:6" x14ac:dyDescent="0.25">
      <c r="D94">
        <v>100</v>
      </c>
      <c r="E94">
        <v>20</v>
      </c>
      <c r="F94">
        <f>D94*6.2</f>
        <v>620</v>
      </c>
    </row>
    <row r="95" spans="4:6" x14ac:dyDescent="0.25">
      <c r="D95">
        <v>100</v>
      </c>
      <c r="E95">
        <v>21</v>
      </c>
      <c r="F95">
        <f>D95*6.8</f>
        <v>680</v>
      </c>
    </row>
    <row r="96" spans="4:6" x14ac:dyDescent="0.25">
      <c r="D96">
        <v>100</v>
      </c>
      <c r="E96">
        <v>22</v>
      </c>
      <c r="F96">
        <f>D96*7.5</f>
        <v>750</v>
      </c>
    </row>
    <row r="97" spans="4:6" x14ac:dyDescent="0.25">
      <c r="D97">
        <v>100</v>
      </c>
      <c r="E97">
        <v>23</v>
      </c>
      <c r="F97">
        <f>D97*8.2</f>
        <v>819.99999999999989</v>
      </c>
    </row>
    <row r="98" spans="4:6" x14ac:dyDescent="0.25">
      <c r="D98">
        <v>100</v>
      </c>
      <c r="E98">
        <v>24</v>
      </c>
      <c r="F98">
        <f>D98*9.1</f>
        <v>910</v>
      </c>
    </row>
    <row r="99" spans="4:6" x14ac:dyDescent="0.25">
      <c r="D99">
        <v>1000</v>
      </c>
      <c r="E99">
        <v>1</v>
      </c>
      <c r="F99">
        <f>D99*1</f>
        <v>1000</v>
      </c>
    </row>
    <row r="100" spans="4:6" x14ac:dyDescent="0.25">
      <c r="D100">
        <v>1000</v>
      </c>
      <c r="E100">
        <v>2</v>
      </c>
      <c r="F100">
        <f>D100*1.1</f>
        <v>1100</v>
      </c>
    </row>
    <row r="101" spans="4:6" x14ac:dyDescent="0.25">
      <c r="D101">
        <v>1000</v>
      </c>
      <c r="E101">
        <v>3</v>
      </c>
      <c r="F101">
        <f>D101*1.2</f>
        <v>1200</v>
      </c>
    </row>
    <row r="102" spans="4:6" x14ac:dyDescent="0.25">
      <c r="D102">
        <v>1000</v>
      </c>
      <c r="E102">
        <v>4</v>
      </c>
      <c r="F102">
        <f>D102*1.3</f>
        <v>1300</v>
      </c>
    </row>
    <row r="103" spans="4:6" x14ac:dyDescent="0.25">
      <c r="D103">
        <v>1000</v>
      </c>
      <c r="E103">
        <v>5</v>
      </c>
      <c r="F103">
        <f>D103*1.5</f>
        <v>1500</v>
      </c>
    </row>
    <row r="104" spans="4:6" x14ac:dyDescent="0.25">
      <c r="D104">
        <v>1000</v>
      </c>
      <c r="E104">
        <v>6</v>
      </c>
      <c r="F104">
        <f>D104*1.6</f>
        <v>1600</v>
      </c>
    </row>
    <row r="105" spans="4:6" x14ac:dyDescent="0.25">
      <c r="D105">
        <v>1000</v>
      </c>
      <c r="E105">
        <v>7</v>
      </c>
      <c r="F105">
        <f>D105*1.8</f>
        <v>1800</v>
      </c>
    </row>
    <row r="106" spans="4:6" x14ac:dyDescent="0.25">
      <c r="D106">
        <v>1000</v>
      </c>
      <c r="E106">
        <v>8</v>
      </c>
      <c r="F106">
        <f>D106*2</f>
        <v>2000</v>
      </c>
    </row>
    <row r="107" spans="4:6" x14ac:dyDescent="0.25">
      <c r="D107">
        <v>1000</v>
      </c>
      <c r="E107">
        <v>9</v>
      </c>
      <c r="F107">
        <f>D107*2.2</f>
        <v>2200</v>
      </c>
    </row>
    <row r="108" spans="4:6" x14ac:dyDescent="0.25">
      <c r="D108">
        <v>1000</v>
      </c>
      <c r="E108">
        <v>10</v>
      </c>
      <c r="F108">
        <f>D108*2.4</f>
        <v>2400</v>
      </c>
    </row>
    <row r="109" spans="4:6" x14ac:dyDescent="0.25">
      <c r="D109">
        <v>1000</v>
      </c>
      <c r="E109">
        <v>11</v>
      </c>
      <c r="F109">
        <f>D109*2.7</f>
        <v>2700</v>
      </c>
    </row>
    <row r="110" spans="4:6" x14ac:dyDescent="0.25">
      <c r="D110">
        <v>1000</v>
      </c>
      <c r="E110">
        <v>12</v>
      </c>
      <c r="F110">
        <f>D110*3</f>
        <v>3000</v>
      </c>
    </row>
    <row r="111" spans="4:6" x14ac:dyDescent="0.25">
      <c r="D111">
        <v>1000</v>
      </c>
      <c r="E111">
        <v>13</v>
      </c>
      <c r="F111">
        <f>D111*3.3</f>
        <v>3300</v>
      </c>
    </row>
    <row r="112" spans="4:6" x14ac:dyDescent="0.25">
      <c r="D112">
        <v>1000</v>
      </c>
      <c r="E112">
        <v>14</v>
      </c>
      <c r="F112">
        <f>D112*3.6</f>
        <v>3600</v>
      </c>
    </row>
    <row r="113" spans="4:6" x14ac:dyDescent="0.25">
      <c r="D113">
        <v>1000</v>
      </c>
      <c r="E113">
        <v>15</v>
      </c>
      <c r="F113">
        <f>D113*3.9</f>
        <v>3900</v>
      </c>
    </row>
    <row r="114" spans="4:6" x14ac:dyDescent="0.25">
      <c r="D114">
        <v>1000</v>
      </c>
      <c r="E114">
        <v>16</v>
      </c>
      <c r="F114">
        <f>D114*4.3</f>
        <v>4300</v>
      </c>
    </row>
    <row r="115" spans="4:6" x14ac:dyDescent="0.25">
      <c r="D115">
        <v>1000</v>
      </c>
      <c r="E115">
        <v>17</v>
      </c>
      <c r="F115">
        <f>D115*4.7</f>
        <v>4700</v>
      </c>
    </row>
    <row r="116" spans="4:6" x14ac:dyDescent="0.25">
      <c r="D116">
        <v>1000</v>
      </c>
      <c r="E116">
        <v>18</v>
      </c>
      <c r="F116">
        <f>D116*5.1</f>
        <v>5100</v>
      </c>
    </row>
    <row r="117" spans="4:6" x14ac:dyDescent="0.25">
      <c r="D117">
        <v>1000</v>
      </c>
      <c r="E117">
        <v>19</v>
      </c>
      <c r="F117">
        <f>D117*5.6</f>
        <v>5600</v>
      </c>
    </row>
    <row r="118" spans="4:6" x14ac:dyDescent="0.25">
      <c r="D118">
        <v>1000</v>
      </c>
      <c r="E118">
        <v>20</v>
      </c>
      <c r="F118">
        <f>D118*6.2</f>
        <v>6200</v>
      </c>
    </row>
    <row r="119" spans="4:6" x14ac:dyDescent="0.25">
      <c r="D119">
        <v>1000</v>
      </c>
      <c r="E119">
        <v>21</v>
      </c>
      <c r="F119">
        <f>D119*6.8</f>
        <v>6800</v>
      </c>
    </row>
    <row r="120" spans="4:6" x14ac:dyDescent="0.25">
      <c r="D120">
        <v>1000</v>
      </c>
      <c r="E120">
        <v>22</v>
      </c>
      <c r="F120">
        <f>D120*7.5</f>
        <v>7500</v>
      </c>
    </row>
    <row r="121" spans="4:6" x14ac:dyDescent="0.25">
      <c r="D121">
        <v>1000</v>
      </c>
      <c r="E121">
        <v>23</v>
      </c>
      <c r="F121">
        <f>D121*8.2</f>
        <v>8200</v>
      </c>
    </row>
    <row r="122" spans="4:6" x14ac:dyDescent="0.25">
      <c r="D122">
        <v>1000</v>
      </c>
      <c r="E122">
        <v>24</v>
      </c>
      <c r="F122">
        <f>D122*9.1</f>
        <v>9100</v>
      </c>
    </row>
    <row r="123" spans="4:6" x14ac:dyDescent="0.25">
      <c r="D123">
        <v>10000</v>
      </c>
      <c r="E123">
        <v>1</v>
      </c>
      <c r="F123">
        <f>D123*1</f>
        <v>10000</v>
      </c>
    </row>
    <row r="124" spans="4:6" x14ac:dyDescent="0.25">
      <c r="D124">
        <v>10000</v>
      </c>
      <c r="E124">
        <v>2</v>
      </c>
      <c r="F124">
        <f>D124*1.1</f>
        <v>11000</v>
      </c>
    </row>
    <row r="125" spans="4:6" x14ac:dyDescent="0.25">
      <c r="D125">
        <v>10000</v>
      </c>
      <c r="E125">
        <v>3</v>
      </c>
      <c r="F125">
        <f>D125*1.2</f>
        <v>12000</v>
      </c>
    </row>
    <row r="126" spans="4:6" x14ac:dyDescent="0.25">
      <c r="D126">
        <v>10000</v>
      </c>
      <c r="E126">
        <v>4</v>
      </c>
      <c r="F126">
        <f>D126*1.3</f>
        <v>13000</v>
      </c>
    </row>
    <row r="127" spans="4:6" x14ac:dyDescent="0.25">
      <c r="D127">
        <v>10000</v>
      </c>
      <c r="E127">
        <v>5</v>
      </c>
      <c r="F127">
        <f>D127*1.5</f>
        <v>15000</v>
      </c>
    </row>
    <row r="128" spans="4:6" x14ac:dyDescent="0.25">
      <c r="D128">
        <v>10000</v>
      </c>
      <c r="E128">
        <v>6</v>
      </c>
      <c r="F128">
        <f>D128*1.6</f>
        <v>16000</v>
      </c>
    </row>
    <row r="129" spans="4:6" x14ac:dyDescent="0.25">
      <c r="D129">
        <v>10000</v>
      </c>
      <c r="E129">
        <v>7</v>
      </c>
      <c r="F129">
        <f>D129*1.8</f>
        <v>18000</v>
      </c>
    </row>
    <row r="130" spans="4:6" x14ac:dyDescent="0.25">
      <c r="D130">
        <v>10000</v>
      </c>
      <c r="E130">
        <v>8</v>
      </c>
      <c r="F130">
        <f>D130*2</f>
        <v>20000</v>
      </c>
    </row>
    <row r="131" spans="4:6" x14ac:dyDescent="0.25">
      <c r="D131">
        <v>10000</v>
      </c>
      <c r="E131">
        <v>9</v>
      </c>
      <c r="F131">
        <f>D131*2.2</f>
        <v>22000</v>
      </c>
    </row>
    <row r="132" spans="4:6" x14ac:dyDescent="0.25">
      <c r="D132">
        <v>10000</v>
      </c>
      <c r="E132">
        <v>10</v>
      </c>
      <c r="F132">
        <f>D132*2.4</f>
        <v>24000</v>
      </c>
    </row>
    <row r="133" spans="4:6" x14ac:dyDescent="0.25">
      <c r="D133">
        <v>10000</v>
      </c>
      <c r="E133">
        <v>11</v>
      </c>
      <c r="F133">
        <f>D133*2.7</f>
        <v>27000</v>
      </c>
    </row>
    <row r="134" spans="4:6" x14ac:dyDescent="0.25">
      <c r="D134">
        <v>10000</v>
      </c>
      <c r="E134">
        <v>12</v>
      </c>
      <c r="F134">
        <f>D134*3</f>
        <v>30000</v>
      </c>
    </row>
    <row r="135" spans="4:6" x14ac:dyDescent="0.25">
      <c r="D135">
        <v>10000</v>
      </c>
      <c r="E135">
        <v>13</v>
      </c>
      <c r="F135">
        <f>D135*3.3</f>
        <v>33000</v>
      </c>
    </row>
    <row r="136" spans="4:6" x14ac:dyDescent="0.25">
      <c r="D136">
        <v>10000</v>
      </c>
      <c r="E136">
        <v>14</v>
      </c>
      <c r="F136">
        <f>D136*3.6</f>
        <v>36000</v>
      </c>
    </row>
    <row r="137" spans="4:6" x14ac:dyDescent="0.25">
      <c r="D137">
        <v>10000</v>
      </c>
      <c r="E137">
        <v>15</v>
      </c>
      <c r="F137">
        <f>D137*3.9</f>
        <v>39000</v>
      </c>
    </row>
    <row r="138" spans="4:6" x14ac:dyDescent="0.25">
      <c r="D138">
        <v>10000</v>
      </c>
      <c r="E138">
        <v>16</v>
      </c>
      <c r="F138">
        <f>D138*4.3</f>
        <v>43000</v>
      </c>
    </row>
    <row r="139" spans="4:6" x14ac:dyDescent="0.25">
      <c r="D139">
        <v>10000</v>
      </c>
      <c r="E139">
        <v>17</v>
      </c>
      <c r="F139">
        <f>D139*4.7</f>
        <v>47000</v>
      </c>
    </row>
    <row r="140" spans="4:6" x14ac:dyDescent="0.25">
      <c r="D140">
        <v>10000</v>
      </c>
      <c r="E140">
        <v>18</v>
      </c>
      <c r="F140">
        <f>D140*5.1</f>
        <v>51000</v>
      </c>
    </row>
    <row r="141" spans="4:6" x14ac:dyDescent="0.25">
      <c r="D141">
        <v>10000</v>
      </c>
      <c r="E141">
        <v>19</v>
      </c>
      <c r="F141">
        <f>D141*5.6</f>
        <v>56000</v>
      </c>
    </row>
    <row r="142" spans="4:6" x14ac:dyDescent="0.25">
      <c r="D142">
        <v>10000</v>
      </c>
      <c r="E142">
        <v>20</v>
      </c>
      <c r="F142">
        <f>D142*6.2</f>
        <v>62000</v>
      </c>
    </row>
    <row r="143" spans="4:6" x14ac:dyDescent="0.25">
      <c r="D143">
        <v>10000</v>
      </c>
      <c r="E143">
        <v>21</v>
      </c>
      <c r="F143">
        <f>D143*6.8</f>
        <v>68000</v>
      </c>
    </row>
    <row r="144" spans="4:6" x14ac:dyDescent="0.25">
      <c r="D144">
        <v>10000</v>
      </c>
      <c r="E144">
        <v>22</v>
      </c>
      <c r="F144">
        <f>D144*7.5</f>
        <v>75000</v>
      </c>
    </row>
    <row r="145" spans="4:6" x14ac:dyDescent="0.25">
      <c r="D145">
        <v>10000</v>
      </c>
      <c r="E145">
        <v>23</v>
      </c>
      <c r="F145">
        <f>D145*8.2</f>
        <v>82000</v>
      </c>
    </row>
    <row r="146" spans="4:6" x14ac:dyDescent="0.25">
      <c r="D146">
        <v>10000</v>
      </c>
      <c r="E146">
        <v>24</v>
      </c>
      <c r="F146">
        <f>D146*9.1</f>
        <v>91000</v>
      </c>
    </row>
  </sheetData>
  <mergeCells count="2">
    <mergeCell ref="D1:G1"/>
    <mergeCell ref="A1:B1"/>
  </mergeCells>
  <pageMargins left="0.7" right="0.7" top="0.75" bottom="0.75" header="0.3" footer="0.3"/>
  <pageSetup paperSize="9" orientation="portrait" r:id="rId1"/>
  <legacyDrawing r:id="rId2"/>
  <tableParts count="2"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80F2B8AF-BEA6-4284-AF9F-93112910C274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10EDFBEE-59EB-48AE-8B7B-F468734B7AC6}">
  <ds:schemaRefs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26</vt:i4>
      </vt:variant>
      <vt:variant>
        <vt:lpstr>Plages nommées</vt:lpstr>
      </vt:variant>
      <vt:variant>
        <vt:i4>7</vt:i4>
      </vt:variant>
    </vt:vector>
  </HeadingPairs>
  <TitlesOfParts>
    <vt:vector size="33" baseType="lpstr">
      <vt:lpstr>0 - Accueil</vt:lpstr>
      <vt:lpstr>1 - IDs types de sonde</vt:lpstr>
      <vt:lpstr>2 - Recherche type NTC</vt:lpstr>
      <vt:lpstr>3 - Statistiques</vt:lpstr>
      <vt:lpstr>4 - Commande Mouser</vt:lpstr>
      <vt:lpstr>5 - Résistances précision (R77)</vt:lpstr>
      <vt:lpstr>DeDietrich AF40</vt:lpstr>
      <vt:lpstr>DeDietrich AF60</vt:lpstr>
      <vt:lpstr>KTY81-210</vt:lpstr>
      <vt:lpstr>Ni1000 TK5000</vt:lpstr>
      <vt:lpstr>Ni1000 TK6180</vt:lpstr>
      <vt:lpstr>NTC 10k 3977</vt:lpstr>
      <vt:lpstr>NTC 10k2 3977</vt:lpstr>
      <vt:lpstr>NTC 1k 3528</vt:lpstr>
      <vt:lpstr>NTC 2.2k 3528</vt:lpstr>
      <vt:lpstr>NTC 20k 4370</vt:lpstr>
      <vt:lpstr>NTC 2k 3390</vt:lpstr>
      <vt:lpstr>NTC 2k Xavier</vt:lpstr>
      <vt:lpstr>Pt100</vt:lpstr>
      <vt:lpstr>Pt1000</vt:lpstr>
      <vt:lpstr>Siemens QAC32</vt:lpstr>
      <vt:lpstr>Viessmann AV17</vt:lpstr>
      <vt:lpstr>VRC-DCF 9535</vt:lpstr>
      <vt:lpstr>Template PTC</vt:lpstr>
      <vt:lpstr>Template NTC</vt:lpstr>
      <vt:lpstr>Data</vt:lpstr>
      <vt:lpstr>'2 - Recherche type NTC'!coeff_SH_A</vt:lpstr>
      <vt:lpstr>coeff_SH_B</vt:lpstr>
      <vt:lpstr>coeff_SH_C</vt:lpstr>
      <vt:lpstr>'2 - Recherche type NTC'!R_25</vt:lpstr>
      <vt:lpstr>ResValuesR24</vt:lpstr>
      <vt:lpstr>SensorType</vt:lpstr>
      <vt:lpstr>'0 - Accueil'!Zone_d_impression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stage</dc:creator>
  <cp:lastModifiedBy>Léo Mendes</cp:lastModifiedBy>
  <cp:lastPrinted>2025-09-08T11:46:41Z</cp:lastPrinted>
  <dcterms:created xsi:type="dcterms:W3CDTF">2020-07-23T13:14:46Z</dcterms:created>
  <dcterms:modified xsi:type="dcterms:W3CDTF">2025-09-18T13:42:19Z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52a3149d-7657-48a6-8159-18fec67567e6</vt:lpwstr>
  </property>
</Properties>
</file>