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00_Diplome/2510_RegulationChauffage/doc/4.datasheets/Alimentation/"/>
    </mc:Choice>
  </mc:AlternateContent>
  <xr:revisionPtr revIDLastSave="7" documentId="8_{EE01A65B-1755-443A-AECB-3B0EE4C354E2}" xr6:coauthVersionLast="45" xr6:coauthVersionMax="45" xr10:uidLastSave="{12E22696-003D-454E-AAD6-B9D70F39B8E3}"/>
  <bookViews>
    <workbookView xWindow="28680" yWindow="-120" windowWidth="29040" windowHeight="15840" xr2:uid="{00000000-000D-0000-FFFF-FFFF00000000}"/>
  </bookViews>
  <sheets>
    <sheet name="Comparaison" sheetId="1" r:id="rId1"/>
    <sheet name="Equations_LaTe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" i="1" l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<sst xmlns="http://schemas.openxmlformats.org/spreadsheetml/2006/main" count="22" uniqueCount="19">
  <si>
    <t>Paramètre</t>
  </si>
  <si>
    <t>Unité</t>
  </si>
  <si>
    <t>Outil TI</t>
  </si>
  <si>
    <t>Recalculé</t>
  </si>
  <si>
    <t>Erreur absolue</t>
  </si>
  <si>
    <t>Erreur relative</t>
  </si>
  <si>
    <t>Duty cycle D</t>
  </si>
  <si>
    <t>Inductance L</t>
  </si>
  <si>
    <t>µH</t>
  </si>
  <si>
    <t>Courant pic Ipk</t>
  </si>
  <si>
    <t>A</t>
  </si>
  <si>
    <t>IL RMS</t>
  </si>
  <si>
    <t>Iin moyen</t>
  </si>
  <si>
    <t>Pin</t>
  </si>
  <si>
    <t>W</t>
  </si>
  <si>
    <t>Pertes totales</t>
  </si>
  <si>
    <t>Rendement η</t>
  </si>
  <si>
    <t>%</t>
  </si>
  <si>
    <t>D_{\text{idéal}} = \frac{V_{\text{out}}}{V_{\text{in}}} = \frac{5.0}{24.0} = 0.2083[]
L = \frac{V_{\text{out}} \cdot (1 - D_{\text{outil}})}{\Delta I_L \cdot f_{\text{SW}}} = \frac{5.0 \cdot (1 - 0.2230)}{1.05 \cdot 400000} = 9.25 \cdot 10^{-6}[H]
I_{\text{pk}} = I_{\text{out}} + \frac{\Delta I_L}{2} = 2.5 + \frac{1.05}{2} = 3.025[A]
I_{L,\text{RMS}} = \sqrt{I_{\text{out}}^{2} + \frac{\Delta I_L^{2}}{12}} = \sqrt{2.5^{2} + \frac{1.05^{2}}{12}} = 2.5183[A]
R_{\text{DCR}} = \frac{P_L}{I_{L,\text{RMS}}^{2}} = \frac{0.24097}{2.5183^{2}} = 0.0380[\Omega]
I_{\text{Cin,RMS}} = I_{\text{out}} \cdot \sqrt{D_{\text{idéal}} \cdot (1 - D_{\text{idéal}})} = 2.5 \cdot \sqrt{0.2083 \cdot 0.7917} = 1.015[A]
C_{\text{req}} = \frac{\Delta I_L}{8 \cdot f_{\text{SW}} \cdot \Delta V_{\text{out}}} = \frac{1.05}{8 \cdot 400000 \cdot 0.00534} = 6.145 \cdot 10^{-5}[F]
P_{\text{in}} = V_{\text{in}} \cdot I_{\text{in,avg}} = 24.0 \cdot 0.56049 = 13.4518[W]
\eta = \frac{P_{\text{out}}}{P_{\text{in}}} = \frac{5.0 \cdot 2.5}{13.4518} = 0.9293[]
P_{\text{pertes}} = P_{\text{in}} - P_{\text{out}} = 13.4518 - 12.5 = 0.9518[W]
\%\Delta I_L = \frac{\Delta I_L}{I_{\text{out}}} \cdot 100 = \frac{1.05}{2.5} \cdot 100 = 42.0[\%]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</si>
</sst>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9"/>
    </sheetView>
  </sheetViews>
  <sheetFormatPr baseColWidth="10" defaultColWidth="9.140625" defaultRowHeight="15" x14ac:dyDescent="0.25"/>
  <cols>
    <col min="1" max="1" width="34.7109375" customWidth="1"/>
    <col min="2" max="2" width="8.7109375" customWidth="1"/>
    <col min="3" max="4" width="14.7109375" customWidth="1"/>
    <col min="5" max="6" width="1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/>
      <c r="C2" s="3">
        <v>0.223</v>
      </c>
      <c r="D2" s="3">
        <v>0.20830000000000001</v>
      </c>
      <c r="E2" s="4">
        <f t="shared" ref="E2:E9" si="0">D2-C2</f>
        <v>-1.4699999999999991E-2</v>
      </c>
      <c r="F2" s="3">
        <f t="shared" ref="F2:F9" si="1">IF(C2=0,0,(D2-C2)/C2)</f>
        <v>-6.5919282511210722E-2</v>
      </c>
    </row>
    <row r="3" spans="1:6" x14ac:dyDescent="0.25">
      <c r="A3" t="s">
        <v>7</v>
      </c>
      <c r="B3" s="2" t="s">
        <v>8</v>
      </c>
      <c r="C3" s="5">
        <v>10</v>
      </c>
      <c r="D3" s="5">
        <v>9.8949999999999996</v>
      </c>
      <c r="E3" s="4">
        <f t="shared" si="0"/>
        <v>-0.10500000000000043</v>
      </c>
      <c r="F3" s="3">
        <f t="shared" si="1"/>
        <v>-1.0500000000000042E-2</v>
      </c>
    </row>
    <row r="4" spans="1:6" x14ac:dyDescent="0.25">
      <c r="A4" t="s">
        <v>9</v>
      </c>
      <c r="B4" s="2" t="s">
        <v>10</v>
      </c>
      <c r="C4" s="6">
        <v>3.02</v>
      </c>
      <c r="D4" s="6">
        <v>3</v>
      </c>
      <c r="E4" s="4">
        <f t="shared" si="0"/>
        <v>-2.0000000000000018E-2</v>
      </c>
      <c r="F4" s="3">
        <f t="shared" si="1"/>
        <v>-6.6225165562913968E-3</v>
      </c>
    </row>
    <row r="5" spans="1:6" x14ac:dyDescent="0.25">
      <c r="A5" t="s">
        <v>11</v>
      </c>
      <c r="B5" s="2" t="s">
        <v>10</v>
      </c>
      <c r="C5" s="6">
        <v>2.52</v>
      </c>
      <c r="D5" s="6">
        <v>2.5169999999999999</v>
      </c>
      <c r="E5" s="4">
        <f t="shared" si="0"/>
        <v>-3.0000000000001137E-3</v>
      </c>
      <c r="F5" s="3">
        <f t="shared" si="1"/>
        <v>-1.1904761904762357E-3</v>
      </c>
    </row>
    <row r="6" spans="1:6" x14ac:dyDescent="0.25">
      <c r="A6" t="s">
        <v>12</v>
      </c>
      <c r="B6" s="2" t="s">
        <v>10</v>
      </c>
      <c r="C6" s="6">
        <v>0.56049000000000004</v>
      </c>
      <c r="D6" s="6">
        <v>0.56049000000000004</v>
      </c>
      <c r="E6" s="4">
        <f t="shared" si="0"/>
        <v>0</v>
      </c>
      <c r="F6" s="3">
        <f t="shared" si="1"/>
        <v>0</v>
      </c>
    </row>
    <row r="7" spans="1:6" x14ac:dyDescent="0.25">
      <c r="A7" t="s">
        <v>13</v>
      </c>
      <c r="B7" s="2" t="s">
        <v>14</v>
      </c>
      <c r="C7" s="4">
        <v>13.4518</v>
      </c>
      <c r="D7" s="4">
        <v>13.4518</v>
      </c>
      <c r="E7" s="4">
        <f t="shared" si="0"/>
        <v>0</v>
      </c>
      <c r="F7" s="3">
        <f t="shared" si="1"/>
        <v>0</v>
      </c>
    </row>
    <row r="8" spans="1:6" x14ac:dyDescent="0.25">
      <c r="A8" t="s">
        <v>15</v>
      </c>
      <c r="B8" s="2" t="s">
        <v>14</v>
      </c>
      <c r="C8" s="4">
        <v>0.95184999999999997</v>
      </c>
      <c r="D8" s="4">
        <v>0.95179999999999998</v>
      </c>
      <c r="E8" s="4">
        <f t="shared" si="0"/>
        <v>-4.9999999999994493E-5</v>
      </c>
      <c r="F8" s="3">
        <f t="shared" si="1"/>
        <v>-5.2529285076424325E-5</v>
      </c>
    </row>
    <row r="9" spans="1:6" x14ac:dyDescent="0.25">
      <c r="A9" t="s">
        <v>16</v>
      </c>
      <c r="B9" s="2" t="s">
        <v>17</v>
      </c>
      <c r="C9" s="3">
        <v>0.92930000000000001</v>
      </c>
      <c r="D9" s="3">
        <v>0.92930000000000001</v>
      </c>
      <c r="E9" s="4">
        <f t="shared" si="0"/>
        <v>0</v>
      </c>
      <c r="F9" s="3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cols>
    <col min="1" max="1" width="120.7109375" customWidth="1"/>
  </cols>
  <sheetData>
    <row r="1" spans="1:1" ht="360" x14ac:dyDescent="0.25">
      <c r="A1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Comparaison</vt:lpstr>
      <vt:lpstr>Equations_LaTeX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Mendes</dc:creator>
  <cp:lastModifiedBy>Léo Mendes</cp:lastModifiedBy>
  <dcterms:created xsi:type="dcterms:W3CDTF">2025-08-26T15:06:35Z</dcterms:created>
  <dcterms:modified xsi:type="dcterms:W3CDTF">2025-08-27T07:42:17Z</dcterms:modified>
</cp:coreProperties>
</file>