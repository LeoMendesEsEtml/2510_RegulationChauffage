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vaud-my.sharepoint.com/personal/py13jta_eduvaud_ch/Documents/00_Diplome/2510_RegulationChauffage/doc/"/>
    </mc:Choice>
  </mc:AlternateContent>
  <xr:revisionPtr revIDLastSave="41" documentId="8_{6D37B1DA-F485-43C4-9A4C-41CF1B924667}" xr6:coauthVersionLast="45" xr6:coauthVersionMax="45" xr10:uidLastSave="{796C7518-39F7-4B8B-B80A-8032D19E6C2B}"/>
  <bookViews>
    <workbookView xWindow="28680" yWindow="-120" windowWidth="29040" windowHeight="15840" xr2:uid="{2C036080-930E-4B79-8ED5-37F9184B695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9" i="1" l="1"/>
  <c r="K29" i="1"/>
  <c r="N29" i="1" s="1"/>
  <c r="J29" i="1"/>
  <c r="M29" i="1" s="1"/>
  <c r="L28" i="1"/>
  <c r="K28" i="1"/>
  <c r="N28" i="1" s="1"/>
  <c r="J28" i="1"/>
  <c r="M28" i="1" s="1"/>
  <c r="N9" i="1" l="1"/>
  <c r="K19" i="1"/>
  <c r="N19" i="1"/>
  <c r="J19" i="1"/>
  <c r="M19" i="1" s="1"/>
  <c r="L19" i="1"/>
  <c r="J30" i="1"/>
  <c r="K30" i="1" s="1"/>
  <c r="N30" i="1" s="1"/>
  <c r="K31" i="1"/>
  <c r="N31" i="1" s="1"/>
  <c r="J31" i="1"/>
  <c r="M31" i="1" s="1"/>
  <c r="K26" i="1"/>
  <c r="N26" i="1" s="1"/>
  <c r="J27" i="1"/>
  <c r="M27" i="1" s="1"/>
  <c r="J26" i="1"/>
  <c r="M26" i="1" s="1"/>
  <c r="M30" i="1" l="1"/>
  <c r="I32" i="1"/>
  <c r="J10" i="1"/>
  <c r="K10" i="1"/>
  <c r="I10" i="1"/>
  <c r="I21" i="1"/>
  <c r="K18" i="1"/>
  <c r="K21" i="1" s="1"/>
  <c r="J18" i="1"/>
  <c r="J21" i="1" s="1"/>
  <c r="K27" i="1"/>
  <c r="N27" i="1" s="1"/>
  <c r="L31" i="1"/>
  <c r="L30" i="1"/>
  <c r="L27" i="1"/>
  <c r="L26" i="1"/>
  <c r="L32" i="1" s="1"/>
  <c r="N16" i="1"/>
  <c r="N17" i="1"/>
  <c r="M16" i="1"/>
  <c r="M17" i="1"/>
  <c r="L16" i="1"/>
  <c r="L17" i="1"/>
  <c r="L18" i="1"/>
  <c r="M15" i="1"/>
  <c r="N15" i="1"/>
  <c r="L15" i="1"/>
  <c r="L10" i="1"/>
  <c r="I4" i="1"/>
  <c r="I3" i="1"/>
  <c r="H2" i="1"/>
  <c r="K32" i="1" l="1"/>
  <c r="M32" i="1"/>
  <c r="M20" i="1" s="1"/>
  <c r="N32" i="1"/>
  <c r="N20" i="1" s="1"/>
  <c r="J32" i="1"/>
  <c r="N18" i="1"/>
  <c r="N21" i="1" s="1"/>
  <c r="L21" i="1"/>
  <c r="M18" i="1"/>
  <c r="M21" i="1" s="1"/>
  <c r="M8" i="1" s="1"/>
  <c r="M10" i="1" l="1"/>
  <c r="N8" i="1"/>
  <c r="N10" i="1" s="1"/>
</calcChain>
</file>

<file path=xl/sharedStrings.xml><?xml version="1.0" encoding="utf-8"?>
<sst xmlns="http://schemas.openxmlformats.org/spreadsheetml/2006/main" count="60" uniqueCount="32">
  <si>
    <t>Tension[V]</t>
  </si>
  <si>
    <t>Courant[A]</t>
  </si>
  <si>
    <t>Puissance[W]</t>
  </si>
  <si>
    <t>AC/DC</t>
  </si>
  <si>
    <t>LDO</t>
  </si>
  <si>
    <t>Consomation 24[V]</t>
  </si>
  <si>
    <t>Typ</t>
  </si>
  <si>
    <t>Max</t>
  </si>
  <si>
    <t>Min</t>
  </si>
  <si>
    <t>Consomation 5[V]</t>
  </si>
  <si>
    <t>CM5</t>
  </si>
  <si>
    <t xml:space="preserve">Tension[V] : </t>
  </si>
  <si>
    <t>Buck down</t>
  </si>
  <si>
    <t>24V-I/O</t>
  </si>
  <si>
    <t>Front LED</t>
  </si>
  <si>
    <t>LED Ethernet</t>
  </si>
  <si>
    <t>Bypass INPUT relay (min = 0 relay, typ = 2 relay, max = 8 relay )</t>
  </si>
  <si>
    <t>ADS124S08IPBSR</t>
  </si>
  <si>
    <t>TMUX1204DGSR</t>
  </si>
  <si>
    <t>-</t>
  </si>
  <si>
    <t>Consomation 3.3[V]</t>
  </si>
  <si>
    <t>LED activity</t>
  </si>
  <si>
    <t>LED Power</t>
  </si>
  <si>
    <t>74HC595PW,118 (min = 0 X, typ = 1 X, max = 4 X )</t>
  </si>
  <si>
    <t>ADG732BSUZ-REEL(min = 0 X, typ = 1 X, max = 4 X )</t>
  </si>
  <si>
    <t>Puissance [W]</t>
  </si>
  <si>
    <t>Sortie LDO</t>
  </si>
  <si>
    <t>Consomation LDO TPS7A2024PDBVR</t>
  </si>
  <si>
    <t>BLOC Alimentations MAX</t>
  </si>
  <si>
    <t>Totaux (&lt;15[W] = OK)</t>
  </si>
  <si>
    <t>Totaux  (&lt;15[W] = OK)</t>
  </si>
  <si>
    <t>Totaux  (&lt;12.5[W] = 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</si>
</sst>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2" xfId="0" applyBorder="1"/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23" xfId="0" applyBorder="1"/>
    <xf numFmtId="0" fontId="0" fillId="0" borderId="21" xfId="0" applyBorder="1"/>
    <xf numFmtId="0" fontId="0" fillId="0" borderId="22" xfId="0" applyBorder="1"/>
    <xf numFmtId="0" fontId="0" fillId="0" borderId="0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8" xfId="0" applyBorder="1"/>
    <xf numFmtId="0" fontId="0" fillId="0" borderId="19" xfId="0" applyBorder="1"/>
    <xf numFmtId="0" fontId="0" fillId="0" borderId="6" xfId="0" applyNumberFormat="1" applyBorder="1"/>
    <xf numFmtId="0" fontId="0" fillId="0" borderId="30" xfId="0" applyBorder="1"/>
    <xf numFmtId="0" fontId="0" fillId="0" borderId="20" xfId="0" applyBorder="1"/>
    <xf numFmtId="0" fontId="0" fillId="0" borderId="17" xfId="0" applyBorder="1"/>
    <xf numFmtId="0" fontId="0" fillId="0" borderId="21" xfId="0" applyNumberFormat="1" applyBorder="1"/>
    <xf numFmtId="0" fontId="0" fillId="0" borderId="18" xfId="0" applyNumberFormat="1" applyBorder="1"/>
    <xf numFmtId="0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0068-6E37-4936-880D-425D7B9478EC}">
  <dimension ref="E1:P33"/>
  <sheetViews>
    <sheetView tabSelected="1" zoomScale="115" zoomScaleNormal="115" workbookViewId="0">
      <selection activeCell="F13" sqref="F13:N21"/>
    </sheetView>
  </sheetViews>
  <sheetFormatPr baseColWidth="10" defaultRowHeight="15" x14ac:dyDescent="0.25"/>
  <cols>
    <col min="1" max="1" width="18.42578125" customWidth="1"/>
    <col min="4" max="4" width="11.140625" customWidth="1"/>
    <col min="5" max="5" width="11.42578125" hidden="1" customWidth="1"/>
    <col min="6" max="6" width="34" customWidth="1"/>
    <col min="7" max="7" width="13" customWidth="1"/>
    <col min="8" max="8" width="23.140625" customWidth="1"/>
    <col min="9" max="9" width="12.5703125" customWidth="1"/>
  </cols>
  <sheetData>
    <row r="1" spans="6:16" ht="15.75" thickBot="1" x14ac:dyDescent="0.3">
      <c r="F1" s="14" t="s">
        <v>28</v>
      </c>
      <c r="G1" s="14" t="s">
        <v>0</v>
      </c>
      <c r="H1" s="14" t="s">
        <v>1</v>
      </c>
      <c r="I1" s="25" t="s">
        <v>2</v>
      </c>
    </row>
    <row r="2" spans="6:16" ht="15.75" thickBot="1" x14ac:dyDescent="0.3">
      <c r="F2" s="14" t="s">
        <v>3</v>
      </c>
      <c r="G2" s="14">
        <v>24</v>
      </c>
      <c r="H2" s="25">
        <f>I2/G2</f>
        <v>0.625</v>
      </c>
      <c r="I2" s="25">
        <v>15</v>
      </c>
    </row>
    <row r="3" spans="6:16" ht="15.75" thickBot="1" x14ac:dyDescent="0.3">
      <c r="F3" s="14" t="s">
        <v>12</v>
      </c>
      <c r="G3" s="14">
        <v>5</v>
      </c>
      <c r="H3" s="25">
        <v>2.5</v>
      </c>
      <c r="I3" s="25">
        <f>G3*H3</f>
        <v>12.5</v>
      </c>
    </row>
    <row r="4" spans="6:16" ht="15.75" thickBot="1" x14ac:dyDescent="0.3">
      <c r="F4" s="14" t="s">
        <v>4</v>
      </c>
      <c r="G4" s="14">
        <v>3.3</v>
      </c>
      <c r="H4" s="25">
        <v>0.3</v>
      </c>
      <c r="I4" s="25">
        <f>G4*H4</f>
        <v>0.98999999999999988</v>
      </c>
    </row>
    <row r="5" spans="6:16" ht="15.75" thickBot="1" x14ac:dyDescent="0.3"/>
    <row r="6" spans="6:16" x14ac:dyDescent="0.25">
      <c r="F6" s="40" t="s">
        <v>5</v>
      </c>
      <c r="G6" s="42" t="s">
        <v>11</v>
      </c>
      <c r="H6" s="42">
        <v>24</v>
      </c>
      <c r="I6" s="44" t="s">
        <v>1</v>
      </c>
      <c r="J6" s="45"/>
      <c r="K6" s="45"/>
      <c r="L6" s="45" t="s">
        <v>25</v>
      </c>
      <c r="M6" s="45"/>
      <c r="N6" s="46"/>
    </row>
    <row r="7" spans="6:16" ht="15.75" thickBot="1" x14ac:dyDescent="0.3">
      <c r="F7" s="41"/>
      <c r="G7" s="43"/>
      <c r="H7" s="43"/>
      <c r="I7" s="4" t="s">
        <v>8</v>
      </c>
      <c r="J7" s="5" t="s">
        <v>6</v>
      </c>
      <c r="K7" s="5" t="s">
        <v>7</v>
      </c>
      <c r="L7" s="5" t="s">
        <v>8</v>
      </c>
      <c r="M7" s="5" t="s">
        <v>6</v>
      </c>
      <c r="N7" s="6" t="s">
        <v>7</v>
      </c>
    </row>
    <row r="8" spans="6:16" x14ac:dyDescent="0.25">
      <c r="F8" s="34" t="s">
        <v>12</v>
      </c>
      <c r="G8" s="35"/>
      <c r="H8" s="36"/>
      <c r="I8" s="7" t="s">
        <v>19</v>
      </c>
      <c r="J8" s="8" t="s">
        <v>19</v>
      </c>
      <c r="K8" s="8" t="s">
        <v>19</v>
      </c>
      <c r="L8" s="8">
        <v>0</v>
      </c>
      <c r="M8" s="8">
        <f>M21</f>
        <v>2.3109999999999999</v>
      </c>
      <c r="N8" s="9">
        <f>N21</f>
        <v>5.6539999999999999</v>
      </c>
    </row>
    <row r="9" spans="6:16" ht="15.75" thickBot="1" x14ac:dyDescent="0.3">
      <c r="F9" s="37" t="s">
        <v>13</v>
      </c>
      <c r="G9" s="38"/>
      <c r="H9" s="39"/>
      <c r="I9" s="10">
        <v>0</v>
      </c>
      <c r="J9" s="11">
        <v>5.1460000000000004E-3</v>
      </c>
      <c r="K9" s="11">
        <v>5.1460000000000004E-3</v>
      </c>
      <c r="L9" s="11">
        <v>0</v>
      </c>
      <c r="M9" s="11">
        <v>0.1235</v>
      </c>
      <c r="N9" s="12">
        <f>H6*K9</f>
        <v>0.123504</v>
      </c>
    </row>
    <row r="10" spans="6:16" ht="15.75" thickBot="1" x14ac:dyDescent="0.3">
      <c r="F10" s="31" t="s">
        <v>29</v>
      </c>
      <c r="G10" s="32"/>
      <c r="H10" s="33"/>
      <c r="I10" s="27">
        <f>SUM(I8:I9)</f>
        <v>0</v>
      </c>
      <c r="J10" s="22">
        <f>SUM(J8:J9)</f>
        <v>5.1460000000000004E-3</v>
      </c>
      <c r="K10" s="22">
        <f>SUM(K8:K9)</f>
        <v>5.1460000000000004E-3</v>
      </c>
      <c r="L10" s="22">
        <f>L8+L9</f>
        <v>0</v>
      </c>
      <c r="M10" s="22">
        <f>M8+M9</f>
        <v>2.4344999999999999</v>
      </c>
      <c r="N10" s="23">
        <f>N8+N9</f>
        <v>5.7775039999999995</v>
      </c>
      <c r="O10" s="30"/>
      <c r="P10" s="25"/>
    </row>
    <row r="12" spans="6:16" ht="15.75" thickBot="1" x14ac:dyDescent="0.3"/>
    <row r="13" spans="6:16" x14ac:dyDescent="0.25">
      <c r="F13" s="50" t="s">
        <v>9</v>
      </c>
      <c r="G13" s="40" t="s">
        <v>11</v>
      </c>
      <c r="H13" s="42">
        <v>5</v>
      </c>
      <c r="I13" s="44" t="s">
        <v>1</v>
      </c>
      <c r="J13" s="45"/>
      <c r="K13" s="45"/>
      <c r="L13" s="45" t="s">
        <v>25</v>
      </c>
      <c r="M13" s="45"/>
      <c r="N13" s="46"/>
    </row>
    <row r="14" spans="6:16" ht="15.75" thickBot="1" x14ac:dyDescent="0.3">
      <c r="F14" s="51"/>
      <c r="G14" s="41"/>
      <c r="H14" s="43"/>
      <c r="I14" s="10" t="s">
        <v>8</v>
      </c>
      <c r="J14" s="11" t="s">
        <v>6</v>
      </c>
      <c r="K14" s="11" t="s">
        <v>7</v>
      </c>
      <c r="L14" s="11" t="s">
        <v>8</v>
      </c>
      <c r="M14" s="11" t="s">
        <v>6</v>
      </c>
      <c r="N14" s="12" t="s">
        <v>7</v>
      </c>
    </row>
    <row r="15" spans="6:16" x14ac:dyDescent="0.25">
      <c r="F15" s="34" t="s">
        <v>10</v>
      </c>
      <c r="G15" s="35"/>
      <c r="H15" s="36"/>
      <c r="I15" s="17">
        <v>3.0000000000000001E-3</v>
      </c>
      <c r="J15" s="18">
        <v>0.4</v>
      </c>
      <c r="K15" s="18">
        <v>0.9</v>
      </c>
      <c r="L15" s="18">
        <f t="shared" ref="L15:N19" si="0">$H$13*I15</f>
        <v>1.4999999999999999E-2</v>
      </c>
      <c r="M15" s="18">
        <f t="shared" si="0"/>
        <v>2</v>
      </c>
      <c r="N15" s="19">
        <f t="shared" si="0"/>
        <v>4.5</v>
      </c>
    </row>
    <row r="16" spans="6:16" x14ac:dyDescent="0.25">
      <c r="F16" s="47" t="s">
        <v>14</v>
      </c>
      <c r="G16" s="48"/>
      <c r="H16" s="49"/>
      <c r="I16" s="20">
        <v>0</v>
      </c>
      <c r="J16" s="1">
        <v>2E-3</v>
      </c>
      <c r="K16" s="1">
        <v>2E-3</v>
      </c>
      <c r="L16" s="1">
        <f t="shared" si="0"/>
        <v>0</v>
      </c>
      <c r="M16" s="1">
        <f t="shared" si="0"/>
        <v>0.01</v>
      </c>
      <c r="N16" s="3">
        <f t="shared" si="0"/>
        <v>0.01</v>
      </c>
    </row>
    <row r="17" spans="6:16" x14ac:dyDescent="0.25">
      <c r="F17" s="47" t="s">
        <v>15</v>
      </c>
      <c r="G17" s="48"/>
      <c r="H17" s="49"/>
      <c r="I17" s="20">
        <v>0</v>
      </c>
      <c r="J17" s="1">
        <v>4.0000000000000001E-3</v>
      </c>
      <c r="K17" s="1">
        <v>4.0000000000000001E-3</v>
      </c>
      <c r="L17" s="1">
        <f t="shared" si="0"/>
        <v>0</v>
      </c>
      <c r="M17" s="1">
        <f t="shared" si="0"/>
        <v>0.02</v>
      </c>
      <c r="N17" s="3">
        <f t="shared" si="0"/>
        <v>0.02</v>
      </c>
    </row>
    <row r="18" spans="6:16" x14ac:dyDescent="0.25">
      <c r="F18" s="47" t="s">
        <v>16</v>
      </c>
      <c r="G18" s="48"/>
      <c r="H18" s="49"/>
      <c r="I18" s="20">
        <v>0</v>
      </c>
      <c r="J18" s="1">
        <f>2*0.0281</f>
        <v>5.62E-2</v>
      </c>
      <c r="K18" s="1">
        <f>8*0.0281</f>
        <v>0.2248</v>
      </c>
      <c r="L18" s="1">
        <f t="shared" si="0"/>
        <v>0</v>
      </c>
      <c r="M18" s="1">
        <f t="shared" si="0"/>
        <v>0.28100000000000003</v>
      </c>
      <c r="N18" s="3">
        <f t="shared" si="0"/>
        <v>1.1240000000000001</v>
      </c>
    </row>
    <row r="19" spans="6:16" x14ac:dyDescent="0.25">
      <c r="F19" s="47" t="s">
        <v>27</v>
      </c>
      <c r="G19" s="48"/>
      <c r="H19" s="49"/>
      <c r="I19" s="20">
        <v>0</v>
      </c>
      <c r="J19" s="1">
        <f>0.0000065</f>
        <v>6.4999999999999996E-6</v>
      </c>
      <c r="K19" s="1">
        <f>0.0000065</f>
        <v>6.4999999999999996E-6</v>
      </c>
      <c r="L19" s="1">
        <f t="shared" si="0"/>
        <v>0</v>
      </c>
      <c r="M19" s="1">
        <f t="shared" si="0"/>
        <v>3.2499999999999997E-5</v>
      </c>
      <c r="N19" s="3">
        <f t="shared" si="0"/>
        <v>3.2499999999999997E-5</v>
      </c>
    </row>
    <row r="20" spans="6:16" ht="15.75" thickBot="1" x14ac:dyDescent="0.3">
      <c r="F20" s="37" t="s">
        <v>26</v>
      </c>
      <c r="G20" s="38"/>
      <c r="H20" s="39"/>
      <c r="I20" s="26" t="s">
        <v>19</v>
      </c>
      <c r="J20" s="11" t="s">
        <v>19</v>
      </c>
      <c r="K20" s="11" t="s">
        <v>19</v>
      </c>
      <c r="L20" s="11">
        <v>0</v>
      </c>
      <c r="M20" s="11">
        <f>M32</f>
        <v>0.13439909999999999</v>
      </c>
      <c r="N20" s="12">
        <f>N32</f>
        <v>0.1356366</v>
      </c>
    </row>
    <row r="21" spans="6:16" ht="15.75" thickBot="1" x14ac:dyDescent="0.3">
      <c r="F21" s="31" t="s">
        <v>31</v>
      </c>
      <c r="G21" s="32"/>
      <c r="H21" s="33"/>
      <c r="I21" s="27">
        <f t="shared" ref="I21:N21" si="1">SUM(I15:I18)</f>
        <v>3.0000000000000001E-3</v>
      </c>
      <c r="J21" s="22">
        <f t="shared" si="1"/>
        <v>0.46220000000000006</v>
      </c>
      <c r="K21" s="22">
        <f t="shared" si="1"/>
        <v>1.1308</v>
      </c>
      <c r="L21" s="22">
        <f t="shared" si="1"/>
        <v>1.4999999999999999E-2</v>
      </c>
      <c r="M21" s="22">
        <f t="shared" si="1"/>
        <v>2.3109999999999999</v>
      </c>
      <c r="N21" s="23">
        <f t="shared" si="1"/>
        <v>5.6539999999999999</v>
      </c>
      <c r="O21" s="30"/>
      <c r="P21" s="25"/>
    </row>
    <row r="23" spans="6:16" ht="15.75" thickBot="1" x14ac:dyDescent="0.3"/>
    <row r="24" spans="6:16" x14ac:dyDescent="0.25">
      <c r="F24" s="40" t="s">
        <v>20</v>
      </c>
      <c r="G24" s="40" t="s">
        <v>11</v>
      </c>
      <c r="H24" s="42">
        <v>3.3</v>
      </c>
      <c r="I24" s="44" t="s">
        <v>1</v>
      </c>
      <c r="J24" s="45"/>
      <c r="K24" s="45"/>
      <c r="L24" s="45" t="s">
        <v>25</v>
      </c>
      <c r="M24" s="45"/>
      <c r="N24" s="46"/>
    </row>
    <row r="25" spans="6:16" ht="15.75" thickBot="1" x14ac:dyDescent="0.3">
      <c r="F25" s="41"/>
      <c r="G25" s="41"/>
      <c r="H25" s="43"/>
      <c r="I25" s="10" t="s">
        <v>8</v>
      </c>
      <c r="J25" s="11" t="s">
        <v>6</v>
      </c>
      <c r="K25" s="11" t="s">
        <v>7</v>
      </c>
      <c r="L25" s="11" t="s">
        <v>8</v>
      </c>
      <c r="M25" s="11" t="s">
        <v>6</v>
      </c>
      <c r="N25" s="12" t="s">
        <v>7</v>
      </c>
    </row>
    <row r="26" spans="6:16" x14ac:dyDescent="0.25">
      <c r="F26" s="34" t="s">
        <v>17</v>
      </c>
      <c r="G26" s="35"/>
      <c r="H26" s="36"/>
      <c r="I26" s="21">
        <v>0</v>
      </c>
      <c r="J26" s="24">
        <f>0.000635</f>
        <v>6.3500000000000004E-4</v>
      </c>
      <c r="K26" s="24">
        <f>0.00074</f>
        <v>7.3999999999999999E-4</v>
      </c>
      <c r="L26" s="18">
        <f>$H$13*I26</f>
        <v>0</v>
      </c>
      <c r="M26" s="18">
        <f t="shared" ref="M26:N31" si="2">$H$24*J26</f>
        <v>2.0955000000000001E-3</v>
      </c>
      <c r="N26" s="19">
        <f t="shared" si="2"/>
        <v>2.4419999999999997E-3</v>
      </c>
    </row>
    <row r="27" spans="6:16" x14ac:dyDescent="0.25">
      <c r="F27" s="47" t="s">
        <v>18</v>
      </c>
      <c r="G27" s="48"/>
      <c r="H27" s="49"/>
      <c r="I27" s="2">
        <v>0</v>
      </c>
      <c r="J27" s="16">
        <f>0.000002</f>
        <v>1.9999999999999999E-6</v>
      </c>
      <c r="K27" s="16">
        <f>0.000002</f>
        <v>1.9999999999999999E-6</v>
      </c>
      <c r="L27" s="1">
        <f>$H$13*I27</f>
        <v>0</v>
      </c>
      <c r="M27" s="1">
        <f t="shared" si="2"/>
        <v>6.5999999999999995E-6</v>
      </c>
      <c r="N27" s="3">
        <f t="shared" si="2"/>
        <v>6.5999999999999995E-6</v>
      </c>
    </row>
    <row r="28" spans="6:16" x14ac:dyDescent="0.25">
      <c r="F28" s="34" t="s">
        <v>21</v>
      </c>
      <c r="G28" s="35"/>
      <c r="H28" s="36"/>
      <c r="I28" s="7">
        <v>0</v>
      </c>
      <c r="J28" s="8">
        <f>0.02</f>
        <v>0.02</v>
      </c>
      <c r="K28" s="8">
        <f>0.02</f>
        <v>0.02</v>
      </c>
      <c r="L28" s="8">
        <f>$H$13*I28</f>
        <v>0</v>
      </c>
      <c r="M28" s="1">
        <f t="shared" si="2"/>
        <v>6.6000000000000003E-2</v>
      </c>
      <c r="N28" s="3">
        <f t="shared" si="2"/>
        <v>6.6000000000000003E-2</v>
      </c>
    </row>
    <row r="29" spans="6:16" x14ac:dyDescent="0.25">
      <c r="F29" s="37" t="s">
        <v>22</v>
      </c>
      <c r="G29" s="38"/>
      <c r="H29" s="39"/>
      <c r="I29" s="10">
        <v>0</v>
      </c>
      <c r="J29" s="11">
        <f>0.02</f>
        <v>0.02</v>
      </c>
      <c r="K29" s="11">
        <f>0.02</f>
        <v>0.02</v>
      </c>
      <c r="L29" s="11">
        <f>$H$13*I29</f>
        <v>0</v>
      </c>
      <c r="M29" s="1">
        <f t="shared" si="2"/>
        <v>6.6000000000000003E-2</v>
      </c>
      <c r="N29" s="3">
        <f t="shared" si="2"/>
        <v>6.6000000000000003E-2</v>
      </c>
    </row>
    <row r="30" spans="6:16" x14ac:dyDescent="0.25">
      <c r="F30" s="47" t="s">
        <v>23</v>
      </c>
      <c r="G30" s="48"/>
      <c r="H30" s="49"/>
      <c r="I30" s="2">
        <v>0</v>
      </c>
      <c r="J30" s="16">
        <f>0.00008</f>
        <v>8.0000000000000007E-5</v>
      </c>
      <c r="K30" s="16">
        <f>4*J30</f>
        <v>3.2000000000000003E-4</v>
      </c>
      <c r="L30" s="1">
        <f>$H$13*I30</f>
        <v>0</v>
      </c>
      <c r="M30" s="1">
        <f t="shared" si="2"/>
        <v>2.6400000000000002E-4</v>
      </c>
      <c r="N30" s="3">
        <f t="shared" si="2"/>
        <v>1.0560000000000001E-3</v>
      </c>
    </row>
    <row r="31" spans="6:16" ht="15.75" thickBot="1" x14ac:dyDescent="0.3">
      <c r="F31" s="37" t="s">
        <v>24</v>
      </c>
      <c r="G31" s="38"/>
      <c r="H31" s="39"/>
      <c r="I31" s="10">
        <v>0</v>
      </c>
      <c r="J31" s="28">
        <f>0.00001</f>
        <v>1.0000000000000001E-5</v>
      </c>
      <c r="K31" s="28">
        <f>4*0.00001</f>
        <v>4.0000000000000003E-5</v>
      </c>
      <c r="L31" s="11">
        <f>$H$13*I31</f>
        <v>0</v>
      </c>
      <c r="M31" s="11">
        <f t="shared" si="2"/>
        <v>3.3000000000000003E-5</v>
      </c>
      <c r="N31" s="12">
        <f t="shared" si="2"/>
        <v>1.3200000000000001E-4</v>
      </c>
    </row>
    <row r="32" spans="6:16" ht="15.75" thickBot="1" x14ac:dyDescent="0.3">
      <c r="F32" s="31" t="s">
        <v>30</v>
      </c>
      <c r="G32" s="32"/>
      <c r="H32" s="33"/>
      <c r="I32" s="27">
        <f t="shared" ref="I32:N32" si="3">SUM(I26:I31)</f>
        <v>0</v>
      </c>
      <c r="J32" s="29">
        <f t="shared" si="3"/>
        <v>4.0726999999999999E-2</v>
      </c>
      <c r="K32" s="29">
        <f t="shared" si="3"/>
        <v>4.1102E-2</v>
      </c>
      <c r="L32" s="22">
        <f t="shared" si="3"/>
        <v>0</v>
      </c>
      <c r="M32" s="22">
        <f t="shared" si="3"/>
        <v>0.13439909999999999</v>
      </c>
      <c r="N32" s="23">
        <f t="shared" si="3"/>
        <v>0.1356366</v>
      </c>
      <c r="O32" s="30"/>
      <c r="P32" s="25"/>
    </row>
    <row r="33" spans="6:14" x14ac:dyDescent="0.25">
      <c r="F33" s="13"/>
      <c r="G33" s="13"/>
      <c r="H33" s="13"/>
      <c r="I33" s="15"/>
      <c r="J33" s="15"/>
      <c r="K33" s="15"/>
      <c r="L33" s="15"/>
      <c r="M33" s="15"/>
      <c r="N33" s="15"/>
    </row>
  </sheetData>
  <mergeCells count="32">
    <mergeCell ref="L6:N6"/>
    <mergeCell ref="F6:F7"/>
    <mergeCell ref="G6:G7"/>
    <mergeCell ref="H6:H7"/>
    <mergeCell ref="F28:H28"/>
    <mergeCell ref="F15:H15"/>
    <mergeCell ref="F8:H8"/>
    <mergeCell ref="F9:H9"/>
    <mergeCell ref="F10:H10"/>
    <mergeCell ref="I6:K6"/>
    <mergeCell ref="F13:F14"/>
    <mergeCell ref="G13:G14"/>
    <mergeCell ref="H13:H14"/>
    <mergeCell ref="I13:K13"/>
    <mergeCell ref="L13:N13"/>
    <mergeCell ref="F26:H26"/>
    <mergeCell ref="F16:H16"/>
    <mergeCell ref="F21:H21"/>
    <mergeCell ref="F17:H17"/>
    <mergeCell ref="F18:H18"/>
    <mergeCell ref="F19:H19"/>
    <mergeCell ref="F20:H20"/>
    <mergeCell ref="F24:F25"/>
    <mergeCell ref="G24:G25"/>
    <mergeCell ref="H24:H25"/>
    <mergeCell ref="I24:K24"/>
    <mergeCell ref="L24:N24"/>
    <mergeCell ref="F27:H27"/>
    <mergeCell ref="F30:H30"/>
    <mergeCell ref="F31:H31"/>
    <mergeCell ref="F29:H29"/>
    <mergeCell ref="F32:H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Mendes</dc:creator>
  <cp:lastModifiedBy>Léo Mendes</cp:lastModifiedBy>
  <dcterms:created xsi:type="dcterms:W3CDTF">2025-08-27T08:51:14Z</dcterms:created>
  <dcterms:modified xsi:type="dcterms:W3CDTF">2025-08-28T11:44:27Z</dcterms:modified>
</cp:coreProperties>
</file>