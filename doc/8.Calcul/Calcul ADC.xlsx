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"/>
    </mc:Choice>
  </mc:AlternateContent>
  <xr:revisionPtr revIDLastSave="1051" documentId="8_{EB378B1F-4AD4-45B2-A3E5-B2D383129B0F}" xr6:coauthVersionLast="47" xr6:coauthVersionMax="47" xr10:uidLastSave="{C4B4DEB0-9BFA-4265-A134-13D22323D9E7}"/>
  <bookViews>
    <workbookView xWindow="25800" yWindow="0" windowWidth="25800" windowHeight="21600" xr2:uid="{C7CBEF2D-FEC4-4B4A-9AFE-A1A2A210ABB8}"/>
  </bookViews>
  <sheets>
    <sheet name="Feuil1" sheetId="1" r:id="rId1"/>
    <sheet name="Feuil3" sheetId="3" r:id="rId2"/>
    <sheet name="Feuil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8" i="2" l="1"/>
  <c r="D38" i="2" s="1"/>
  <c r="B35" i="2"/>
  <c r="D35" i="2" s="1"/>
  <c r="C34" i="2"/>
  <c r="E34" i="2" s="1"/>
  <c r="B34" i="2"/>
  <c r="D34" i="2" s="1"/>
  <c r="C30" i="2"/>
  <c r="E30" i="2" s="1"/>
  <c r="B30" i="2"/>
  <c r="D30" i="2" s="1"/>
  <c r="C29" i="2"/>
  <c r="E29" i="2" s="1"/>
  <c r="B24" i="2"/>
  <c r="B23" i="2"/>
  <c r="B22" i="2"/>
  <c r="B21" i="2"/>
  <c r="B20" i="2"/>
  <c r="B19" i="2"/>
  <c r="B18" i="2"/>
  <c r="B17" i="2"/>
  <c r="B16" i="2"/>
  <c r="B15" i="2"/>
  <c r="P11" i="2"/>
  <c r="Q11" i="2" s="1"/>
  <c r="R11" i="2" s="1"/>
  <c r="M11" i="2"/>
  <c r="L11" i="2"/>
  <c r="N11" i="2" s="1"/>
  <c r="O11" i="2" s="1"/>
  <c r="K11" i="2"/>
  <c r="C38" i="2" s="1"/>
  <c r="E38" i="2" s="1"/>
  <c r="J11" i="2"/>
  <c r="F11" i="2"/>
  <c r="K10" i="2"/>
  <c r="C37" i="2" s="1"/>
  <c r="E37" i="2" s="1"/>
  <c r="J10" i="2"/>
  <c r="B37" i="2" s="1"/>
  <c r="D37" i="2" s="1"/>
  <c r="F10" i="2"/>
  <c r="M10" i="2" s="1"/>
  <c r="K9" i="2"/>
  <c r="P9" i="2" s="1"/>
  <c r="J9" i="2"/>
  <c r="B36" i="2" s="1"/>
  <c r="D36" i="2" s="1"/>
  <c r="F9" i="2"/>
  <c r="M9" i="2" s="1"/>
  <c r="M8" i="2"/>
  <c r="L8" i="2"/>
  <c r="N8" i="2" s="1"/>
  <c r="O8" i="2" s="1"/>
  <c r="K8" i="2"/>
  <c r="C35" i="2" s="1"/>
  <c r="E35" i="2" s="1"/>
  <c r="J8" i="2"/>
  <c r="F8" i="2"/>
  <c r="K7" i="2"/>
  <c r="P7" i="2" s="1"/>
  <c r="J7" i="2"/>
  <c r="F7" i="2"/>
  <c r="M7" i="2" s="1"/>
  <c r="K6" i="2"/>
  <c r="P6" i="2" s="1"/>
  <c r="J6" i="2"/>
  <c r="B33" i="2" s="1"/>
  <c r="D33" i="2" s="1"/>
  <c r="F6" i="2"/>
  <c r="M6" i="2" s="1"/>
  <c r="M5" i="2"/>
  <c r="L5" i="2"/>
  <c r="N5" i="2" s="1"/>
  <c r="O5" i="2" s="1"/>
  <c r="K5" i="2"/>
  <c r="P5" i="2" s="1"/>
  <c r="Q5" i="2" s="1"/>
  <c r="R5" i="2" s="1"/>
  <c r="J5" i="2"/>
  <c r="B32" i="2" s="1"/>
  <c r="D32" i="2" s="1"/>
  <c r="F5" i="2"/>
  <c r="K4" i="2"/>
  <c r="P4" i="2" s="1"/>
  <c r="J4" i="2"/>
  <c r="B31" i="2" s="1"/>
  <c r="D31" i="2" s="1"/>
  <c r="F4" i="2"/>
  <c r="M4" i="2" s="1"/>
  <c r="P3" i="2"/>
  <c r="Q3" i="2" s="1"/>
  <c r="R3" i="2" s="1"/>
  <c r="L3" i="2"/>
  <c r="N3" i="2" s="1"/>
  <c r="O3" i="2" s="1"/>
  <c r="K3" i="2"/>
  <c r="J3" i="2"/>
  <c r="F3" i="2"/>
  <c r="M3" i="2" s="1"/>
  <c r="K2" i="2"/>
  <c r="P2" i="2" s="1"/>
  <c r="Q2" i="2" s="1"/>
  <c r="J2" i="2"/>
  <c r="B29" i="2" s="1"/>
  <c r="D29" i="2" s="1"/>
  <c r="F2" i="2"/>
  <c r="L2" i="2" s="1"/>
  <c r="N2" i="2" s="1"/>
  <c r="O2" i="2" s="1"/>
  <c r="J6" i="1"/>
  <c r="F4" i="1"/>
  <c r="L4" i="1" s="1"/>
  <c r="N4" i="1" s="1"/>
  <c r="O4" i="1" s="1"/>
  <c r="F5" i="1"/>
  <c r="L5" i="1" s="1"/>
  <c r="N5" i="1" s="1"/>
  <c r="O5" i="1" s="1"/>
  <c r="F6" i="1"/>
  <c r="L6" i="1" s="1"/>
  <c r="N6" i="1" s="1"/>
  <c r="O6" i="1" s="1"/>
  <c r="F7" i="1"/>
  <c r="L7" i="1" s="1"/>
  <c r="N7" i="1" s="1"/>
  <c r="O7" i="1" s="1"/>
  <c r="F8" i="1"/>
  <c r="L8" i="1" s="1"/>
  <c r="N8" i="1" s="1"/>
  <c r="O8" i="1" s="1"/>
  <c r="F9" i="1"/>
  <c r="L9" i="1" s="1"/>
  <c r="N9" i="1" s="1"/>
  <c r="O9" i="1" s="1"/>
  <c r="F10" i="1"/>
  <c r="L10" i="1" s="1"/>
  <c r="N10" i="1" s="1"/>
  <c r="O10" i="1" s="1"/>
  <c r="F11" i="1"/>
  <c r="L11" i="1" s="1"/>
  <c r="N11" i="1" s="1"/>
  <c r="O11" i="1" s="1"/>
  <c r="F12" i="1"/>
  <c r="L12" i="1" s="1"/>
  <c r="N12" i="1" s="1"/>
  <c r="O12" i="1" s="1"/>
  <c r="F13" i="1"/>
  <c r="L13" i="1" s="1"/>
  <c r="N13" i="1" s="1"/>
  <c r="O13" i="1" s="1"/>
  <c r="U11" i="2" l="1"/>
  <c r="T11" i="2" s="1"/>
  <c r="S11" i="2"/>
  <c r="R2" i="2"/>
  <c r="Q6" i="2"/>
  <c r="R6" i="2" s="1"/>
  <c r="U3" i="2"/>
  <c r="T3" i="2" s="1"/>
  <c r="S3" i="2"/>
  <c r="Q9" i="2"/>
  <c r="R9" i="2" s="1"/>
  <c r="U5" i="2"/>
  <c r="T5" i="2" s="1"/>
  <c r="S5" i="2"/>
  <c r="P8" i="2"/>
  <c r="Q8" i="2" s="1"/>
  <c r="R8" i="2" s="1"/>
  <c r="L10" i="2"/>
  <c r="N10" i="2" s="1"/>
  <c r="O10" i="2" s="1"/>
  <c r="L7" i="2"/>
  <c r="N7" i="2" s="1"/>
  <c r="O7" i="2" s="1"/>
  <c r="L4" i="2"/>
  <c r="N4" i="2" s="1"/>
  <c r="O4" i="2" s="1"/>
  <c r="C31" i="2"/>
  <c r="E31" i="2" s="1"/>
  <c r="C36" i="2"/>
  <c r="E36" i="2" s="1"/>
  <c r="M2" i="2"/>
  <c r="P10" i="2"/>
  <c r="Q10" i="2" s="1"/>
  <c r="R10" i="2" s="1"/>
  <c r="C32" i="2"/>
  <c r="E32" i="2" s="1"/>
  <c r="L9" i="2"/>
  <c r="N9" i="2" s="1"/>
  <c r="O9" i="2" s="1"/>
  <c r="L6" i="2"/>
  <c r="N6" i="2" s="1"/>
  <c r="O6" i="2" s="1"/>
  <c r="C33" i="2"/>
  <c r="E33" i="2" s="1"/>
  <c r="M13" i="1"/>
  <c r="M12" i="1"/>
  <c r="M5" i="1"/>
  <c r="M11" i="1"/>
  <c r="M10" i="1"/>
  <c r="M9" i="1"/>
  <c r="M8" i="1"/>
  <c r="M7" i="1"/>
  <c r="M6" i="1"/>
  <c r="M4" i="1"/>
  <c r="B18" i="1"/>
  <c r="B19" i="1"/>
  <c r="B20" i="1"/>
  <c r="B21" i="1"/>
  <c r="B22" i="1"/>
  <c r="B23" i="1"/>
  <c r="B24" i="1"/>
  <c r="B25" i="1"/>
  <c r="B26" i="1"/>
  <c r="B17" i="1"/>
  <c r="J4" i="1"/>
  <c r="B31" i="1" s="1"/>
  <c r="K4" i="1"/>
  <c r="K5" i="1"/>
  <c r="K6" i="1"/>
  <c r="K7" i="1"/>
  <c r="K8" i="1"/>
  <c r="K9" i="1"/>
  <c r="K10" i="1"/>
  <c r="K11" i="1"/>
  <c r="K12" i="1"/>
  <c r="K13" i="1"/>
  <c r="J5" i="1"/>
  <c r="J7" i="1"/>
  <c r="J8" i="1"/>
  <c r="J9" i="1"/>
  <c r="J10" i="1"/>
  <c r="J11" i="1"/>
  <c r="J12" i="1"/>
  <c r="J13" i="1"/>
  <c r="U10" i="2" l="1"/>
  <c r="T10" i="2" s="1"/>
  <c r="S10" i="2"/>
  <c r="Q4" i="2"/>
  <c r="R4" i="2" s="1"/>
  <c r="U6" i="2"/>
  <c r="T6" i="2" s="1"/>
  <c r="S6" i="2"/>
  <c r="U9" i="2"/>
  <c r="T9" i="2" s="1"/>
  <c r="S9" i="2"/>
  <c r="S2" i="2"/>
  <c r="U2" i="2"/>
  <c r="T2" i="2" s="1"/>
  <c r="Q7" i="2"/>
  <c r="R7" i="2" s="1"/>
  <c r="U8" i="2"/>
  <c r="T8" i="2" s="1"/>
  <c r="S8" i="2"/>
  <c r="P13" i="1"/>
  <c r="Q13" i="1" s="1"/>
  <c r="R13" i="1" s="1"/>
  <c r="P6" i="1"/>
  <c r="Q6" i="1" s="1"/>
  <c r="R6" i="1" s="1"/>
  <c r="P7" i="1"/>
  <c r="Q7" i="1" s="1"/>
  <c r="R7" i="1" s="1"/>
  <c r="P12" i="1"/>
  <c r="Q12" i="1" s="1"/>
  <c r="R12" i="1" s="1"/>
  <c r="P4" i="1"/>
  <c r="Q4" i="1" s="1"/>
  <c r="R4" i="1" s="1"/>
  <c r="U4" i="1" s="1"/>
  <c r="T4" i="1" s="1"/>
  <c r="P11" i="1"/>
  <c r="Q11" i="1" s="1"/>
  <c r="R11" i="1" s="1"/>
  <c r="P5" i="1"/>
  <c r="Q5" i="1" s="1"/>
  <c r="R5" i="1" s="1"/>
  <c r="P9" i="1"/>
  <c r="Q9" i="1" s="1"/>
  <c r="R9" i="1" s="1"/>
  <c r="P10" i="1"/>
  <c r="Q10" i="1" s="1"/>
  <c r="R10" i="1" s="1"/>
  <c r="P8" i="1"/>
  <c r="Q8" i="1" s="1"/>
  <c r="R8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31" i="1"/>
  <c r="E31" i="1" s="1"/>
  <c r="B37" i="1"/>
  <c r="S4" i="2" l="1"/>
  <c r="U4" i="2"/>
  <c r="T4" i="2" s="1"/>
  <c r="U7" i="2"/>
  <c r="T7" i="2" s="1"/>
  <c r="S7" i="2"/>
  <c r="B40" i="1"/>
  <c r="D40" i="1" s="1"/>
  <c r="B39" i="1"/>
  <c r="D39" i="1" s="1"/>
  <c r="B36" i="1"/>
  <c r="D36" i="1" s="1"/>
  <c r="B32" i="1"/>
  <c r="D32" i="1" s="1"/>
  <c r="B34" i="1"/>
  <c r="D34" i="1" s="1"/>
  <c r="D31" i="1"/>
  <c r="B38" i="1"/>
  <c r="D38" i="1" s="1"/>
  <c r="B35" i="1"/>
  <c r="D35" i="1" s="1"/>
  <c r="B33" i="1"/>
  <c r="D33" i="1" s="1"/>
  <c r="D37" i="1"/>
  <c r="S7" i="1" l="1"/>
  <c r="S5" i="1"/>
  <c r="S12" i="1"/>
  <c r="S6" i="1"/>
  <c r="S11" i="1"/>
  <c r="S13" i="1"/>
  <c r="S8" i="1"/>
  <c r="S10" i="1"/>
  <c r="S9" i="1" l="1"/>
  <c r="U9" i="1"/>
  <c r="T9" i="1" s="1"/>
  <c r="U13" i="1"/>
  <c r="T13" i="1" s="1"/>
  <c r="U12" i="1"/>
  <c r="T12" i="1" s="1"/>
  <c r="U11" i="1"/>
  <c r="T11" i="1" s="1"/>
  <c r="U10" i="1"/>
  <c r="T10" i="1" s="1"/>
  <c r="U8" i="1"/>
  <c r="T8" i="1" s="1"/>
  <c r="U7" i="1"/>
  <c r="T7" i="1" s="1"/>
  <c r="U6" i="1"/>
  <c r="T6" i="1" s="1"/>
  <c r="U5" i="1"/>
  <c r="T5" i="1" s="1"/>
  <c r="S4" i="1"/>
</calcChain>
</file>

<file path=xl/sharedStrings.xml><?xml version="1.0" encoding="utf-8"?>
<sst xmlns="http://schemas.openxmlformats.org/spreadsheetml/2006/main" count="166" uniqueCount="62">
  <si>
    <t>De Dietrich AF60</t>
  </si>
  <si>
    <t>Siemens QAC32</t>
  </si>
  <si>
    <t>PT1000</t>
  </si>
  <si>
    <t>Ni1000 TK5000</t>
  </si>
  <si>
    <t>Ni1000 TK6180</t>
  </si>
  <si>
    <t>NTC 1k 3528</t>
  </si>
  <si>
    <t>KTY81-210</t>
  </si>
  <si>
    <t>NTC 2k 3390</t>
  </si>
  <si>
    <t>NTC 2.2K 3528</t>
  </si>
  <si>
    <t>NTC 10K 3977</t>
  </si>
  <si>
    <t>R à -15[°C]</t>
  </si>
  <si>
    <t>IDAC[uA]</t>
  </si>
  <si>
    <t>Gain</t>
  </si>
  <si>
    <t>Utilisation de la plage ADC [%]</t>
  </si>
  <si>
    <t>Colonne2</t>
  </si>
  <si>
    <t>Colonne3</t>
  </si>
  <si>
    <r>
      <t>Nom Son</t>
    </r>
    <r>
      <rPr>
        <sz val="12"/>
        <color theme="1"/>
        <rFont val="Calibri"/>
        <family val="2"/>
        <scheme val="minor"/>
      </rPr>
      <t>de</t>
    </r>
  </si>
  <si>
    <t>R à +40[°C]</t>
  </si>
  <si>
    <t>Déviation min en [°C]/mW</t>
  </si>
  <si>
    <t>Déviation max en [°C]/mW2</t>
  </si>
  <si>
    <t>P @ Tmin mesurée</t>
  </si>
  <si>
    <t>P @ Tmax mesurée2</t>
  </si>
  <si>
    <t>FS_ADC</t>
  </si>
  <si>
    <t>IDAC[A]</t>
  </si>
  <si>
    <t>V @ Tmin mesurée [V]</t>
  </si>
  <si>
    <t>V @ Tmax mesurée [V]</t>
  </si>
  <si>
    <t>Vref [V]</t>
  </si>
  <si>
    <t>Vnode max [V]</t>
  </si>
  <si>
    <t>DV[V]</t>
  </si>
  <si>
    <t>Dvout[V]</t>
  </si>
  <si>
    <t>Amplitude numérique[V]</t>
  </si>
  <si>
    <t>Résolution réelle en [°C]</t>
  </si>
  <si>
    <t>Taux de variation numérique par [°C]</t>
  </si>
  <si>
    <t>Rref [Ω]</t>
  </si>
  <si>
    <t>DT[°C]</t>
  </si>
  <si>
    <t>NADC[bit]</t>
  </si>
  <si>
    <t>Vref cible[V]</t>
  </si>
  <si>
    <t>tension de référence 
appliquée à l’ADC (ratiométrique)</t>
  </si>
  <si>
    <t>0 &lt; Vref ≤ 2.5 V</t>
  </si>
  <si>
    <t>tension maximale au nœud d’injection IDAC 
(sommet sonde→Rref) au pire Rsonde</t>
  </si>
  <si>
    <t>demi-pleine échelle vue 
par le modulateur après PGA.</t>
  </si>
  <si>
    <t>FS_ADC &gt; 0</t>
  </si>
  <si>
    <t>Vnode max ≤ Avdd -0.4 = 2.9</t>
  </si>
  <si>
    <r>
      <t>Nom Son</t>
    </r>
    <r>
      <rPr>
        <sz val="12"/>
        <color theme="0"/>
        <rFont val="Calibri"/>
        <family val="2"/>
        <scheme val="minor"/>
      </rPr>
      <t>de</t>
    </r>
  </si>
  <si>
    <t>≤ FS_ADC</t>
  </si>
  <si>
    <t>amplitude de variation de tension
 sur l’intervalle considéré.</t>
  </si>
  <si>
    <t>0 ≤ DV ≤ 2 × FS_ADC</t>
  </si>
  <si>
    <t>FS ADC * 2</t>
  </si>
  <si>
    <t>DV normalisée 
à la demi-échelle</t>
  </si>
  <si>
    <t>nombre de codes réellement 
parcourus par l’amplitude DV.</t>
  </si>
  <si>
    <t>&lt;NDAC</t>
  </si>
  <si>
    <t>% de la pleine échelle numérique utilisé par DV.</t>
  </si>
  <si>
    <t>&lt;100[%] - recherché 60-95[%]</t>
  </si>
  <si>
    <t>codes ADC par °C 
(sensibilité numérique).</t>
  </si>
  <si>
    <t>taille d’un pas (°C par code) sur l’intervalle, théorique (sans bruit).</t>
  </si>
  <si>
    <t>&gt;0.5</t>
  </si>
  <si>
    <t>viser &gt; 80 000 codes/°C</t>
  </si>
  <si>
    <t>tension de 
la sonde à −15 °C</t>
  </si>
  <si>
    <t>tension de 
la sonde à +40 °C</t>
  </si>
  <si>
    <t>Description</t>
  </si>
  <si>
    <t>Limites</t>
  </si>
  <si>
    <t>Nom Sonde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</si>
</sst>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1">
    <cellStyle name="Normal" xfId="0" builtinId="0"/>
  </cellStyles>
  <dxfs count="2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EACBA-B697-45AD-B598-7BFF85B99439}" name="Tableau1" displayName="Tableau1" ref="A3:U13" totalsRowShown="0" headerRowDxfId="200" dataDxfId="199">
  <autoFilter ref="A3:U13" xr:uid="{91D3FC81-9045-4072-B8E1-4915BB818F21}"/>
  <tableColumns count="21">
    <tableColumn id="1" xr3:uid="{78FAAED5-1074-4F7B-A23B-D9EC5620BEF4}" name="Nom Sonde" dataDxfId="198"/>
    <tableColumn id="2" xr3:uid="{001E4DC4-73D9-4E79-94D5-0F698ECB6197}" name="R à -15[°C]" dataDxfId="197"/>
    <tableColumn id="3" xr3:uid="{48DF81B5-56DE-463D-83E7-A17EB617C320}" name="R à +40[°C]" dataDxfId="196"/>
    <tableColumn id="18" xr3:uid="{0B5D43DC-C3A4-4AE2-AD6A-E31FE2CBE14D}" name="Rref [Ω]" dataDxfId="195"/>
    <tableColumn id="4" xr3:uid="{3EB0C67F-5EDC-4083-8D79-5662AEAF686E}" name="IDAC[uA]" dataDxfId="194"/>
    <tableColumn id="6" xr3:uid="{C8EDF5C4-B029-4D7A-8116-CF3CAFAC1935}" name="IDAC[A]" dataDxfId="193">
      <calculatedColumnFormula>Tableau1[[#This Row],[IDAC'[uA']]]*0.000001</calculatedColumnFormula>
    </tableColumn>
    <tableColumn id="7" xr3:uid="{DB91F6E2-5DD5-4FB1-9B54-ED9369CA0DF5}" name="Colonne2" dataDxfId="192"/>
    <tableColumn id="8" xr3:uid="{0539B10E-F0FD-4B3E-9CB1-289C9074BA0F}" name="Colonne3" dataDxfId="191"/>
    <tableColumn id="5" xr3:uid="{590AD5B4-2EF7-4CF6-9782-7E7D354AECAD}" name="Gain" dataDxfId="190"/>
    <tableColumn id="9" xr3:uid="{B4AB9489-2723-4938-BB44-C2C28617A0EA}" name="V @ Tmin mesurée [V]" dataDxfId="189">
      <calculatedColumnFormula>E4*10^-6*Tableau1[[#This Row],[R à -15'[°C']]]</calculatedColumnFormula>
    </tableColumn>
    <tableColumn id="10" xr3:uid="{56F5E7DF-4DE7-4AE6-8041-00322518C317}" name="V @ Tmax mesurée [V]" dataDxfId="188">
      <calculatedColumnFormula>E4*10^-6*Tableau1[[#This Row],[R à +40'[°C']]]</calculatedColumnFormula>
    </tableColumn>
    <tableColumn id="22" xr3:uid="{8F654D58-BF14-4572-AB88-5FAD5300954A}" name="Vref [V]" dataDxfId="187">
      <calculatedColumnFormula>Tableau1[[#This Row],[Rref '[Ω']]]*Tableau1[[#This Row],[IDAC'[A']]]</calculatedColumnFormula>
    </tableColumn>
    <tableColumn id="25" xr3:uid="{A00B6F14-FE43-4D83-8C2E-918B05758BA9}" name="Vnode max [V]" dataDxfId="186">
      <calculatedColumnFormula>Tableau1[[#This Row],[IDAC'[A']]]*(Tableau1[[#This Row],[Rref '[Ω']]]+MAX(Tableau1[[#This Row],[R à -15'[°C']]],Tableau1[[#This Row],[R à +40'[°C']]]))</calculatedColumnFormula>
    </tableColumn>
    <tableColumn id="23" xr3:uid="{CB496117-9280-4680-BCDB-C3DC78A10892}" name="FS_ADC" dataDxfId="185">
      <calculatedColumnFormula>Tableau1[[#This Row],[Vref '[V']]]/Tableau1[[#This Row],[Gain]]</calculatedColumnFormula>
    </tableColumn>
    <tableColumn id="27" xr3:uid="{3631729A-6A8C-4F9B-A169-E64BC3D574F6}" name="FS ADC * 2" dataDxfId="184">
      <calculatedColumnFormula>Tableau1[[#This Row],[FS_ADC]]*2</calculatedColumnFormula>
    </tableColumn>
    <tableColumn id="11" xr3:uid="{3B342486-7B29-488C-B26A-AAA26556E2F2}" name="DV[V]" dataDxfId="183">
      <calculatedColumnFormula>ABS(Tableau1[[#This Row],[V @ Tmax mesurée '[V']]]-Tableau1[[#This Row],[V @ Tmin mesurée '[V']]])</calculatedColumnFormula>
    </tableColumn>
    <tableColumn id="12" xr3:uid="{BF0F981E-C1EC-4EE3-8CCA-C2F367034044}" name="Dvout[V]" dataDxfId="182">
      <calculatedColumnFormula>Tableau1[[#This Row],[DV'[V']]]/(Tableau1[[#This Row],[Vref '[V']]]/Tableau1[[#This Row],[Gain]])</calculatedColumnFormula>
    </tableColumn>
    <tableColumn id="14" xr3:uid="{C065171C-54EE-41DC-8423-E2C3F85EB3C0}" name="Amplitude numérique[V]" dataDxfId="181">
      <calculatedColumnFormula>(Tableau1[[#This Row],[Dvout'[V']]]/2)*B17</calculatedColumnFormula>
    </tableColumn>
    <tableColumn id="16" xr3:uid="{0D288CDD-5C43-4D92-9433-089CF353390E}" name="Utilisation de la plage ADC [%]" dataDxfId="180">
      <calculatedColumnFormula>(R4/B17)*100</calculatedColumnFormula>
    </tableColumn>
    <tableColumn id="17" xr3:uid="{8DC26F04-8521-4B3B-BF80-56D405E7CEFC}" name="Résolution réelle en [°C]" dataDxfId="179">
      <calculatedColumnFormula>1/Tableau1[[#This Row],[Taux de variation numérique par '[°C']]]</calculatedColumnFormula>
    </tableColumn>
    <tableColumn id="15" xr3:uid="{D8E86357-3BC7-4395-9DAA-C03BC52411A4}" name="Taux de variation numérique par [°C]" dataDxfId="178">
      <calculatedColumnFormula>R4/A17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F4625C-92C7-4BDA-BF7A-660402901249}" name="Tableau3" displayName="Tableau3" ref="A16:C26" totalsRowShown="0" headerRowDxfId="177">
  <autoFilter ref="A16:C26" xr:uid="{9F1550E6-29D4-4AE1-9CB6-8AC8ED68010B}"/>
  <tableColumns count="3">
    <tableColumn id="2" xr3:uid="{9C5267E3-3DD7-4AED-A65E-33D10DAA37D7}" name="DT[°C]" dataDxfId="176"/>
    <tableColumn id="3" xr3:uid="{23865E73-2B78-4E70-9253-F8BDC4390BBE}" name="NADC[bit]" dataDxfId="175">
      <calculatedColumnFormula>2^23</calculatedColumnFormula>
    </tableColumn>
    <tableColumn id="4" xr3:uid="{E4EC39EB-7C82-4C60-BEC5-B153BC4E2D2C}" name="Vref cible[V]" dataDxfId="17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F9ACAB-2E96-4CDE-BC0F-472EF8CF40CA}" name="Tableau15" displayName="Tableau15" ref="A1:U11" totalsRowShown="0" headerRowDxfId="94" dataDxfId="93">
  <autoFilter ref="A1:U11" xr:uid="{CCF9ACAB-2E96-4CDE-BC0F-472EF8CF40CA}"/>
  <tableColumns count="21">
    <tableColumn id="1" xr3:uid="{ED3933F1-89BC-461C-B02C-EEB5CC1FA37D}" name="Nom Sonde" dataDxfId="92"/>
    <tableColumn id="2" xr3:uid="{2DE9D8BC-56D4-436D-9A45-8E3992DD4A59}" name="R à -15[°C]" dataDxfId="91"/>
    <tableColumn id="3" xr3:uid="{D07091C7-105C-4664-8A8F-F68197B959B8}" name="R à +40[°C]" dataDxfId="90"/>
    <tableColumn id="18" xr3:uid="{5C98EBD0-D72A-46CC-899D-B1A3190C2D95}" name="Rref [Ω]" dataDxfId="89"/>
    <tableColumn id="4" xr3:uid="{120AD69F-C304-4169-A979-FE63AA462930}" name="IDAC[uA]" dataDxfId="88"/>
    <tableColumn id="6" xr3:uid="{BA3CA075-394F-44C5-9FA5-6D15B7B9B862}" name="IDAC[A]" dataDxfId="87">
      <calculatedColumnFormula>Tableau15[[#This Row],[IDAC'[uA']]]*0.000001</calculatedColumnFormula>
    </tableColumn>
    <tableColumn id="7" xr3:uid="{8C106AD9-FC3F-4522-9CA8-DCE1BEACADE1}" name="Colonne2" dataDxfId="86"/>
    <tableColumn id="8" xr3:uid="{F4F5E045-FBFD-4E27-A97F-7DB7E42C3BD0}" name="Colonne3" dataDxfId="85"/>
    <tableColumn id="5" xr3:uid="{B2746B1D-ADB7-432D-B758-70253B883A5A}" name="Gain" dataDxfId="84"/>
    <tableColumn id="9" xr3:uid="{20955876-52FF-448E-AA3C-670CA0DEF223}" name="V @ Tmin mesurée [V]" dataDxfId="83">
      <calculatedColumnFormula>E2*10^-6*Tableau15[[#This Row],[R à -15'[°C']]]</calculatedColumnFormula>
    </tableColumn>
    <tableColumn id="10" xr3:uid="{CEBC8CA2-EFF9-4DC0-8149-C9692006BBBF}" name="V @ Tmax mesurée [V]" dataDxfId="82">
      <calculatedColumnFormula>E2*10^-6*Tableau15[[#This Row],[R à +40'[°C']]]</calculatedColumnFormula>
    </tableColumn>
    <tableColumn id="22" xr3:uid="{417F1D81-0925-43F5-A67F-970E972AAB7F}" name="Vref [V]" dataDxfId="81">
      <calculatedColumnFormula>Tableau15[[#This Row],[Rref '[Ω']]]*Tableau15[[#This Row],[IDAC'[A']]]</calculatedColumnFormula>
    </tableColumn>
    <tableColumn id="25" xr3:uid="{638315F3-27A1-424A-9207-DE0845E41D01}" name="Vnode max [V]" dataDxfId="80">
      <calculatedColumnFormula>Tableau15[[#This Row],[IDAC'[A']]]*(Tableau15[[#This Row],[Rref '[Ω']]]+MAX(Tableau15[[#This Row],[R à -15'[°C']]],Tableau15[[#This Row],[R à +40'[°C']]]))</calculatedColumnFormula>
    </tableColumn>
    <tableColumn id="23" xr3:uid="{D54CD802-20D4-4057-81FE-574388F15402}" name="FS_ADC" dataDxfId="79">
      <calculatedColumnFormula>Tableau15[[#This Row],[Vref '[V']]]/Tableau15[[#This Row],[Gain]]</calculatedColumnFormula>
    </tableColumn>
    <tableColumn id="27" xr3:uid="{D9939EB3-A5D5-4B84-9676-503324BF69DA}" name="FS ADC * 2" dataDxfId="78">
      <calculatedColumnFormula>Tableau15[[#This Row],[FS_ADC]]*2</calculatedColumnFormula>
    </tableColumn>
    <tableColumn id="11" xr3:uid="{8B9F7A17-1BDE-4FD2-95B6-4A6DA079E381}" name="DV[V]" dataDxfId="77">
      <calculatedColumnFormula>ABS(Tableau15[[#This Row],[V @ Tmax mesurée '[V']]]-Tableau15[[#This Row],[V @ Tmin mesurée '[V']]])</calculatedColumnFormula>
    </tableColumn>
    <tableColumn id="12" xr3:uid="{800B9428-7E41-46C1-B3E4-3DAD5AD76FD1}" name="Dvout[V]" dataDxfId="76">
      <calculatedColumnFormula>Tableau15[[#This Row],[DV'[V']]]/(Tableau15[[#This Row],[Vref '[V']]]/Tableau15[[#This Row],[Gain]])</calculatedColumnFormula>
    </tableColumn>
    <tableColumn id="14" xr3:uid="{93370F0D-3C74-457D-8C77-5644348686EC}" name="Amplitude numérique[V]" dataDxfId="75">
      <calculatedColumnFormula>(Tableau15[[#This Row],[Dvout'[V']]]/2)*B15</calculatedColumnFormula>
    </tableColumn>
    <tableColumn id="16" xr3:uid="{689867F8-1B7F-4D6D-8915-70B2A78E259B}" name="Utilisation de la plage ADC [%]" dataDxfId="74">
      <calculatedColumnFormula>(R2/B15)*100</calculatedColumnFormula>
    </tableColumn>
    <tableColumn id="17" xr3:uid="{4A8A5BAC-AB49-466E-B763-25D8B334AE4E}" name="Résolution réelle en [°C]" dataDxfId="73">
      <calculatedColumnFormula>1/Tableau15[[#This Row],[Taux de variation numérique par '[°C']]]</calculatedColumnFormula>
    </tableColumn>
    <tableColumn id="15" xr3:uid="{C690B2B2-880C-4D60-A0B9-EFAEFCF9EFC6}" name="Taux de variation numérique par [°C]" dataDxfId="72">
      <calculatedColumnFormula>R2/A15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C861EE-9CE9-42F9-91FD-7BD6B24F2348}" name="Tableau36" displayName="Tableau36" ref="A14:C24" totalsRowShown="0" headerRowDxfId="71">
  <autoFilter ref="A14:C24" xr:uid="{04C861EE-9CE9-42F9-91FD-7BD6B24F2348}"/>
  <tableColumns count="3">
    <tableColumn id="2" xr3:uid="{427D5456-5F20-4A18-97D7-25862E6F6D18}" name="DT[°C]" dataDxfId="70"/>
    <tableColumn id="3" xr3:uid="{9B56FC31-1756-4028-A1BA-A062A3CAFD88}" name="NADC[bit]" dataDxfId="69">
      <calculatedColumnFormula>2^23</calculatedColumnFormula>
    </tableColumn>
    <tableColumn id="4" xr3:uid="{5153BF3A-FC60-4654-883D-9C394B165E74}" name="Vref cible[V]" dataDxfId="6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C708-356A-4A29-8EAD-83D69F918667}">
  <dimension ref="A1:U84"/>
  <sheetViews>
    <sheetView tabSelected="1" topLeftCell="A29" zoomScale="85" zoomScaleNormal="85" workbookViewId="0">
      <selection activeCell="A74" sqref="A74:E84"/>
    </sheetView>
  </sheetViews>
  <sheetFormatPr baseColWidth="10" defaultRowHeight="15" x14ac:dyDescent="0.25"/>
  <cols>
    <col min="1" max="1" width="30.28515625" style="1" customWidth="1"/>
    <col min="2" max="2" width="26.140625" style="1" customWidth="1"/>
    <col min="3" max="3" width="31.85546875" style="1" customWidth="1"/>
    <col min="4" max="4" width="33.42578125" style="1" customWidth="1"/>
    <col min="5" max="5" width="35.28515625" style="1" customWidth="1"/>
    <col min="6" max="6" width="0" hidden="1" customWidth="1"/>
    <col min="7" max="7" width="0" style="1" hidden="1" customWidth="1"/>
    <col min="8" max="8" width="11.85546875" style="1" hidden="1" customWidth="1"/>
    <col min="9" max="9" width="11.42578125" style="1" customWidth="1"/>
    <col min="10" max="10" width="26.140625" style="1" customWidth="1"/>
    <col min="11" max="11" width="26.5703125" style="1" customWidth="1"/>
    <col min="12" max="14" width="28" style="1" customWidth="1"/>
    <col min="15" max="15" width="28" style="1" hidden="1" customWidth="1"/>
    <col min="16" max="16" width="28" style="1" customWidth="1"/>
    <col min="17" max="17" width="25.28515625" style="1" customWidth="1"/>
    <col min="18" max="18" width="29.85546875" style="1" customWidth="1"/>
    <col min="19" max="19" width="59.7109375" style="1" customWidth="1"/>
    <col min="20" max="20" width="31.7109375" style="1" customWidth="1"/>
    <col min="21" max="21" width="36.28515625" style="1" customWidth="1"/>
    <col min="22" max="22" width="44.42578125" style="1" customWidth="1"/>
    <col min="23" max="16384" width="11.42578125" style="1"/>
  </cols>
  <sheetData>
    <row r="1" spans="1:21" ht="60" x14ac:dyDescent="0.25">
      <c r="A1" s="1" t="s">
        <v>59</v>
      </c>
      <c r="J1" s="5" t="s">
        <v>57</v>
      </c>
      <c r="K1" s="5" t="s">
        <v>58</v>
      </c>
      <c r="L1" s="5" t="s">
        <v>37</v>
      </c>
      <c r="M1" s="5" t="s">
        <v>39</v>
      </c>
      <c r="N1" s="5" t="s">
        <v>40</v>
      </c>
      <c r="O1" s="5"/>
      <c r="P1" s="5" t="s">
        <v>45</v>
      </c>
      <c r="Q1" s="5" t="s">
        <v>48</v>
      </c>
      <c r="R1" s="5" t="s">
        <v>49</v>
      </c>
      <c r="S1" s="1" t="s">
        <v>51</v>
      </c>
      <c r="T1" s="5" t="s">
        <v>54</v>
      </c>
      <c r="U1" s="5" t="s">
        <v>53</v>
      </c>
    </row>
    <row r="2" spans="1:21" ht="21" customHeight="1" x14ac:dyDescent="0.25">
      <c r="A2" s="1" t="s">
        <v>60</v>
      </c>
      <c r="J2" s="1" t="s">
        <v>44</v>
      </c>
      <c r="K2" s="1" t="s">
        <v>44</v>
      </c>
      <c r="L2" s="1" t="s">
        <v>38</v>
      </c>
      <c r="M2" s="1" t="s">
        <v>42</v>
      </c>
      <c r="N2" s="1" t="s">
        <v>41</v>
      </c>
      <c r="P2" s="1" t="s">
        <v>46</v>
      </c>
      <c r="R2" s="1" t="s">
        <v>50</v>
      </c>
      <c r="S2" s="1" t="s">
        <v>52</v>
      </c>
      <c r="T2" s="1" t="s">
        <v>55</v>
      </c>
      <c r="U2" s="1" t="s">
        <v>56</v>
      </c>
    </row>
    <row r="3" spans="1:21" ht="15.75" x14ac:dyDescent="0.25">
      <c r="A3" s="1" t="s">
        <v>61</v>
      </c>
      <c r="B3" s="1" t="s">
        <v>10</v>
      </c>
      <c r="C3" s="1" t="s">
        <v>17</v>
      </c>
      <c r="D3" s="1" t="s">
        <v>33</v>
      </c>
      <c r="E3" s="1" t="s">
        <v>11</v>
      </c>
      <c r="F3" s="1" t="s">
        <v>23</v>
      </c>
      <c r="G3" s="1" t="s">
        <v>14</v>
      </c>
      <c r="H3" s="1" t="s">
        <v>15</v>
      </c>
      <c r="I3" s="1" t="s">
        <v>12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22</v>
      </c>
      <c r="O3" s="1" t="s">
        <v>47</v>
      </c>
      <c r="P3" s="1" t="s">
        <v>28</v>
      </c>
      <c r="Q3" s="1" t="s">
        <v>29</v>
      </c>
      <c r="R3" s="1" t="s">
        <v>30</v>
      </c>
      <c r="S3" s="1" t="s">
        <v>13</v>
      </c>
      <c r="T3" s="1" t="s">
        <v>31</v>
      </c>
      <c r="U3" s="1" t="s">
        <v>32</v>
      </c>
    </row>
    <row r="4" spans="1:21" x14ac:dyDescent="0.25">
      <c r="A4" s="1" t="s">
        <v>0</v>
      </c>
      <c r="B4" s="1">
        <v>2015.54</v>
      </c>
      <c r="C4" s="1">
        <v>251.37</v>
      </c>
      <c r="D4" s="1">
        <v>2200</v>
      </c>
      <c r="E4" s="1">
        <v>250</v>
      </c>
      <c r="F4" s="1">
        <f>Tableau1[[#This Row],[IDAC'[uA']]]*0.000001</f>
        <v>2.5000000000000001E-4</v>
      </c>
      <c r="I4" s="1">
        <v>1</v>
      </c>
      <c r="J4" s="1">
        <f>E4*10^-6*Tableau1[[#This Row],[R à -15'[°C']]]</f>
        <v>0.50388500000000003</v>
      </c>
      <c r="K4" s="1">
        <f>E4*10^-6*Tableau1[[#This Row],[R à +40'[°C']]]</f>
        <v>6.2842499999999996E-2</v>
      </c>
      <c r="L4" s="1">
        <f>Tableau1[[#This Row],[Rref '[Ω']]]*Tableau1[[#This Row],[IDAC'[A']]]</f>
        <v>0.55000000000000004</v>
      </c>
      <c r="M4" s="1">
        <f>Tableau1[[#This Row],[IDAC'[A']]]*(Tableau1[[#This Row],[Rref '[Ω']]]+MAX(Tableau1[[#This Row],[R à -15'[°C']]],Tableau1[[#This Row],[R à +40'[°C']]]))</f>
        <v>1.053885</v>
      </c>
      <c r="N4" s="1">
        <f>Tableau1[[#This Row],[Vref '[V']]]/Tableau1[[#This Row],[Gain]]</f>
        <v>0.55000000000000004</v>
      </c>
      <c r="O4" s="1">
        <f>Tableau1[[#This Row],[FS_ADC]]*2</f>
        <v>1.1000000000000001</v>
      </c>
      <c r="P4" s="1">
        <f>ABS(Tableau1[[#This Row],[V @ Tmax mesurée '[V']]]-Tableau1[[#This Row],[V @ Tmin mesurée '[V']]])</f>
        <v>0.4410425</v>
      </c>
      <c r="Q4" s="1">
        <f>Tableau1[[#This Row],[DV'[V']]]/(Tableau1[[#This Row],[Vref '[V']]]/Tableau1[[#This Row],[Gain]])</f>
        <v>0.80189545454545452</v>
      </c>
      <c r="R4" s="1">
        <f>(Tableau1[[#This Row],[Dvout'[V']]]/2)*B17</f>
        <v>3363393.3125818181</v>
      </c>
      <c r="S4" s="1">
        <f>(R4/B17)*100</f>
        <v>40.094772727272726</v>
      </c>
      <c r="T4" s="1">
        <f>1/Tableau1[[#This Row],[Taux de variation numérique par '[°C']]]</f>
        <v>1.3825323320365864E-5</v>
      </c>
      <c r="U4" s="1">
        <f>R4/A17</f>
        <v>72331.038980254147</v>
      </c>
    </row>
    <row r="5" spans="1:21" x14ac:dyDescent="0.25">
      <c r="A5" s="1" t="s">
        <v>1</v>
      </c>
      <c r="B5" s="1">
        <v>653</v>
      </c>
      <c r="C5" s="1">
        <v>525</v>
      </c>
      <c r="D5" s="1">
        <v>2700</v>
      </c>
      <c r="E5" s="1">
        <v>250</v>
      </c>
      <c r="F5" s="1">
        <f>Tableau1[[#This Row],[IDAC'[uA']]]*0.000001</f>
        <v>2.5000000000000001E-4</v>
      </c>
      <c r="I5" s="1">
        <v>4</v>
      </c>
      <c r="J5" s="1">
        <f>E5*10^-6*Tableau1[[#This Row],[R à -15'[°C']]]</f>
        <v>0.16325000000000001</v>
      </c>
      <c r="K5" s="1">
        <f>E5*10^-6*Tableau1[[#This Row],[R à +40'[°C']]]</f>
        <v>0.13125000000000001</v>
      </c>
      <c r="L5" s="1">
        <f>Tableau1[[#This Row],[Rref '[Ω']]]*Tableau1[[#This Row],[IDAC'[A']]]</f>
        <v>0.67500000000000004</v>
      </c>
      <c r="M5" s="1">
        <f>Tableau1[[#This Row],[IDAC'[A']]]*(Tableau1[[#This Row],[Rref '[Ω']]]+MAX(Tableau1[[#This Row],[R à -15'[°C']]],Tableau1[[#This Row],[R à +40'[°C']]]))</f>
        <v>0.83825000000000005</v>
      </c>
      <c r="N5" s="1">
        <f>Tableau1[[#This Row],[Vref '[V']]]/Tableau1[[#This Row],[Gain]]</f>
        <v>0.16875000000000001</v>
      </c>
      <c r="O5" s="1">
        <f>Tableau1[[#This Row],[FS_ADC]]*2</f>
        <v>0.33750000000000002</v>
      </c>
      <c r="P5" s="1">
        <f>ABS(Tableau1[[#This Row],[V @ Tmax mesurée '[V']]]-Tableau1[[#This Row],[V @ Tmin mesurée '[V']]])</f>
        <v>3.2000000000000001E-2</v>
      </c>
      <c r="Q5" s="1">
        <f>Tableau1[[#This Row],[DV'[V']]]/(Tableau1[[#This Row],[Vref '[V']]]/Tableau1[[#This Row],[Gain]])</f>
        <v>0.18962962962962962</v>
      </c>
      <c r="R5" s="1">
        <f>(Tableau1[[#This Row],[Dvout'[V']]]/2)*B18</f>
        <v>795364.31407407403</v>
      </c>
      <c r="S5" s="1">
        <f t="shared" ref="S4:S13" si="0">(R5/B18)*100</f>
        <v>9.481481481481481</v>
      </c>
      <c r="T5" s="1">
        <f>1/Tableau1[[#This Row],[Taux de variation numérique par '[°C']]]</f>
        <v>5.8463774621486664E-5</v>
      </c>
      <c r="U5" s="1">
        <f t="shared" ref="U4:U13" si="1">R5/A18</f>
        <v>17104.608904818797</v>
      </c>
    </row>
    <row r="6" spans="1:21" x14ac:dyDescent="0.25">
      <c r="A6" s="1" t="s">
        <v>2</v>
      </c>
      <c r="B6" s="1">
        <v>942</v>
      </c>
      <c r="C6" s="1">
        <v>1155.5</v>
      </c>
      <c r="D6" s="1">
        <v>10000</v>
      </c>
      <c r="E6" s="1">
        <v>100</v>
      </c>
      <c r="F6" s="1">
        <f>Tableau1[[#This Row],[IDAC'[uA']]]*0.000001</f>
        <v>9.9999999999999991E-5</v>
      </c>
      <c r="I6" s="1">
        <v>8</v>
      </c>
      <c r="J6" s="1">
        <f>E6*10^-6*Tableau1[[#This Row],[R à -15'[°C']]]</f>
        <v>9.4199999999999992E-2</v>
      </c>
      <c r="K6" s="1">
        <f>E6*10^-6*Tableau1[[#This Row],[R à +40'[°C']]]</f>
        <v>0.11554999999999999</v>
      </c>
      <c r="L6" s="1">
        <f>Tableau1[[#This Row],[Rref '[Ω']]]*Tableau1[[#This Row],[IDAC'[A']]]</f>
        <v>0.99999999999999989</v>
      </c>
      <c r="M6" s="1">
        <f>Tableau1[[#This Row],[IDAC'[A']]]*(Tableau1[[#This Row],[Rref '[Ω']]]+MAX(Tableau1[[#This Row],[R à -15'[°C']]],Tableau1[[#This Row],[R à +40'[°C']]]))</f>
        <v>1.1155499999999998</v>
      </c>
      <c r="N6" s="1">
        <f>Tableau1[[#This Row],[Vref '[V']]]/Tableau1[[#This Row],[Gain]]</f>
        <v>0.12499999999999999</v>
      </c>
      <c r="O6" s="1">
        <f>Tableau1[[#This Row],[FS_ADC]]*2</f>
        <v>0.24999999999999997</v>
      </c>
      <c r="P6" s="1">
        <f>ABS(Tableau1[[#This Row],[V @ Tmax mesurée '[V']]]-Tableau1[[#This Row],[V @ Tmin mesurée '[V']]])</f>
        <v>2.1349999999999994E-2</v>
      </c>
      <c r="Q6" s="1">
        <f>Tableau1[[#This Row],[DV'[V']]]/(Tableau1[[#This Row],[Vref '[V']]]/Tableau1[[#This Row],[Gain]])</f>
        <v>0.17079999999999998</v>
      </c>
      <c r="R6" s="1">
        <f>(Tableau1[[#This Row],[Dvout'[V']]]/2)*B19</f>
        <v>716387.12319999991</v>
      </c>
      <c r="S6" s="1">
        <f t="shared" si="0"/>
        <v>8.5399999999999991</v>
      </c>
      <c r="T6" s="1">
        <f>1/Tableau1[[#This Row],[Taux de variation numérique par '[°C']]]</f>
        <v>6.4909039392404321E-5</v>
      </c>
      <c r="U6" s="1">
        <f t="shared" si="1"/>
        <v>15406.174692473116</v>
      </c>
    </row>
    <row r="7" spans="1:21" x14ac:dyDescent="0.25">
      <c r="A7" s="1" t="s">
        <v>3</v>
      </c>
      <c r="B7" s="1">
        <v>935</v>
      </c>
      <c r="C7" s="1">
        <v>1185.71</v>
      </c>
      <c r="D7" s="1">
        <v>10000</v>
      </c>
      <c r="E7" s="1">
        <v>100</v>
      </c>
      <c r="F7" s="1">
        <f>Tableau1[[#This Row],[IDAC'[uA']]]*0.000001</f>
        <v>9.9999999999999991E-5</v>
      </c>
      <c r="I7" s="1">
        <v>8</v>
      </c>
      <c r="J7" s="1">
        <f>E7*10^-6*Tableau1[[#This Row],[R à -15'[°C']]]</f>
        <v>9.3499999999999986E-2</v>
      </c>
      <c r="K7" s="1">
        <f>E7*10^-6*Tableau1[[#This Row],[R à +40'[°C']]]</f>
        <v>0.118571</v>
      </c>
      <c r="L7" s="1">
        <f>Tableau1[[#This Row],[Rref '[Ω']]]*Tableau1[[#This Row],[IDAC'[A']]]</f>
        <v>0.99999999999999989</v>
      </c>
      <c r="M7" s="1">
        <f>Tableau1[[#This Row],[IDAC'[A']]]*(Tableau1[[#This Row],[Rref '[Ω']]]+MAX(Tableau1[[#This Row],[R à -15'[°C']]],Tableau1[[#This Row],[R à +40'[°C']]]))</f>
        <v>1.1185709999999998</v>
      </c>
      <c r="N7" s="1">
        <f>Tableau1[[#This Row],[Vref '[V']]]/Tableau1[[#This Row],[Gain]]</f>
        <v>0.12499999999999999</v>
      </c>
      <c r="O7" s="1">
        <f>Tableau1[[#This Row],[FS_ADC]]*2</f>
        <v>0.24999999999999997</v>
      </c>
      <c r="P7" s="1">
        <f>ABS(Tableau1[[#This Row],[V @ Tmax mesurée '[V']]]-Tableau1[[#This Row],[V @ Tmin mesurée '[V']]])</f>
        <v>2.507100000000001E-2</v>
      </c>
      <c r="Q7" s="1">
        <f>Tableau1[[#This Row],[DV'[V']]]/(Tableau1[[#This Row],[Vref '[V']]]/Tableau1[[#This Row],[Gain]])</f>
        <v>0.20056800000000011</v>
      </c>
      <c r="R7" s="1">
        <f>(Tableau1[[#This Row],[Dvout'[V']]]/2)*B20</f>
        <v>841243.16467200045</v>
      </c>
      <c r="S7" s="1">
        <f t="shared" si="0"/>
        <v>10.028400000000005</v>
      </c>
      <c r="T7" s="1">
        <f>1/Tableau1[[#This Row],[Taux de variation numérique par '[°C']]]</f>
        <v>5.52753376820961E-5</v>
      </c>
      <c r="U7" s="1">
        <f t="shared" si="1"/>
        <v>18091.250853161298</v>
      </c>
    </row>
    <row r="8" spans="1:21" x14ac:dyDescent="0.25">
      <c r="A8" s="1" t="s">
        <v>4</v>
      </c>
      <c r="B8" s="1">
        <v>919</v>
      </c>
      <c r="C8" s="1">
        <v>1230.7</v>
      </c>
      <c r="D8" s="1">
        <v>10000</v>
      </c>
      <c r="E8" s="1">
        <v>50</v>
      </c>
      <c r="F8" s="1">
        <f>Tableau1[[#This Row],[IDAC'[uA']]]*0.000001</f>
        <v>4.9999999999999996E-5</v>
      </c>
      <c r="I8" s="1">
        <v>8</v>
      </c>
      <c r="J8" s="1">
        <f>E8*10^-6*Tableau1[[#This Row],[R à -15'[°C']]]</f>
        <v>4.5949999999999998E-2</v>
      </c>
      <c r="K8" s="1">
        <f>E8*10^-6*Tableau1[[#This Row],[R à +40'[°C']]]</f>
        <v>6.1534999999999999E-2</v>
      </c>
      <c r="L8" s="1">
        <f>Tableau1[[#This Row],[Rref '[Ω']]]*Tableau1[[#This Row],[IDAC'[A']]]</f>
        <v>0.49999999999999994</v>
      </c>
      <c r="M8" s="1">
        <f>Tableau1[[#This Row],[IDAC'[A']]]*(Tableau1[[#This Row],[Rref '[Ω']]]+MAX(Tableau1[[#This Row],[R à -15'[°C']]],Tableau1[[#This Row],[R à +40'[°C']]]))</f>
        <v>0.56153500000000001</v>
      </c>
      <c r="N8" s="1">
        <f>Tableau1[[#This Row],[Vref '[V']]]/Tableau1[[#This Row],[Gain]]</f>
        <v>6.2499999999999993E-2</v>
      </c>
      <c r="O8" s="1">
        <f>Tableau1[[#This Row],[FS_ADC]]*2</f>
        <v>0.12499999999999999</v>
      </c>
      <c r="P8" s="1">
        <f>ABS(Tableau1[[#This Row],[V @ Tmax mesurée '[V']]]-Tableau1[[#This Row],[V @ Tmin mesurée '[V']]])</f>
        <v>1.5585000000000002E-2</v>
      </c>
      <c r="Q8" s="1">
        <f>Tableau1[[#This Row],[DV'[V']]]/(Tableau1[[#This Row],[Vref '[V']]]/Tableau1[[#This Row],[Gain]])</f>
        <v>0.24936000000000005</v>
      </c>
      <c r="R8" s="1">
        <f>(Tableau1[[#This Row],[Dvout'[V']]]/2)*B21</f>
        <v>1045891.6454400002</v>
      </c>
      <c r="S8" s="1">
        <f t="shared" si="0"/>
        <v>12.468000000000004</v>
      </c>
      <c r="T8" s="1">
        <f>1/Tableau1[[#This Row],[Taux de variation numérique par '[°C']]]</f>
        <v>4.4459672474425147E-5</v>
      </c>
      <c r="U8" s="1">
        <f t="shared" si="1"/>
        <v>22492.293450322584</v>
      </c>
    </row>
    <row r="9" spans="1:21" x14ac:dyDescent="0.25">
      <c r="A9" s="1" t="s">
        <v>5</v>
      </c>
      <c r="B9" s="1">
        <v>5855</v>
      </c>
      <c r="C9" s="1">
        <v>1230.1099999999999</v>
      </c>
      <c r="D9" s="1">
        <v>10000</v>
      </c>
      <c r="E9" s="1">
        <v>100</v>
      </c>
      <c r="F9" s="1">
        <f>Tableau1[[#This Row],[IDAC'[uA']]]*0.000001</f>
        <v>9.9999999999999991E-5</v>
      </c>
      <c r="I9" s="1">
        <v>1</v>
      </c>
      <c r="J9" s="1">
        <f>E9*10^-6*Tableau1[[#This Row],[R à -15'[°C']]]</f>
        <v>0.58549999999999991</v>
      </c>
      <c r="K9" s="1">
        <f>E9*10^-6*Tableau1[[#This Row],[R à +40'[°C']]]</f>
        <v>0.12301099999999998</v>
      </c>
      <c r="L9" s="1">
        <f>Tableau1[[#This Row],[Rref '[Ω']]]*Tableau1[[#This Row],[IDAC'[A']]]</f>
        <v>0.99999999999999989</v>
      </c>
      <c r="M9" s="1">
        <f>Tableau1[[#This Row],[IDAC'[A']]]*(Tableau1[[#This Row],[Rref '[Ω']]]+MAX(Tableau1[[#This Row],[R à -15'[°C']]],Tableau1[[#This Row],[R à +40'[°C']]]))</f>
        <v>1.5854999999999999</v>
      </c>
      <c r="N9" s="1">
        <f>Tableau1[[#This Row],[Vref '[V']]]/Tableau1[[#This Row],[Gain]]</f>
        <v>0.99999999999999989</v>
      </c>
      <c r="O9" s="1">
        <f>Tableau1[[#This Row],[FS_ADC]]*2</f>
        <v>1.9999999999999998</v>
      </c>
      <c r="P9" s="1">
        <f>ABS(Tableau1[[#This Row],[V @ Tmax mesurée '[V']]]-Tableau1[[#This Row],[V @ Tmin mesurée '[V']]])</f>
        <v>0.46248899999999993</v>
      </c>
      <c r="Q9" s="1">
        <f>Tableau1[[#This Row],[DV'[V']]]/(Tableau1[[#This Row],[Vref '[V']]]/Tableau1[[#This Row],[Gain]])</f>
        <v>0.46248899999999998</v>
      </c>
      <c r="R9" s="1">
        <f>(Tableau1[[#This Row],[Dvout'[V']]]/2)*B22</f>
        <v>1939819.4626559999</v>
      </c>
      <c r="S9" s="1">
        <f t="shared" si="0"/>
        <v>23.12445</v>
      </c>
      <c r="T9" s="1">
        <f>1/Tableau1[[#This Row],[Taux de variation numérique par '[°C']]]</f>
        <v>2.3971302946065001E-5</v>
      </c>
      <c r="U9" s="1">
        <f t="shared" si="1"/>
        <v>41716.547584</v>
      </c>
    </row>
    <row r="10" spans="1:21" x14ac:dyDescent="0.25">
      <c r="A10" s="1" t="s">
        <v>6</v>
      </c>
      <c r="B10" s="1">
        <v>1423</v>
      </c>
      <c r="C10" s="1">
        <v>2245</v>
      </c>
      <c r="D10" s="1">
        <v>10000</v>
      </c>
      <c r="E10" s="1">
        <v>100</v>
      </c>
      <c r="F10" s="1">
        <f>Tableau1[[#This Row],[IDAC'[uA']]]*0.000001</f>
        <v>9.9999999999999991E-5</v>
      </c>
      <c r="I10" s="1">
        <v>4</v>
      </c>
      <c r="J10" s="1">
        <f>E10*10^-6*Tableau1[[#This Row],[R à -15'[°C']]]</f>
        <v>0.14229999999999998</v>
      </c>
      <c r="K10" s="1">
        <f>E10*10^-6*Tableau1[[#This Row],[R à +40'[°C']]]</f>
        <v>0.22449999999999998</v>
      </c>
      <c r="L10" s="1">
        <f>Tableau1[[#This Row],[Rref '[Ω']]]*Tableau1[[#This Row],[IDAC'[A']]]</f>
        <v>0.99999999999999989</v>
      </c>
      <c r="M10" s="1">
        <f>Tableau1[[#This Row],[IDAC'[A']]]*(Tableau1[[#This Row],[Rref '[Ω']]]+MAX(Tableau1[[#This Row],[R à -15'[°C']]],Tableau1[[#This Row],[R à +40'[°C']]]))</f>
        <v>1.2244999999999999</v>
      </c>
      <c r="N10" s="1">
        <f>Tableau1[[#This Row],[Vref '[V']]]/Tableau1[[#This Row],[Gain]]</f>
        <v>0.24999999999999997</v>
      </c>
      <c r="O10" s="1">
        <f>Tableau1[[#This Row],[FS_ADC]]*2</f>
        <v>0.49999999999999994</v>
      </c>
      <c r="P10" s="1">
        <f>ABS(Tableau1[[#This Row],[V @ Tmax mesurée '[V']]]-Tableau1[[#This Row],[V @ Tmin mesurée '[V']]])</f>
        <v>8.2199999999999995E-2</v>
      </c>
      <c r="Q10" s="1">
        <f>Tableau1[[#This Row],[DV'[V']]]/(Tableau1[[#This Row],[Vref '[V']]]/Tableau1[[#This Row],[Gain]])</f>
        <v>0.32880000000000004</v>
      </c>
      <c r="R10" s="1">
        <f>(Tableau1[[#This Row],[Dvout'[V']]]/2)*B23</f>
        <v>1379087.1552000002</v>
      </c>
      <c r="S10" s="1">
        <f t="shared" si="0"/>
        <v>16.440000000000001</v>
      </c>
      <c r="T10" s="1">
        <f>1/Tableau1[[#This Row],[Taux de variation numérique par '[°C']]]</f>
        <v>3.3717955986078638E-5</v>
      </c>
      <c r="U10" s="1">
        <f t="shared" si="1"/>
        <v>29657.78828387097</v>
      </c>
    </row>
    <row r="11" spans="1:21" x14ac:dyDescent="0.25">
      <c r="A11" s="1" t="s">
        <v>7</v>
      </c>
      <c r="B11" s="1">
        <v>11124</v>
      </c>
      <c r="C11" s="1">
        <v>1168.06</v>
      </c>
      <c r="D11" s="1">
        <v>100000</v>
      </c>
      <c r="E11" s="1">
        <v>10</v>
      </c>
      <c r="F11" s="1">
        <f>Tableau1[[#This Row],[IDAC'[uA']]]*0.000001</f>
        <v>9.9999999999999991E-6</v>
      </c>
      <c r="I11" s="1">
        <v>8</v>
      </c>
      <c r="J11" s="1">
        <f>E11*10^-6*Tableau1[[#This Row],[R à -15'[°C']]]</f>
        <v>0.11123999999999999</v>
      </c>
      <c r="K11" s="1">
        <f>E11*10^-6*Tableau1[[#This Row],[R à +40'[°C']]]</f>
        <v>1.1680599999999998E-2</v>
      </c>
      <c r="L11" s="1">
        <f>Tableau1[[#This Row],[Rref '[Ω']]]*Tableau1[[#This Row],[IDAC'[A']]]</f>
        <v>0.99999999999999989</v>
      </c>
      <c r="M11" s="1">
        <f>Tableau1[[#This Row],[IDAC'[A']]]*(Tableau1[[#This Row],[Rref '[Ω']]]+MAX(Tableau1[[#This Row],[R à -15'[°C']]],Tableau1[[#This Row],[R à +40'[°C']]]))</f>
        <v>1.11124</v>
      </c>
      <c r="N11" s="1">
        <f>Tableau1[[#This Row],[Vref '[V']]]/Tableau1[[#This Row],[Gain]]</f>
        <v>0.12499999999999999</v>
      </c>
      <c r="O11" s="1">
        <f>Tableau1[[#This Row],[FS_ADC]]*2</f>
        <v>0.24999999999999997</v>
      </c>
      <c r="P11" s="1">
        <f>ABS(Tableau1[[#This Row],[V @ Tmax mesurée '[V']]]-Tableau1[[#This Row],[V @ Tmin mesurée '[V']]])</f>
        <v>9.9559399999999992E-2</v>
      </c>
      <c r="Q11" s="1">
        <f>Tableau1[[#This Row],[DV'[V']]]/(Tableau1[[#This Row],[Vref '[V']]]/Tableau1[[#This Row],[Gain]])</f>
        <v>0.79647520000000005</v>
      </c>
      <c r="R11" s="1">
        <f>(Tableau1[[#This Row],[Dvout'[V']]]/2)*B24</f>
        <v>3340659.1172608002</v>
      </c>
      <c r="S11" s="1">
        <f t="shared" si="0"/>
        <v>39.82376</v>
      </c>
      <c r="T11" s="1">
        <f>1/Tableau1[[#This Row],[Taux de variation numérique par '[°C']]]</f>
        <v>1.3919408825563755E-5</v>
      </c>
      <c r="U11" s="1">
        <f t="shared" si="1"/>
        <v>71842.1315539957</v>
      </c>
    </row>
    <row r="12" spans="1:21" x14ac:dyDescent="0.25">
      <c r="A12" s="1" t="s">
        <v>8</v>
      </c>
      <c r="B12" s="1">
        <v>12881</v>
      </c>
      <c r="C12" s="1">
        <v>1173</v>
      </c>
      <c r="D12" s="1">
        <v>100000</v>
      </c>
      <c r="E12" s="1">
        <v>10</v>
      </c>
      <c r="F12" s="1">
        <f>Tableau1[[#This Row],[IDAC'[uA']]]*0.000001</f>
        <v>9.9999999999999991E-6</v>
      </c>
      <c r="I12" s="1">
        <v>4</v>
      </c>
      <c r="J12" s="1">
        <f>E12*10^-6*Tableau1[[#This Row],[R à -15'[°C']]]</f>
        <v>0.12880999999999998</v>
      </c>
      <c r="K12" s="1">
        <f>E12*10^-6*Tableau1[[#This Row],[R à +40'[°C']]]</f>
        <v>1.1729999999999999E-2</v>
      </c>
      <c r="L12" s="1">
        <f>Tableau1[[#This Row],[Rref '[Ω']]]*Tableau1[[#This Row],[IDAC'[A']]]</f>
        <v>0.99999999999999989</v>
      </c>
      <c r="M12" s="1">
        <f>Tableau1[[#This Row],[IDAC'[A']]]*(Tableau1[[#This Row],[Rref '[Ω']]]+MAX(Tableau1[[#This Row],[R à -15'[°C']]],Tableau1[[#This Row],[R à +40'[°C']]]))</f>
        <v>1.1288099999999999</v>
      </c>
      <c r="N12" s="1">
        <f>Tableau1[[#This Row],[Vref '[V']]]/Tableau1[[#This Row],[Gain]]</f>
        <v>0.24999999999999997</v>
      </c>
      <c r="O12" s="1">
        <f>Tableau1[[#This Row],[FS_ADC]]*2</f>
        <v>0.49999999999999994</v>
      </c>
      <c r="P12" s="1">
        <f>ABS(Tableau1[[#This Row],[V @ Tmax mesurée '[V']]]-Tableau1[[#This Row],[V @ Tmin mesurée '[V']]])</f>
        <v>0.11707999999999998</v>
      </c>
      <c r="Q12" s="1">
        <f>Tableau1[[#This Row],[DV'[V']]]/(Tableau1[[#This Row],[Vref '[V']]]/Tableau1[[#This Row],[Gain]])</f>
        <v>0.46831999999999996</v>
      </c>
      <c r="R12" s="1">
        <f>(Tableau1[[#This Row],[Dvout'[V']]]/2)*B25</f>
        <v>1964276.4492799998</v>
      </c>
      <c r="S12" s="1">
        <f t="shared" si="0"/>
        <v>23.415999999999997</v>
      </c>
      <c r="T12" s="1">
        <f>1/Tableau1[[#This Row],[Taux de variation numérique par '[°C']]]</f>
        <v>2.3672838931121152E-5</v>
      </c>
      <c r="U12" s="1">
        <f t="shared" si="1"/>
        <v>42242.504285591393</v>
      </c>
    </row>
    <row r="13" spans="1:21" x14ac:dyDescent="0.25">
      <c r="A13" s="1" t="s">
        <v>9</v>
      </c>
      <c r="B13" s="1">
        <v>72502</v>
      </c>
      <c r="C13" s="1">
        <v>5320</v>
      </c>
      <c r="D13" s="1">
        <v>100000</v>
      </c>
      <c r="E13" s="1">
        <v>10</v>
      </c>
      <c r="F13" s="1">
        <f>Tableau1[[#This Row],[IDAC'[uA']]]*0.000001</f>
        <v>9.9999999999999991E-6</v>
      </c>
      <c r="I13" s="1">
        <v>1</v>
      </c>
      <c r="J13" s="1">
        <f>E13*10^-6*Tableau1[[#This Row],[R à -15'[°C']]]</f>
        <v>0.72501999999999989</v>
      </c>
      <c r="K13" s="1">
        <f>E13*10^-6*Tableau1[[#This Row],[R à +40'[°C']]]</f>
        <v>5.3199999999999997E-2</v>
      </c>
      <c r="L13" s="1">
        <f>Tableau1[[#This Row],[Rref '[Ω']]]*Tableau1[[#This Row],[IDAC'[A']]]</f>
        <v>0.99999999999999989</v>
      </c>
      <c r="M13" s="1">
        <f>Tableau1[[#This Row],[IDAC'[A']]]*(Tableau1[[#This Row],[Rref '[Ω']]]+MAX(Tableau1[[#This Row],[R à -15'[°C']]],Tableau1[[#This Row],[R à +40'[°C']]]))</f>
        <v>1.7250199999999998</v>
      </c>
      <c r="N13" s="1">
        <f>Tableau1[[#This Row],[Vref '[V']]]/Tableau1[[#This Row],[Gain]]</f>
        <v>0.99999999999999989</v>
      </c>
      <c r="O13" s="1">
        <f>Tableau1[[#This Row],[FS_ADC]]*2</f>
        <v>1.9999999999999998</v>
      </c>
      <c r="P13" s="1">
        <f>ABS(Tableau1[[#This Row],[V @ Tmax mesurée '[V']]]-Tableau1[[#This Row],[V @ Tmin mesurée '[V']]])</f>
        <v>0.67181999999999986</v>
      </c>
      <c r="Q13" s="1">
        <f>Tableau1[[#This Row],[DV'[V']]]/(Tableau1[[#This Row],[Vref '[V']]]/Tableau1[[#This Row],[Gain]])</f>
        <v>0.67181999999999997</v>
      </c>
      <c r="R13" s="1">
        <f>(Tableau1[[#This Row],[Dvout'[V']]]/2)*B26</f>
        <v>2817817.3132799999</v>
      </c>
      <c r="S13" s="1">
        <f t="shared" si="0"/>
        <v>33.591000000000001</v>
      </c>
      <c r="T13" s="1">
        <f>1/Tableau1[[#This Row],[Taux de variation numérique par '[°C']]]</f>
        <v>1.6502134393472441E-5</v>
      </c>
      <c r="U13" s="1">
        <f t="shared" si="1"/>
        <v>60598.221790967742</v>
      </c>
    </row>
    <row r="14" spans="1:21" x14ac:dyDescent="0.25">
      <c r="N14" s="9"/>
    </row>
    <row r="15" spans="1:21" ht="36" customHeight="1" x14ac:dyDescent="0.25">
      <c r="E15" s="5"/>
    </row>
    <row r="16" spans="1:21" x14ac:dyDescent="0.25">
      <c r="A16" s="2" t="s">
        <v>34</v>
      </c>
      <c r="B16" s="2" t="s">
        <v>35</v>
      </c>
      <c r="C16" s="1" t="s">
        <v>36</v>
      </c>
      <c r="D16"/>
      <c r="F16" s="1"/>
    </row>
    <row r="17" spans="1:6" x14ac:dyDescent="0.25">
      <c r="A17" s="3">
        <v>46.5</v>
      </c>
      <c r="B17" s="3">
        <f>2^23</f>
        <v>8388608</v>
      </c>
      <c r="C17" s="1">
        <v>1</v>
      </c>
      <c r="D17"/>
      <c r="F17" s="1"/>
    </row>
    <row r="18" spans="1:6" hidden="1" x14ac:dyDescent="0.25">
      <c r="A18" s="4">
        <v>46.5</v>
      </c>
      <c r="B18" s="3">
        <f t="shared" ref="B18:B26" si="2">2^23</f>
        <v>8388608</v>
      </c>
      <c r="C18" s="1">
        <v>1</v>
      </c>
      <c r="D18"/>
      <c r="F18" s="1"/>
    </row>
    <row r="19" spans="1:6" hidden="1" x14ac:dyDescent="0.25">
      <c r="A19" s="3">
        <v>46.5</v>
      </c>
      <c r="B19" s="3">
        <f t="shared" si="2"/>
        <v>8388608</v>
      </c>
      <c r="C19" s="1">
        <v>1</v>
      </c>
      <c r="D19"/>
      <c r="F19" s="1"/>
    </row>
    <row r="20" spans="1:6" hidden="1" x14ac:dyDescent="0.25">
      <c r="A20" s="4">
        <v>46.5</v>
      </c>
      <c r="B20" s="3">
        <f t="shared" si="2"/>
        <v>8388608</v>
      </c>
      <c r="C20" s="1">
        <v>1</v>
      </c>
      <c r="D20"/>
      <c r="F20" s="1"/>
    </row>
    <row r="21" spans="1:6" hidden="1" x14ac:dyDescent="0.25">
      <c r="A21" s="3">
        <v>46.5</v>
      </c>
      <c r="B21" s="3">
        <f t="shared" si="2"/>
        <v>8388608</v>
      </c>
      <c r="C21" s="1">
        <v>1</v>
      </c>
      <c r="D21"/>
      <c r="F21" s="1"/>
    </row>
    <row r="22" spans="1:6" hidden="1" x14ac:dyDescent="0.25">
      <c r="A22" s="4">
        <v>46.5</v>
      </c>
      <c r="B22" s="3">
        <f t="shared" si="2"/>
        <v>8388608</v>
      </c>
      <c r="C22" s="1">
        <v>1</v>
      </c>
      <c r="D22"/>
      <c r="F22" s="1"/>
    </row>
    <row r="23" spans="1:6" hidden="1" x14ac:dyDescent="0.25">
      <c r="A23" s="3">
        <v>46.5</v>
      </c>
      <c r="B23" s="3">
        <f t="shared" si="2"/>
        <v>8388608</v>
      </c>
      <c r="C23" s="1">
        <v>1</v>
      </c>
      <c r="D23"/>
      <c r="F23" s="1"/>
    </row>
    <row r="24" spans="1:6" hidden="1" x14ac:dyDescent="0.25">
      <c r="A24" s="4">
        <v>46.5</v>
      </c>
      <c r="B24" s="3">
        <f t="shared" si="2"/>
        <v>8388608</v>
      </c>
      <c r="C24" s="1">
        <v>1</v>
      </c>
      <c r="D24"/>
      <c r="F24" s="1"/>
    </row>
    <row r="25" spans="1:6" hidden="1" x14ac:dyDescent="0.25">
      <c r="A25" s="3">
        <v>46.5</v>
      </c>
      <c r="B25" s="3">
        <f t="shared" si="2"/>
        <v>8388608</v>
      </c>
      <c r="C25" s="1">
        <v>1</v>
      </c>
      <c r="D25"/>
      <c r="F25" s="1"/>
    </row>
    <row r="26" spans="1:6" hidden="1" x14ac:dyDescent="0.25">
      <c r="A26" s="4">
        <v>46.5</v>
      </c>
      <c r="B26" s="3">
        <f t="shared" si="2"/>
        <v>8388608</v>
      </c>
      <c r="C26" s="1">
        <v>1</v>
      </c>
      <c r="D26"/>
      <c r="F26" s="1"/>
    </row>
    <row r="30" spans="1:6" ht="15.75" x14ac:dyDescent="0.25">
      <c r="A30" s="8" t="s">
        <v>43</v>
      </c>
      <c r="B30" s="2" t="s">
        <v>20</v>
      </c>
      <c r="C30" s="2" t="s">
        <v>21</v>
      </c>
      <c r="D30" s="2" t="s">
        <v>18</v>
      </c>
      <c r="E30" s="2" t="s">
        <v>19</v>
      </c>
    </row>
    <row r="31" spans="1:6" x14ac:dyDescent="0.25">
      <c r="A31" s="6" t="s">
        <v>0</v>
      </c>
      <c r="B31" s="3">
        <f t="shared" ref="B31:B40" si="3">J4*E4*10^-3</f>
        <v>0.12597125000000001</v>
      </c>
      <c r="C31" s="3">
        <f t="shared" ref="C31:C40" si="4">E4*K4*10^-3</f>
        <v>1.5710624999999999E-2</v>
      </c>
      <c r="D31" s="3">
        <f t="shared" ref="D31:D40" si="5">B31*0.5</f>
        <v>6.2985625000000003E-2</v>
      </c>
      <c r="E31" s="3">
        <f t="shared" ref="E31:E40" si="6">C31*0.5</f>
        <v>7.8553124999999994E-3</v>
      </c>
    </row>
    <row r="32" spans="1:6" x14ac:dyDescent="0.25">
      <c r="A32" s="7" t="s">
        <v>1</v>
      </c>
      <c r="B32" s="4">
        <f t="shared" si="3"/>
        <v>4.0812500000000002E-2</v>
      </c>
      <c r="C32" s="4">
        <f t="shared" si="4"/>
        <v>3.2812500000000001E-2</v>
      </c>
      <c r="D32" s="4">
        <f t="shared" si="5"/>
        <v>2.0406250000000001E-2</v>
      </c>
      <c r="E32" s="4">
        <f t="shared" si="6"/>
        <v>1.6406250000000001E-2</v>
      </c>
    </row>
    <row r="33" spans="1:5" x14ac:dyDescent="0.25">
      <c r="A33" s="6" t="s">
        <v>2</v>
      </c>
      <c r="B33" s="3">
        <f t="shared" si="3"/>
        <v>9.4199999999999996E-3</v>
      </c>
      <c r="C33" s="3">
        <f t="shared" si="4"/>
        <v>1.1554999999999998E-2</v>
      </c>
      <c r="D33" s="3">
        <f t="shared" si="5"/>
        <v>4.7099999999999998E-3</v>
      </c>
      <c r="E33" s="3">
        <f t="shared" si="6"/>
        <v>5.7774999999999988E-3</v>
      </c>
    </row>
    <row r="34" spans="1:5" x14ac:dyDescent="0.25">
      <c r="A34" s="7" t="s">
        <v>3</v>
      </c>
      <c r="B34" s="4">
        <f t="shared" si="3"/>
        <v>9.3499999999999972E-3</v>
      </c>
      <c r="C34" s="4">
        <f t="shared" si="4"/>
        <v>1.1857099999999999E-2</v>
      </c>
      <c r="D34" s="4">
        <f t="shared" si="5"/>
        <v>4.6749999999999986E-3</v>
      </c>
      <c r="E34" s="4">
        <f t="shared" si="6"/>
        <v>5.9285499999999994E-3</v>
      </c>
    </row>
    <row r="35" spans="1:5" x14ac:dyDescent="0.25">
      <c r="A35" s="6" t="s">
        <v>4</v>
      </c>
      <c r="B35" s="3">
        <f t="shared" si="3"/>
        <v>2.2975000000000001E-3</v>
      </c>
      <c r="C35" s="3">
        <f t="shared" si="4"/>
        <v>3.0767500000000001E-3</v>
      </c>
      <c r="D35" s="3">
        <f t="shared" si="5"/>
        <v>1.14875E-3</v>
      </c>
      <c r="E35" s="3">
        <f t="shared" si="6"/>
        <v>1.538375E-3</v>
      </c>
    </row>
    <row r="36" spans="1:5" x14ac:dyDescent="0.25">
      <c r="A36" s="7" t="s">
        <v>5</v>
      </c>
      <c r="B36" s="4">
        <f t="shared" si="3"/>
        <v>5.8549999999999991E-2</v>
      </c>
      <c r="C36" s="4">
        <f t="shared" si="4"/>
        <v>1.2301099999999999E-2</v>
      </c>
      <c r="D36" s="4">
        <f t="shared" si="5"/>
        <v>2.9274999999999995E-2</v>
      </c>
      <c r="E36" s="4">
        <f t="shared" si="6"/>
        <v>6.1505499999999994E-3</v>
      </c>
    </row>
    <row r="37" spans="1:5" x14ac:dyDescent="0.25">
      <c r="A37" s="6" t="s">
        <v>6</v>
      </c>
      <c r="B37" s="3">
        <f t="shared" si="3"/>
        <v>1.423E-2</v>
      </c>
      <c r="C37" s="3">
        <f t="shared" si="4"/>
        <v>2.2450000000000001E-2</v>
      </c>
      <c r="D37" s="3">
        <f t="shared" si="5"/>
        <v>7.1149999999999998E-3</v>
      </c>
      <c r="E37" s="3">
        <f t="shared" si="6"/>
        <v>1.1225000000000001E-2</v>
      </c>
    </row>
    <row r="38" spans="1:5" x14ac:dyDescent="0.25">
      <c r="A38" s="7" t="s">
        <v>7</v>
      </c>
      <c r="B38" s="4">
        <f t="shared" si="3"/>
        <v>1.1123999999999999E-3</v>
      </c>
      <c r="C38" s="4">
        <f t="shared" si="4"/>
        <v>1.1680599999999998E-4</v>
      </c>
      <c r="D38" s="4">
        <f t="shared" si="5"/>
        <v>5.5619999999999997E-4</v>
      </c>
      <c r="E38" s="4">
        <f t="shared" si="6"/>
        <v>5.840299999999999E-5</v>
      </c>
    </row>
    <row r="39" spans="1:5" x14ac:dyDescent="0.25">
      <c r="A39" s="6" t="s">
        <v>8</v>
      </c>
      <c r="B39" s="3">
        <f t="shared" si="3"/>
        <v>1.2880999999999999E-3</v>
      </c>
      <c r="C39" s="3">
        <f t="shared" si="4"/>
        <v>1.1729999999999999E-4</v>
      </c>
      <c r="D39" s="3">
        <f t="shared" si="5"/>
        <v>6.4404999999999996E-4</v>
      </c>
      <c r="E39" s="3">
        <f t="shared" si="6"/>
        <v>5.8649999999999996E-5</v>
      </c>
    </row>
    <row r="40" spans="1:5" x14ac:dyDescent="0.25">
      <c r="A40" s="7" t="s">
        <v>9</v>
      </c>
      <c r="B40" s="4">
        <f t="shared" si="3"/>
        <v>7.2501999999999992E-3</v>
      </c>
      <c r="C40" s="4">
        <f t="shared" si="4"/>
        <v>5.3200000000000003E-4</v>
      </c>
      <c r="D40" s="4">
        <f t="shared" si="5"/>
        <v>3.6250999999999996E-3</v>
      </c>
      <c r="E40" s="4">
        <f t="shared" si="6"/>
        <v>2.6600000000000001E-4</v>
      </c>
    </row>
    <row r="49" spans="1:5" x14ac:dyDescent="0.25">
      <c r="A49" s="8" t="s">
        <v>61</v>
      </c>
      <c r="B49" s="2" t="s">
        <v>24</v>
      </c>
      <c r="C49" s="2" t="s">
        <v>25</v>
      </c>
      <c r="D49" s="2" t="s">
        <v>26</v>
      </c>
      <c r="E49" s="2" t="s">
        <v>27</v>
      </c>
    </row>
    <row r="50" spans="1:5" x14ac:dyDescent="0.25">
      <c r="A50" s="11" t="s">
        <v>0</v>
      </c>
      <c r="B50" s="12">
        <v>0.50388500000000003</v>
      </c>
      <c r="C50" s="12">
        <v>6.2842499999999996E-2</v>
      </c>
      <c r="D50" s="12">
        <v>0.55000000000000004</v>
      </c>
      <c r="E50" s="12">
        <v>1.053885</v>
      </c>
    </row>
    <row r="51" spans="1:5" x14ac:dyDescent="0.25">
      <c r="A51" s="15" t="s">
        <v>1</v>
      </c>
      <c r="B51" s="14">
        <v>0.16325000000000001</v>
      </c>
      <c r="C51" s="14">
        <v>0.13125000000000001</v>
      </c>
      <c r="D51" s="14">
        <v>0.67500000000000004</v>
      </c>
      <c r="E51" s="14">
        <v>0.83825000000000005</v>
      </c>
    </row>
    <row r="52" spans="1:5" x14ac:dyDescent="0.25">
      <c r="A52" s="11" t="s">
        <v>2</v>
      </c>
      <c r="B52" s="12">
        <v>9.4199999999999992E-2</v>
      </c>
      <c r="C52" s="12">
        <v>0.11554999999999999</v>
      </c>
      <c r="D52" s="12">
        <v>0.99999999999999989</v>
      </c>
      <c r="E52" s="12">
        <v>1.1155499999999998</v>
      </c>
    </row>
    <row r="53" spans="1:5" x14ac:dyDescent="0.25">
      <c r="A53" s="15" t="s">
        <v>3</v>
      </c>
      <c r="B53" s="14">
        <v>9.3499999999999986E-2</v>
      </c>
      <c r="C53" s="14">
        <v>0.118571</v>
      </c>
      <c r="D53" s="14">
        <v>0.99999999999999989</v>
      </c>
      <c r="E53" s="14">
        <v>1.1185709999999998</v>
      </c>
    </row>
    <row r="54" spans="1:5" x14ac:dyDescent="0.25">
      <c r="A54" s="11" t="s">
        <v>4</v>
      </c>
      <c r="B54" s="12">
        <v>4.5949999999999998E-2</v>
      </c>
      <c r="C54" s="12">
        <v>6.1534999999999999E-2</v>
      </c>
      <c r="D54" s="12">
        <v>0.49999999999999994</v>
      </c>
      <c r="E54" s="12">
        <v>0.56153500000000001</v>
      </c>
    </row>
    <row r="55" spans="1:5" x14ac:dyDescent="0.25">
      <c r="A55" s="15" t="s">
        <v>5</v>
      </c>
      <c r="B55" s="14">
        <v>0.58549999999999991</v>
      </c>
      <c r="C55" s="14">
        <v>0.12301099999999998</v>
      </c>
      <c r="D55" s="14">
        <v>0.99999999999999989</v>
      </c>
      <c r="E55" s="14">
        <v>1.5854999999999999</v>
      </c>
    </row>
    <row r="56" spans="1:5" x14ac:dyDescent="0.25">
      <c r="A56" s="11" t="s">
        <v>6</v>
      </c>
      <c r="B56" s="12">
        <v>0.14229999999999998</v>
      </c>
      <c r="C56" s="12">
        <v>0.22449999999999998</v>
      </c>
      <c r="D56" s="12">
        <v>0.99999999999999989</v>
      </c>
      <c r="E56" s="12">
        <v>1.2244999999999999</v>
      </c>
    </row>
    <row r="57" spans="1:5" x14ac:dyDescent="0.25">
      <c r="A57" s="15" t="s">
        <v>7</v>
      </c>
      <c r="B57" s="14">
        <v>0.11123999999999999</v>
      </c>
      <c r="C57" s="14">
        <v>1.1680599999999998E-2</v>
      </c>
      <c r="D57" s="14">
        <v>0.99999999999999989</v>
      </c>
      <c r="E57" s="14">
        <v>1.11124</v>
      </c>
    </row>
    <row r="58" spans="1:5" x14ac:dyDescent="0.25">
      <c r="A58" s="11" t="s">
        <v>8</v>
      </c>
      <c r="B58" s="12">
        <v>0.12880999999999998</v>
      </c>
      <c r="C58" s="12">
        <v>1.1729999999999999E-2</v>
      </c>
      <c r="D58" s="12">
        <v>0.99999999999999989</v>
      </c>
      <c r="E58" s="12">
        <v>1.1288099999999999</v>
      </c>
    </row>
    <row r="59" spans="1:5" x14ac:dyDescent="0.25">
      <c r="A59" s="15" t="s">
        <v>9</v>
      </c>
      <c r="B59" s="14">
        <v>0.72501999999999989</v>
      </c>
      <c r="C59" s="14">
        <v>5.3199999999999997E-2</v>
      </c>
      <c r="D59" s="14">
        <v>0.99999999999999989</v>
      </c>
      <c r="E59" s="14">
        <v>1.7250199999999998</v>
      </c>
    </row>
    <row r="62" spans="1:5" x14ac:dyDescent="0.25">
      <c r="A62" s="8" t="s">
        <v>61</v>
      </c>
      <c r="B62" s="2" t="s">
        <v>22</v>
      </c>
      <c r="C62" s="2" t="s">
        <v>47</v>
      </c>
      <c r="D62" s="2" t="s">
        <v>28</v>
      </c>
      <c r="E62" s="2" t="s">
        <v>29</v>
      </c>
    </row>
    <row r="63" spans="1:5" x14ac:dyDescent="0.25">
      <c r="A63" s="11" t="s">
        <v>0</v>
      </c>
      <c r="B63" s="12">
        <v>0.55000000000000004</v>
      </c>
      <c r="C63" s="12">
        <v>1.1000000000000001</v>
      </c>
      <c r="D63" s="12">
        <v>0.4410425</v>
      </c>
      <c r="E63" s="12">
        <v>0.80189545454545452</v>
      </c>
    </row>
    <row r="64" spans="1:5" x14ac:dyDescent="0.25">
      <c r="A64" s="15" t="s">
        <v>1</v>
      </c>
      <c r="B64" s="14">
        <v>0.16875000000000001</v>
      </c>
      <c r="C64" s="14">
        <v>0.33750000000000002</v>
      </c>
      <c r="D64" s="14">
        <v>3.2000000000000001E-2</v>
      </c>
      <c r="E64" s="14">
        <v>0.18962962962962962</v>
      </c>
    </row>
    <row r="65" spans="1:5" x14ac:dyDescent="0.25">
      <c r="A65" s="11" t="s">
        <v>2</v>
      </c>
      <c r="B65" s="12">
        <v>0.12499999999999999</v>
      </c>
      <c r="C65" s="12">
        <v>0.24999999999999997</v>
      </c>
      <c r="D65" s="12">
        <v>2.1349999999999994E-2</v>
      </c>
      <c r="E65" s="12">
        <v>0.17079999999999998</v>
      </c>
    </row>
    <row r="66" spans="1:5" x14ac:dyDescent="0.25">
      <c r="A66" s="15" t="s">
        <v>3</v>
      </c>
      <c r="B66" s="14">
        <v>0.12499999999999999</v>
      </c>
      <c r="C66" s="14">
        <v>0.24999999999999997</v>
      </c>
      <c r="D66" s="14">
        <v>2.507100000000001E-2</v>
      </c>
      <c r="E66" s="14">
        <v>0.20056800000000011</v>
      </c>
    </row>
    <row r="67" spans="1:5" x14ac:dyDescent="0.25">
      <c r="A67" s="11" t="s">
        <v>4</v>
      </c>
      <c r="B67" s="12">
        <v>6.2499999999999993E-2</v>
      </c>
      <c r="C67" s="12">
        <v>0.12499999999999999</v>
      </c>
      <c r="D67" s="12">
        <v>1.5585000000000002E-2</v>
      </c>
      <c r="E67" s="12">
        <v>0.24936000000000005</v>
      </c>
    </row>
    <row r="68" spans="1:5" x14ac:dyDescent="0.25">
      <c r="A68" s="15" t="s">
        <v>5</v>
      </c>
      <c r="B68" s="14">
        <v>0.99999999999999989</v>
      </c>
      <c r="C68" s="14">
        <v>1.9999999999999998</v>
      </c>
      <c r="D68" s="14">
        <v>0.46248899999999993</v>
      </c>
      <c r="E68" s="14">
        <v>0.46248899999999998</v>
      </c>
    </row>
    <row r="69" spans="1:5" x14ac:dyDescent="0.25">
      <c r="A69" s="11" t="s">
        <v>6</v>
      </c>
      <c r="B69" s="12">
        <v>0.24999999999999997</v>
      </c>
      <c r="C69" s="12">
        <v>0.49999999999999994</v>
      </c>
      <c r="D69" s="12">
        <v>8.2199999999999995E-2</v>
      </c>
      <c r="E69" s="12">
        <v>0.32880000000000004</v>
      </c>
    </row>
    <row r="70" spans="1:5" x14ac:dyDescent="0.25">
      <c r="A70" s="15" t="s">
        <v>7</v>
      </c>
      <c r="B70" s="14">
        <v>0.12499999999999999</v>
      </c>
      <c r="C70" s="14">
        <v>0.24999999999999997</v>
      </c>
      <c r="D70" s="14">
        <v>9.9559399999999992E-2</v>
      </c>
      <c r="E70" s="14">
        <v>0.79647520000000005</v>
      </c>
    </row>
    <row r="71" spans="1:5" x14ac:dyDescent="0.25">
      <c r="A71" s="11" t="s">
        <v>8</v>
      </c>
      <c r="B71" s="12">
        <v>0.24999999999999997</v>
      </c>
      <c r="C71" s="12">
        <v>0.49999999999999994</v>
      </c>
      <c r="D71" s="12">
        <v>0.11707999999999998</v>
      </c>
      <c r="E71" s="12">
        <v>0.46831999999999996</v>
      </c>
    </row>
    <row r="72" spans="1:5" x14ac:dyDescent="0.25">
      <c r="A72" s="15" t="s">
        <v>9</v>
      </c>
      <c r="B72" s="14">
        <v>0.99999999999999989</v>
      </c>
      <c r="C72" s="14">
        <v>1.9999999999999998</v>
      </c>
      <c r="D72" s="14">
        <v>0.67181999999999986</v>
      </c>
      <c r="E72" s="14">
        <v>0.67181999999999997</v>
      </c>
    </row>
    <row r="74" spans="1:5" x14ac:dyDescent="0.25">
      <c r="A74" s="8" t="s">
        <v>61</v>
      </c>
      <c r="B74" s="2" t="s">
        <v>30</v>
      </c>
      <c r="C74" s="2" t="s">
        <v>13</v>
      </c>
      <c r="D74" s="2" t="s">
        <v>31</v>
      </c>
      <c r="E74" s="10" t="s">
        <v>32</v>
      </c>
    </row>
    <row r="75" spans="1:5" x14ac:dyDescent="0.25">
      <c r="A75" s="11" t="s">
        <v>0</v>
      </c>
      <c r="B75" s="12">
        <v>3363393.3125818181</v>
      </c>
      <c r="C75" s="12">
        <v>40.094772727272726</v>
      </c>
      <c r="D75" s="12">
        <v>1.3825323320365864E-5</v>
      </c>
      <c r="E75" s="13">
        <v>72331.038980254147</v>
      </c>
    </row>
    <row r="76" spans="1:5" x14ac:dyDescent="0.25">
      <c r="A76" s="15" t="s">
        <v>1</v>
      </c>
      <c r="B76" s="14">
        <v>795364.31407407403</v>
      </c>
      <c r="C76" s="14">
        <v>9.481481481481481</v>
      </c>
      <c r="D76" s="14">
        <v>5.8463774621486664E-5</v>
      </c>
      <c r="E76" s="16">
        <v>17104.608904818797</v>
      </c>
    </row>
    <row r="77" spans="1:5" x14ac:dyDescent="0.25">
      <c r="A77" s="11" t="s">
        <v>2</v>
      </c>
      <c r="B77" s="12">
        <v>716387.12319999991</v>
      </c>
      <c r="C77" s="12">
        <v>8.5399999999999991</v>
      </c>
      <c r="D77" s="12">
        <v>6.4909039392404321E-5</v>
      </c>
      <c r="E77" s="13">
        <v>15406.174692473116</v>
      </c>
    </row>
    <row r="78" spans="1:5" x14ac:dyDescent="0.25">
      <c r="A78" s="15" t="s">
        <v>3</v>
      </c>
      <c r="B78" s="14">
        <v>841243.16467200045</v>
      </c>
      <c r="C78" s="14">
        <v>10.028400000000005</v>
      </c>
      <c r="D78" s="14">
        <v>5.52753376820961E-5</v>
      </c>
      <c r="E78" s="16">
        <v>18091.250853161298</v>
      </c>
    </row>
    <row r="79" spans="1:5" x14ac:dyDescent="0.25">
      <c r="A79" s="11" t="s">
        <v>4</v>
      </c>
      <c r="B79" s="12">
        <v>1045891.6454400002</v>
      </c>
      <c r="C79" s="12">
        <v>12.468000000000004</v>
      </c>
      <c r="D79" s="12">
        <v>4.4459672474425147E-5</v>
      </c>
      <c r="E79" s="13">
        <v>22492.293450322584</v>
      </c>
    </row>
    <row r="80" spans="1:5" x14ac:dyDescent="0.25">
      <c r="A80" s="15" t="s">
        <v>5</v>
      </c>
      <c r="B80" s="14">
        <v>1939819.4626559999</v>
      </c>
      <c r="C80" s="14">
        <v>23.12445</v>
      </c>
      <c r="D80" s="14">
        <v>2.3971302946065001E-5</v>
      </c>
      <c r="E80" s="16">
        <v>41716.547584</v>
      </c>
    </row>
    <row r="81" spans="1:5" x14ac:dyDescent="0.25">
      <c r="A81" s="11" t="s">
        <v>6</v>
      </c>
      <c r="B81" s="12">
        <v>1379087.1552000002</v>
      </c>
      <c r="C81" s="12">
        <v>16.440000000000001</v>
      </c>
      <c r="D81" s="12">
        <v>3.3717955986078638E-5</v>
      </c>
      <c r="E81" s="13">
        <v>29657.78828387097</v>
      </c>
    </row>
    <row r="82" spans="1:5" x14ac:dyDescent="0.25">
      <c r="A82" s="15" t="s">
        <v>7</v>
      </c>
      <c r="B82" s="14">
        <v>3340659.1172608002</v>
      </c>
      <c r="C82" s="14">
        <v>39.82376</v>
      </c>
      <c r="D82" s="14">
        <v>1.3919408825563755E-5</v>
      </c>
      <c r="E82" s="16">
        <v>71842.1315539957</v>
      </c>
    </row>
    <row r="83" spans="1:5" x14ac:dyDescent="0.25">
      <c r="A83" s="11" t="s">
        <v>8</v>
      </c>
      <c r="B83" s="12">
        <v>1964276.4492799998</v>
      </c>
      <c r="C83" s="12">
        <v>23.415999999999997</v>
      </c>
      <c r="D83" s="12">
        <v>2.3672838931121152E-5</v>
      </c>
      <c r="E83" s="13">
        <v>42242.504285591393</v>
      </c>
    </row>
    <row r="84" spans="1:5" x14ac:dyDescent="0.25">
      <c r="A84" s="15" t="s">
        <v>9</v>
      </c>
      <c r="B84" s="14">
        <v>2817817.3132799999</v>
      </c>
      <c r="C84" s="14">
        <v>33.591000000000001</v>
      </c>
      <c r="D84" s="14">
        <v>1.6502134393472441E-5</v>
      </c>
      <c r="E84" s="16">
        <v>60598.221790967742</v>
      </c>
    </row>
  </sheetData>
  <conditionalFormatting sqref="D31:E40">
    <cfRule type="cellIs" dxfId="173" priority="120" operator="greaterThan">
      <formula>0.5</formula>
    </cfRule>
  </conditionalFormatting>
  <conditionalFormatting sqref="J4">
    <cfRule type="cellIs" dxfId="172" priority="62" operator="greaterThan">
      <formula>$N$4</formula>
    </cfRule>
  </conditionalFormatting>
  <conditionalFormatting sqref="J5">
    <cfRule type="cellIs" dxfId="171" priority="59" operator="greaterThan">
      <formula>$N$5</formula>
    </cfRule>
  </conditionalFormatting>
  <conditionalFormatting sqref="J6">
    <cfRule type="cellIs" dxfId="170" priority="57" operator="greaterThan">
      <formula>$N$6</formula>
    </cfRule>
  </conditionalFormatting>
  <conditionalFormatting sqref="J7">
    <cfRule type="cellIs" dxfId="169" priority="55" operator="greaterThan">
      <formula>$N$7</formula>
    </cfRule>
  </conditionalFormatting>
  <conditionalFormatting sqref="J8">
    <cfRule type="cellIs" dxfId="168" priority="53" operator="greaterThan">
      <formula>$N$8</formula>
    </cfRule>
  </conditionalFormatting>
  <conditionalFormatting sqref="J9">
    <cfRule type="cellIs" dxfId="167" priority="51" operator="greaterThan">
      <formula>$N$9</formula>
    </cfRule>
  </conditionalFormatting>
  <conditionalFormatting sqref="J10">
    <cfRule type="cellIs" dxfId="166" priority="49" operator="greaterThan">
      <formula>$N$10</formula>
    </cfRule>
  </conditionalFormatting>
  <conditionalFormatting sqref="J11">
    <cfRule type="cellIs" dxfId="165" priority="47" operator="greaterThan">
      <formula>$N$11</formula>
    </cfRule>
  </conditionalFormatting>
  <conditionalFormatting sqref="J12">
    <cfRule type="cellIs" dxfId="164" priority="45" operator="greaterThan">
      <formula>$N$12</formula>
    </cfRule>
  </conditionalFormatting>
  <conditionalFormatting sqref="J13">
    <cfRule type="cellIs" dxfId="163" priority="43" operator="greaterThan">
      <formula>$N$13</formula>
    </cfRule>
  </conditionalFormatting>
  <conditionalFormatting sqref="K4">
    <cfRule type="cellIs" dxfId="162" priority="60" operator="greaterThan">
      <formula>$N$4</formula>
    </cfRule>
  </conditionalFormatting>
  <conditionalFormatting sqref="K5">
    <cfRule type="cellIs" dxfId="161" priority="58" operator="greaterThan">
      <formula>$N$5</formula>
    </cfRule>
  </conditionalFormatting>
  <conditionalFormatting sqref="K6">
    <cfRule type="cellIs" dxfId="160" priority="56" operator="greaterThan">
      <formula>$N$6</formula>
    </cfRule>
  </conditionalFormatting>
  <conditionalFormatting sqref="K7">
    <cfRule type="cellIs" dxfId="159" priority="54" operator="greaterThan">
      <formula>$N$7</formula>
    </cfRule>
  </conditionalFormatting>
  <conditionalFormatting sqref="K8">
    <cfRule type="cellIs" dxfId="158" priority="52" operator="greaterThan">
      <formula>$N$8</formula>
    </cfRule>
  </conditionalFormatting>
  <conditionalFormatting sqref="K9">
    <cfRule type="cellIs" dxfId="157" priority="50" operator="greaterThan">
      <formula>$N$9</formula>
    </cfRule>
  </conditionalFormatting>
  <conditionalFormatting sqref="K10">
    <cfRule type="cellIs" dxfId="156" priority="48" operator="greaterThan">
      <formula>$N$10</formula>
    </cfRule>
  </conditionalFormatting>
  <conditionalFormatting sqref="K11">
    <cfRule type="cellIs" dxfId="155" priority="46" operator="greaterThan">
      <formula>$N$11</formula>
    </cfRule>
  </conditionalFormatting>
  <conditionalFormatting sqref="K12">
    <cfRule type="cellIs" dxfId="154" priority="44" operator="greaterThan">
      <formula>$N$12</formula>
    </cfRule>
  </conditionalFormatting>
  <conditionalFormatting sqref="K13">
    <cfRule type="cellIs" dxfId="153" priority="42" operator="greaterThan">
      <formula>$N$13</formula>
    </cfRule>
  </conditionalFormatting>
  <conditionalFormatting sqref="L4:L13 N4:N13">
    <cfRule type="cellIs" dxfId="152" priority="119" operator="greaterThan">
      <formula>1.4</formula>
    </cfRule>
  </conditionalFormatting>
  <conditionalFormatting sqref="L4:L13">
    <cfRule type="cellIs" dxfId="151" priority="117" operator="greaterThan">
      <formula>2.5</formula>
    </cfRule>
  </conditionalFormatting>
  <conditionalFormatting sqref="M4:M13">
    <cfRule type="cellIs" dxfId="150" priority="73" operator="greaterThan">
      <formula>2.9</formula>
    </cfRule>
  </conditionalFormatting>
  <conditionalFormatting sqref="P3">
    <cfRule type="cellIs" dxfId="149" priority="122" operator="lessThan">
      <formula>0.3</formula>
    </cfRule>
  </conditionalFormatting>
  <conditionalFormatting sqref="P4">
    <cfRule type="cellIs" dxfId="148" priority="90" operator="greaterThan">
      <formula>$O$4</formula>
    </cfRule>
  </conditionalFormatting>
  <conditionalFormatting sqref="P5">
    <cfRule type="cellIs" dxfId="147" priority="89" operator="greaterThan">
      <formula>$O$5</formula>
    </cfRule>
  </conditionalFormatting>
  <conditionalFormatting sqref="P6">
    <cfRule type="cellIs" dxfId="146" priority="88" operator="greaterThan">
      <formula>$O$6</formula>
    </cfRule>
  </conditionalFormatting>
  <conditionalFormatting sqref="P7">
    <cfRule type="cellIs" dxfId="145" priority="87" operator="greaterThan">
      <formula>$O$7</formula>
    </cfRule>
  </conditionalFormatting>
  <conditionalFormatting sqref="P8">
    <cfRule type="cellIs" dxfId="144" priority="86" operator="greaterThan">
      <formula>$O$8</formula>
    </cfRule>
  </conditionalFormatting>
  <conditionalFormatting sqref="P9">
    <cfRule type="cellIs" dxfId="143" priority="85" operator="greaterThan">
      <formula>$O$9</formula>
    </cfRule>
  </conditionalFormatting>
  <conditionalFormatting sqref="P10">
    <cfRule type="cellIs" dxfId="142" priority="84" operator="greaterThan">
      <formula>$O$10</formula>
    </cfRule>
  </conditionalFormatting>
  <conditionalFormatting sqref="P11">
    <cfRule type="cellIs" dxfId="141" priority="83" operator="greaterThan">
      <formula>$O$11</formula>
    </cfRule>
  </conditionalFormatting>
  <conditionalFormatting sqref="P12">
    <cfRule type="cellIs" dxfId="140" priority="82" operator="greaterThan">
      <formula>$O$12</formula>
    </cfRule>
  </conditionalFormatting>
  <conditionalFormatting sqref="P13">
    <cfRule type="cellIs" dxfId="139" priority="81" operator="greaterThan">
      <formula>$O$13</formula>
    </cfRule>
  </conditionalFormatting>
  <conditionalFormatting sqref="Q4:Q13">
    <cfRule type="cellIs" dxfId="138" priority="74" operator="greaterThan">
      <formula>2</formula>
    </cfRule>
  </conditionalFormatting>
  <conditionalFormatting sqref="R4:R13">
    <cfRule type="cellIs" dxfId="137" priority="80" operator="greaterThan">
      <formula>$B$17</formula>
    </cfRule>
  </conditionalFormatting>
  <conditionalFormatting sqref="S4:S13">
    <cfRule type="cellIs" dxfId="136" priority="126" operator="greaterThan">
      <formula>100</formula>
    </cfRule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{051FBA3E-BA4C-436F-924E-C9B01C233004}</x14:id>
        </ext>
      </extLst>
    </cfRule>
  </conditionalFormatting>
  <conditionalFormatting sqref="T4:T13">
    <cfRule type="cellIs" dxfId="135" priority="77" operator="greaterThan">
      <formula>0.5</formula>
    </cfRule>
  </conditionalFormatting>
  <conditionalFormatting sqref="U4:U13">
    <cfRule type="colorScale" priority="75">
      <colorScale>
        <cfvo type="min"/>
        <cfvo type="max"/>
        <color rgb="FFFF7128"/>
        <color rgb="FFFFEF9C"/>
      </colorScale>
    </cfRule>
  </conditionalFormatting>
  <conditionalFormatting sqref="B50">
    <cfRule type="cellIs" dxfId="44" priority="38" operator="greaterThan">
      <formula>$N$4</formula>
    </cfRule>
  </conditionalFormatting>
  <conditionalFormatting sqref="B51">
    <cfRule type="cellIs" dxfId="43" priority="36" operator="greaterThan">
      <formula>$N$5</formula>
    </cfRule>
  </conditionalFormatting>
  <conditionalFormatting sqref="B52">
    <cfRule type="cellIs" dxfId="42" priority="34" operator="greaterThan">
      <formula>$N$6</formula>
    </cfRule>
  </conditionalFormatting>
  <conditionalFormatting sqref="B53">
    <cfRule type="cellIs" dxfId="41" priority="32" operator="greaterThan">
      <formula>$N$7</formula>
    </cfRule>
  </conditionalFormatting>
  <conditionalFormatting sqref="B54">
    <cfRule type="cellIs" dxfId="40" priority="30" operator="greaterThan">
      <formula>$N$8</formula>
    </cfRule>
  </conditionalFormatting>
  <conditionalFormatting sqref="B55">
    <cfRule type="cellIs" dxfId="39" priority="28" operator="greaterThan">
      <formula>$N$9</formula>
    </cfRule>
  </conditionalFormatting>
  <conditionalFormatting sqref="B56">
    <cfRule type="cellIs" dxfId="38" priority="26" operator="greaterThan">
      <formula>$N$10</formula>
    </cfRule>
  </conditionalFormatting>
  <conditionalFormatting sqref="B57">
    <cfRule type="cellIs" dxfId="37" priority="24" operator="greaterThan">
      <formula>$N$11</formula>
    </cfRule>
  </conditionalFormatting>
  <conditionalFormatting sqref="B58">
    <cfRule type="cellIs" dxfId="36" priority="22" operator="greaterThan">
      <formula>$N$12</formula>
    </cfRule>
  </conditionalFormatting>
  <conditionalFormatting sqref="B59">
    <cfRule type="cellIs" dxfId="35" priority="20" operator="greaterThan">
      <formula>$N$13</formula>
    </cfRule>
  </conditionalFormatting>
  <conditionalFormatting sqref="C50">
    <cfRule type="cellIs" dxfId="34" priority="37" operator="greaterThan">
      <formula>$N$4</formula>
    </cfRule>
  </conditionalFormatting>
  <conditionalFormatting sqref="C51">
    <cfRule type="cellIs" dxfId="33" priority="35" operator="greaterThan">
      <formula>$N$5</formula>
    </cfRule>
  </conditionalFormatting>
  <conditionalFormatting sqref="C52">
    <cfRule type="cellIs" dxfId="32" priority="33" operator="greaterThan">
      <formula>$N$6</formula>
    </cfRule>
  </conditionalFormatting>
  <conditionalFormatting sqref="C53">
    <cfRule type="cellIs" dxfId="31" priority="31" operator="greaterThan">
      <formula>$N$7</formula>
    </cfRule>
  </conditionalFormatting>
  <conditionalFormatting sqref="C54">
    <cfRule type="cellIs" dxfId="30" priority="29" operator="greaterThan">
      <formula>$N$8</formula>
    </cfRule>
  </conditionalFormatting>
  <conditionalFormatting sqref="C55">
    <cfRule type="cellIs" dxfId="29" priority="27" operator="greaterThan">
      <formula>$N$9</formula>
    </cfRule>
  </conditionalFormatting>
  <conditionalFormatting sqref="C56">
    <cfRule type="cellIs" dxfId="28" priority="25" operator="greaterThan">
      <formula>$N$10</formula>
    </cfRule>
  </conditionalFormatting>
  <conditionalFormatting sqref="C57">
    <cfRule type="cellIs" dxfId="27" priority="23" operator="greaterThan">
      <formula>$N$11</formula>
    </cfRule>
  </conditionalFormatting>
  <conditionalFormatting sqref="C58">
    <cfRule type="cellIs" dxfId="26" priority="21" operator="greaterThan">
      <formula>$N$12</formula>
    </cfRule>
  </conditionalFormatting>
  <conditionalFormatting sqref="C59">
    <cfRule type="cellIs" dxfId="25" priority="19" operator="greaterThan">
      <formula>$N$13</formula>
    </cfRule>
  </conditionalFormatting>
  <conditionalFormatting sqref="D50:D59">
    <cfRule type="cellIs" dxfId="24" priority="41" operator="greaterThan">
      <formula>1.4</formula>
    </cfRule>
  </conditionalFormatting>
  <conditionalFormatting sqref="D50:D59">
    <cfRule type="cellIs" dxfId="23" priority="40" operator="greaterThan">
      <formula>2.5</formula>
    </cfRule>
  </conditionalFormatting>
  <conditionalFormatting sqref="E50:E59">
    <cfRule type="cellIs" dxfId="22" priority="39" operator="greaterThan">
      <formula>2.9</formula>
    </cfRule>
  </conditionalFormatting>
  <conditionalFormatting sqref="B63:B72">
    <cfRule type="cellIs" dxfId="21" priority="17" operator="greaterThan">
      <formula>1.4</formula>
    </cfRule>
  </conditionalFormatting>
  <conditionalFormatting sqref="D62">
    <cfRule type="cellIs" dxfId="20" priority="18" operator="lessThan">
      <formula>0.3</formula>
    </cfRule>
  </conditionalFormatting>
  <conditionalFormatting sqref="D63">
    <cfRule type="cellIs" dxfId="19" priority="16" operator="greaterThan">
      <formula>$O$4</formula>
    </cfRule>
  </conditionalFormatting>
  <conditionalFormatting sqref="D64">
    <cfRule type="cellIs" dxfId="18" priority="15" operator="greaterThan">
      <formula>$O$5</formula>
    </cfRule>
  </conditionalFormatting>
  <conditionalFormatting sqref="D65">
    <cfRule type="cellIs" dxfId="17" priority="14" operator="greaterThan">
      <formula>$O$6</formula>
    </cfRule>
  </conditionalFormatting>
  <conditionalFormatting sqref="D66">
    <cfRule type="cellIs" dxfId="16" priority="13" operator="greaterThan">
      <formula>$O$7</formula>
    </cfRule>
  </conditionalFormatting>
  <conditionalFormatting sqref="D67">
    <cfRule type="cellIs" dxfId="15" priority="12" operator="greaterThan">
      <formula>$O$8</formula>
    </cfRule>
  </conditionalFormatting>
  <conditionalFormatting sqref="D68">
    <cfRule type="cellIs" dxfId="14" priority="11" operator="greaterThan">
      <formula>$O$9</formula>
    </cfRule>
  </conditionalFormatting>
  <conditionalFormatting sqref="D69">
    <cfRule type="cellIs" dxfId="13" priority="10" operator="greaterThan">
      <formula>$O$10</formula>
    </cfRule>
  </conditionalFormatting>
  <conditionalFormatting sqref="D70">
    <cfRule type="cellIs" dxfId="12" priority="9" operator="greaterThan">
      <formula>$O$11</formula>
    </cfRule>
  </conditionalFormatting>
  <conditionalFormatting sqref="D71">
    <cfRule type="cellIs" dxfId="11" priority="8" operator="greaterThan">
      <formula>$O$12</formula>
    </cfRule>
  </conditionalFormatting>
  <conditionalFormatting sqref="D72">
    <cfRule type="cellIs" dxfId="10" priority="7" operator="greaterThan">
      <formula>$O$13</formula>
    </cfRule>
  </conditionalFormatting>
  <conditionalFormatting sqref="E63:E72">
    <cfRule type="cellIs" dxfId="9" priority="6" operator="greaterThan">
      <formula>2</formula>
    </cfRule>
  </conditionalFormatting>
  <conditionalFormatting sqref="B75:B84">
    <cfRule type="cellIs" dxfId="2" priority="3" operator="greaterThan">
      <formula>$B$17</formula>
    </cfRule>
  </conditionalFormatting>
  <conditionalFormatting sqref="C75:C84">
    <cfRule type="cellIs" dxfId="1" priority="4" operator="greaterThan">
      <formula>100</formula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{8D41DF75-2FEF-49B0-8BC9-A8B3B15818C5}</x14:id>
        </ext>
      </extLst>
    </cfRule>
  </conditionalFormatting>
  <conditionalFormatting sqref="D75:D84">
    <cfRule type="cellIs" dxfId="0" priority="2" operator="greaterThan">
      <formula>0.5</formula>
    </cfRule>
  </conditionalFormatting>
  <conditionalFormatting sqref="E75:E84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1FBA3E-BA4C-436F-924E-C9B01C2330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S4:S13</xm:sqref>
        </x14:conditionalFormatting>
        <x14:conditionalFormatting xmlns:xm="http://schemas.microsoft.com/office/excel/2006/main">
          <x14:cfRule type="dataBar" id="{8D41DF75-2FEF-49B0-8BC9-A8B3B15818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C75:C84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EF5B73FA-64B4-453B-8EC1-8CE87671FC57}">
          <x14:formula1>
            <xm:f>Feuil2!$A$2:$A$9</xm:f>
          </x14:formula1>
          <xm:sqref>E4:E13</xm:sqref>
        </x14:dataValidation>
        <x14:dataValidation type="list" allowBlank="1" showInputMessage="1" showErrorMessage="1" xr:uid="{6F66D16F-C92E-426D-88F0-C71C08DB859E}">
          <x14:formula1>
            <xm:f>Feuil2!$B$2:$B$129</xm:f>
          </x14:formula1>
          <xm:sqref>I4:I13</xm:sqref>
        </x14:dataValidation>
        <x14:dataValidation type="list" allowBlank="1" showInputMessage="1" showErrorMessage="1" xr:uid="{90179D26-9902-45C2-9501-F46156193809}">
          <x14:formula1>
            <xm:f>Feuil2!$C$2:$C$5</xm:f>
          </x14:formula1>
          <xm:sqref>D4:D13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9259-529E-4DA2-8E37-A3E83D38D306}">
  <dimension ref="A1"/>
  <sheetViews>
    <sheetView workbookViewId="0">
      <selection sqref="A1:E38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DC17-87D1-4A5A-A959-162ABB85E1D0}">
  <dimension ref="A1:U52"/>
  <sheetViews>
    <sheetView workbookViewId="0">
      <selection sqref="A1:U52"/>
    </sheetView>
  </sheetViews>
  <sheetFormatPr baseColWidth="10" defaultRowHeight="15" x14ac:dyDescent="0.25"/>
  <cols>
    <col min="1" max="1" width="17.5703125" customWidth="1"/>
  </cols>
  <sheetData>
    <row r="1" spans="1:21" ht="15.75" x14ac:dyDescent="0.25">
      <c r="A1" s="1" t="s">
        <v>16</v>
      </c>
      <c r="B1" s="1" t="s">
        <v>10</v>
      </c>
      <c r="C1" s="1" t="s">
        <v>17</v>
      </c>
      <c r="D1" s="1" t="s">
        <v>33</v>
      </c>
      <c r="E1" s="1" t="s">
        <v>11</v>
      </c>
      <c r="F1" s="1" t="s">
        <v>23</v>
      </c>
      <c r="G1" s="1" t="s">
        <v>14</v>
      </c>
      <c r="H1" s="1" t="s">
        <v>15</v>
      </c>
      <c r="I1" s="1" t="s">
        <v>12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22</v>
      </c>
      <c r="O1" s="1" t="s">
        <v>47</v>
      </c>
      <c r="P1" s="1" t="s">
        <v>28</v>
      </c>
      <c r="Q1" s="1" t="s">
        <v>29</v>
      </c>
      <c r="R1" s="1" t="s">
        <v>30</v>
      </c>
      <c r="S1" s="1" t="s">
        <v>13</v>
      </c>
      <c r="T1" s="1" t="s">
        <v>31</v>
      </c>
      <c r="U1" s="1" t="s">
        <v>32</v>
      </c>
    </row>
    <row r="2" spans="1:21" x14ac:dyDescent="0.25">
      <c r="A2" s="1" t="s">
        <v>0</v>
      </c>
      <c r="B2" s="1">
        <v>2015.54</v>
      </c>
      <c r="C2" s="1">
        <v>251.37</v>
      </c>
      <c r="D2" s="1">
        <v>2200</v>
      </c>
      <c r="E2" s="1">
        <v>250</v>
      </c>
      <c r="F2" s="1">
        <f>Tableau15[[#This Row],[IDAC'[uA']]]*0.000001</f>
        <v>2.5000000000000001E-4</v>
      </c>
      <c r="G2" s="1"/>
      <c r="H2" s="1"/>
      <c r="I2" s="1">
        <v>1</v>
      </c>
      <c r="J2" s="1">
        <f>E2*10^-6*Tableau15[[#This Row],[R à -15'[°C']]]</f>
        <v>0.50388500000000003</v>
      </c>
      <c r="K2" s="1">
        <f>E2*10^-6*Tableau15[[#This Row],[R à +40'[°C']]]</f>
        <v>6.2842499999999996E-2</v>
      </c>
      <c r="L2" s="1">
        <f>Tableau15[[#This Row],[Rref '[Ω']]]*Tableau15[[#This Row],[IDAC'[A']]]</f>
        <v>0.55000000000000004</v>
      </c>
      <c r="M2" s="1">
        <f>Tableau15[[#This Row],[IDAC'[A']]]*(Tableau15[[#This Row],[Rref '[Ω']]]+MAX(Tableau15[[#This Row],[R à -15'[°C']]],Tableau15[[#This Row],[R à +40'[°C']]]))</f>
        <v>1.053885</v>
      </c>
      <c r="N2" s="1">
        <f>Tableau15[[#This Row],[Vref '[V']]]/Tableau15[[#This Row],[Gain]]</f>
        <v>0.55000000000000004</v>
      </c>
      <c r="O2" s="1">
        <f>Tableau15[[#This Row],[FS_ADC]]*2</f>
        <v>1.1000000000000001</v>
      </c>
      <c r="P2" s="1">
        <f>ABS(Tableau15[[#This Row],[V @ Tmax mesurée '[V']]]-Tableau15[[#This Row],[V @ Tmin mesurée '[V']]])</f>
        <v>0.4410425</v>
      </c>
      <c r="Q2" s="1">
        <f>Tableau15[[#This Row],[DV'[V']]]/(Tableau15[[#This Row],[Vref '[V']]]/Tableau15[[#This Row],[Gain]])</f>
        <v>0.80189545454545452</v>
      </c>
      <c r="R2" s="1">
        <f>(Tableau15[[#This Row],[Dvout'[V']]]/2)*B15</f>
        <v>3363393.3125818181</v>
      </c>
      <c r="S2" s="1">
        <f>(R2/B15)*100</f>
        <v>40.094772727272726</v>
      </c>
      <c r="T2" s="1">
        <f>1/Tableau15[[#This Row],[Taux de variation numérique par '[°C']]]</f>
        <v>1.3825323320365864E-5</v>
      </c>
      <c r="U2" s="1">
        <f>R2/A15</f>
        <v>72331.038980254147</v>
      </c>
    </row>
    <row r="3" spans="1:21" x14ac:dyDescent="0.25">
      <c r="A3" s="1" t="s">
        <v>1</v>
      </c>
      <c r="B3" s="1">
        <v>653</v>
      </c>
      <c r="C3" s="1">
        <v>525</v>
      </c>
      <c r="D3" s="1">
        <v>2700</v>
      </c>
      <c r="E3" s="1">
        <v>250</v>
      </c>
      <c r="F3" s="1">
        <f>Tableau15[[#This Row],[IDAC'[uA']]]*0.000001</f>
        <v>2.5000000000000001E-4</v>
      </c>
      <c r="G3" s="1"/>
      <c r="H3" s="1"/>
      <c r="I3" s="1">
        <v>4</v>
      </c>
      <c r="J3" s="1">
        <f>E3*10^-6*Tableau15[[#This Row],[R à -15'[°C']]]</f>
        <v>0.16325000000000001</v>
      </c>
      <c r="K3" s="1">
        <f>E3*10^-6*Tableau15[[#This Row],[R à +40'[°C']]]</f>
        <v>0.13125000000000001</v>
      </c>
      <c r="L3" s="1">
        <f>Tableau15[[#This Row],[Rref '[Ω']]]*Tableau15[[#This Row],[IDAC'[A']]]</f>
        <v>0.67500000000000004</v>
      </c>
      <c r="M3" s="1">
        <f>Tableau15[[#This Row],[IDAC'[A']]]*(Tableau15[[#This Row],[Rref '[Ω']]]+MAX(Tableau15[[#This Row],[R à -15'[°C']]],Tableau15[[#This Row],[R à +40'[°C']]]))</f>
        <v>0.83825000000000005</v>
      </c>
      <c r="N3" s="1">
        <f>Tableau15[[#This Row],[Vref '[V']]]/Tableau15[[#This Row],[Gain]]</f>
        <v>0.16875000000000001</v>
      </c>
      <c r="O3" s="1">
        <f>Tableau15[[#This Row],[FS_ADC]]*2</f>
        <v>0.33750000000000002</v>
      </c>
      <c r="P3" s="1">
        <f>ABS(Tableau15[[#This Row],[V @ Tmax mesurée '[V']]]-Tableau15[[#This Row],[V @ Tmin mesurée '[V']]])</f>
        <v>3.2000000000000001E-2</v>
      </c>
      <c r="Q3" s="1">
        <f>Tableau15[[#This Row],[DV'[V']]]/(Tableau15[[#This Row],[Vref '[V']]]/Tableau15[[#This Row],[Gain]])</f>
        <v>0.18962962962962962</v>
      </c>
      <c r="R3" s="1">
        <f>(Tableau15[[#This Row],[Dvout'[V']]]/2)*B16</f>
        <v>795364.31407407403</v>
      </c>
      <c r="S3" s="1">
        <f t="shared" ref="S3:S12" si="0">(R3/B16)*100</f>
        <v>9.481481481481481</v>
      </c>
      <c r="T3" s="1">
        <f>1/Tableau15[[#This Row],[Taux de variation numérique par '[°C']]]</f>
        <v>5.8463774621486664E-5</v>
      </c>
      <c r="U3" s="1">
        <f t="shared" ref="U3:U12" si="1">R3/A16</f>
        <v>17104.608904818797</v>
      </c>
    </row>
    <row r="4" spans="1:21" x14ac:dyDescent="0.25">
      <c r="A4" s="1" t="s">
        <v>2</v>
      </c>
      <c r="B4" s="1">
        <v>942</v>
      </c>
      <c r="C4" s="1">
        <v>1155.5</v>
      </c>
      <c r="D4" s="1">
        <v>10000</v>
      </c>
      <c r="E4" s="1">
        <v>100</v>
      </c>
      <c r="F4" s="1">
        <f>Tableau15[[#This Row],[IDAC'[uA']]]*0.000001</f>
        <v>9.9999999999999991E-5</v>
      </c>
      <c r="G4" s="1"/>
      <c r="H4" s="1"/>
      <c r="I4" s="1">
        <v>8</v>
      </c>
      <c r="J4" s="1">
        <f>E4*10^-6*Tableau15[[#This Row],[R à -15'[°C']]]</f>
        <v>9.4199999999999992E-2</v>
      </c>
      <c r="K4" s="1">
        <f>E4*10^-6*Tableau15[[#This Row],[R à +40'[°C']]]</f>
        <v>0.11554999999999999</v>
      </c>
      <c r="L4" s="1">
        <f>Tableau15[[#This Row],[Rref '[Ω']]]*Tableau15[[#This Row],[IDAC'[A']]]</f>
        <v>0.99999999999999989</v>
      </c>
      <c r="M4" s="1">
        <f>Tableau15[[#This Row],[IDAC'[A']]]*(Tableau15[[#This Row],[Rref '[Ω']]]+MAX(Tableau15[[#This Row],[R à -15'[°C']]],Tableau15[[#This Row],[R à +40'[°C']]]))</f>
        <v>1.1155499999999998</v>
      </c>
      <c r="N4" s="1">
        <f>Tableau15[[#This Row],[Vref '[V']]]/Tableau15[[#This Row],[Gain]]</f>
        <v>0.12499999999999999</v>
      </c>
      <c r="O4" s="1">
        <f>Tableau15[[#This Row],[FS_ADC]]*2</f>
        <v>0.24999999999999997</v>
      </c>
      <c r="P4" s="1">
        <f>ABS(Tableau15[[#This Row],[V @ Tmax mesurée '[V']]]-Tableau15[[#This Row],[V @ Tmin mesurée '[V']]])</f>
        <v>2.1349999999999994E-2</v>
      </c>
      <c r="Q4" s="1">
        <f>Tableau15[[#This Row],[DV'[V']]]/(Tableau15[[#This Row],[Vref '[V']]]/Tableau15[[#This Row],[Gain]])</f>
        <v>0.17079999999999998</v>
      </c>
      <c r="R4" s="1">
        <f>(Tableau15[[#This Row],[Dvout'[V']]]/2)*B17</f>
        <v>716387.12319999991</v>
      </c>
      <c r="S4" s="1">
        <f t="shared" si="0"/>
        <v>8.5399999999999991</v>
      </c>
      <c r="T4" s="1">
        <f>1/Tableau15[[#This Row],[Taux de variation numérique par '[°C']]]</f>
        <v>6.4909039392404321E-5</v>
      </c>
      <c r="U4" s="1">
        <f t="shared" si="1"/>
        <v>15406.174692473116</v>
      </c>
    </row>
    <row r="5" spans="1:21" x14ac:dyDescent="0.25">
      <c r="A5" s="1" t="s">
        <v>3</v>
      </c>
      <c r="B5" s="1">
        <v>935</v>
      </c>
      <c r="C5" s="1">
        <v>1185.71</v>
      </c>
      <c r="D5" s="1">
        <v>10000</v>
      </c>
      <c r="E5" s="1">
        <v>100</v>
      </c>
      <c r="F5" s="1">
        <f>Tableau15[[#This Row],[IDAC'[uA']]]*0.000001</f>
        <v>9.9999999999999991E-5</v>
      </c>
      <c r="G5" s="1"/>
      <c r="H5" s="1"/>
      <c r="I5" s="1">
        <v>8</v>
      </c>
      <c r="J5" s="1">
        <f>E5*10^-6*Tableau15[[#This Row],[R à -15'[°C']]]</f>
        <v>9.3499999999999986E-2</v>
      </c>
      <c r="K5" s="1">
        <f>E5*10^-6*Tableau15[[#This Row],[R à +40'[°C']]]</f>
        <v>0.118571</v>
      </c>
      <c r="L5" s="1">
        <f>Tableau15[[#This Row],[Rref '[Ω']]]*Tableau15[[#This Row],[IDAC'[A']]]</f>
        <v>0.99999999999999989</v>
      </c>
      <c r="M5" s="1">
        <f>Tableau15[[#This Row],[IDAC'[A']]]*(Tableau15[[#This Row],[Rref '[Ω']]]+MAX(Tableau15[[#This Row],[R à -15'[°C']]],Tableau15[[#This Row],[R à +40'[°C']]]))</f>
        <v>1.1185709999999998</v>
      </c>
      <c r="N5" s="1">
        <f>Tableau15[[#This Row],[Vref '[V']]]/Tableau15[[#This Row],[Gain]]</f>
        <v>0.12499999999999999</v>
      </c>
      <c r="O5" s="1">
        <f>Tableau15[[#This Row],[FS_ADC]]*2</f>
        <v>0.24999999999999997</v>
      </c>
      <c r="P5" s="1">
        <f>ABS(Tableau15[[#This Row],[V @ Tmax mesurée '[V']]]-Tableau15[[#This Row],[V @ Tmin mesurée '[V']]])</f>
        <v>2.507100000000001E-2</v>
      </c>
      <c r="Q5" s="1">
        <f>Tableau15[[#This Row],[DV'[V']]]/(Tableau15[[#This Row],[Vref '[V']]]/Tableau15[[#This Row],[Gain]])</f>
        <v>0.20056800000000011</v>
      </c>
      <c r="R5" s="1">
        <f>(Tableau15[[#This Row],[Dvout'[V']]]/2)*B18</f>
        <v>841243.16467200045</v>
      </c>
      <c r="S5" s="1">
        <f t="shared" si="0"/>
        <v>10.028400000000005</v>
      </c>
      <c r="T5" s="1">
        <f>1/Tableau15[[#This Row],[Taux de variation numérique par '[°C']]]</f>
        <v>5.52753376820961E-5</v>
      </c>
      <c r="U5" s="1">
        <f t="shared" si="1"/>
        <v>18091.250853161298</v>
      </c>
    </row>
    <row r="6" spans="1:21" x14ac:dyDescent="0.25">
      <c r="A6" s="1" t="s">
        <v>4</v>
      </c>
      <c r="B6" s="1">
        <v>919</v>
      </c>
      <c r="C6" s="1">
        <v>1230.7</v>
      </c>
      <c r="D6" s="1">
        <v>10000</v>
      </c>
      <c r="E6" s="1">
        <v>50</v>
      </c>
      <c r="F6" s="1">
        <f>Tableau15[[#This Row],[IDAC'[uA']]]*0.000001</f>
        <v>4.9999999999999996E-5</v>
      </c>
      <c r="G6" s="1"/>
      <c r="H6" s="1"/>
      <c r="I6" s="1">
        <v>8</v>
      </c>
      <c r="J6" s="1">
        <f>E6*10^-6*Tableau15[[#This Row],[R à -15'[°C']]]</f>
        <v>4.5949999999999998E-2</v>
      </c>
      <c r="K6" s="1">
        <f>E6*10^-6*Tableau15[[#This Row],[R à +40'[°C']]]</f>
        <v>6.1534999999999999E-2</v>
      </c>
      <c r="L6" s="1">
        <f>Tableau15[[#This Row],[Rref '[Ω']]]*Tableau15[[#This Row],[IDAC'[A']]]</f>
        <v>0.49999999999999994</v>
      </c>
      <c r="M6" s="1">
        <f>Tableau15[[#This Row],[IDAC'[A']]]*(Tableau15[[#This Row],[Rref '[Ω']]]+MAX(Tableau15[[#This Row],[R à -15'[°C']]],Tableau15[[#This Row],[R à +40'[°C']]]))</f>
        <v>0.56153500000000001</v>
      </c>
      <c r="N6" s="1">
        <f>Tableau15[[#This Row],[Vref '[V']]]/Tableau15[[#This Row],[Gain]]</f>
        <v>6.2499999999999993E-2</v>
      </c>
      <c r="O6" s="1">
        <f>Tableau15[[#This Row],[FS_ADC]]*2</f>
        <v>0.12499999999999999</v>
      </c>
      <c r="P6" s="1">
        <f>ABS(Tableau15[[#This Row],[V @ Tmax mesurée '[V']]]-Tableau15[[#This Row],[V @ Tmin mesurée '[V']]])</f>
        <v>1.5585000000000002E-2</v>
      </c>
      <c r="Q6" s="1">
        <f>Tableau15[[#This Row],[DV'[V']]]/(Tableau15[[#This Row],[Vref '[V']]]/Tableau15[[#This Row],[Gain]])</f>
        <v>0.24936000000000005</v>
      </c>
      <c r="R6" s="1">
        <f>(Tableau15[[#This Row],[Dvout'[V']]]/2)*B19</f>
        <v>1045891.6454400002</v>
      </c>
      <c r="S6" s="1">
        <f t="shared" si="0"/>
        <v>12.468000000000004</v>
      </c>
      <c r="T6" s="1">
        <f>1/Tableau15[[#This Row],[Taux de variation numérique par '[°C']]]</f>
        <v>4.4459672474425147E-5</v>
      </c>
      <c r="U6" s="1">
        <f t="shared" si="1"/>
        <v>22492.293450322584</v>
      </c>
    </row>
    <row r="7" spans="1:21" x14ac:dyDescent="0.25">
      <c r="A7" s="1" t="s">
        <v>5</v>
      </c>
      <c r="B7" s="1">
        <v>5855</v>
      </c>
      <c r="C7" s="1">
        <v>1230.1099999999999</v>
      </c>
      <c r="D7" s="1">
        <v>10000</v>
      </c>
      <c r="E7" s="1">
        <v>100</v>
      </c>
      <c r="F7" s="1">
        <f>Tableau15[[#This Row],[IDAC'[uA']]]*0.000001</f>
        <v>9.9999999999999991E-5</v>
      </c>
      <c r="G7" s="1"/>
      <c r="H7" s="1"/>
      <c r="I7" s="1">
        <v>1</v>
      </c>
      <c r="J7" s="1">
        <f>E7*10^-6*Tableau15[[#This Row],[R à -15'[°C']]]</f>
        <v>0.58549999999999991</v>
      </c>
      <c r="K7" s="1">
        <f>E7*10^-6*Tableau15[[#This Row],[R à +40'[°C']]]</f>
        <v>0.12301099999999998</v>
      </c>
      <c r="L7" s="1">
        <f>Tableau15[[#This Row],[Rref '[Ω']]]*Tableau15[[#This Row],[IDAC'[A']]]</f>
        <v>0.99999999999999989</v>
      </c>
      <c r="M7" s="1">
        <f>Tableau15[[#This Row],[IDAC'[A']]]*(Tableau15[[#This Row],[Rref '[Ω']]]+MAX(Tableau15[[#This Row],[R à -15'[°C']]],Tableau15[[#This Row],[R à +40'[°C']]]))</f>
        <v>1.5854999999999999</v>
      </c>
      <c r="N7" s="1">
        <f>Tableau15[[#This Row],[Vref '[V']]]/Tableau15[[#This Row],[Gain]]</f>
        <v>0.99999999999999989</v>
      </c>
      <c r="O7" s="1">
        <f>Tableau15[[#This Row],[FS_ADC]]*2</f>
        <v>1.9999999999999998</v>
      </c>
      <c r="P7" s="1">
        <f>ABS(Tableau15[[#This Row],[V @ Tmax mesurée '[V']]]-Tableau15[[#This Row],[V @ Tmin mesurée '[V']]])</f>
        <v>0.46248899999999993</v>
      </c>
      <c r="Q7" s="1">
        <f>Tableau15[[#This Row],[DV'[V']]]/(Tableau15[[#This Row],[Vref '[V']]]/Tableau15[[#This Row],[Gain]])</f>
        <v>0.46248899999999998</v>
      </c>
      <c r="R7" s="1">
        <f>(Tableau15[[#This Row],[Dvout'[V']]]/2)*B20</f>
        <v>1939819.4626559999</v>
      </c>
      <c r="S7" s="1">
        <f t="shared" si="0"/>
        <v>23.12445</v>
      </c>
      <c r="T7" s="1">
        <f>1/Tableau15[[#This Row],[Taux de variation numérique par '[°C']]]</f>
        <v>2.3971302946065001E-5</v>
      </c>
      <c r="U7" s="1">
        <f t="shared" si="1"/>
        <v>41716.547584</v>
      </c>
    </row>
    <row r="8" spans="1:21" x14ac:dyDescent="0.25">
      <c r="A8" s="1" t="s">
        <v>6</v>
      </c>
      <c r="B8" s="1">
        <v>1423</v>
      </c>
      <c r="C8" s="1">
        <v>2245</v>
      </c>
      <c r="D8" s="1">
        <v>10000</v>
      </c>
      <c r="E8" s="1">
        <v>100</v>
      </c>
      <c r="F8" s="1">
        <f>Tableau15[[#This Row],[IDAC'[uA']]]*0.000001</f>
        <v>9.9999999999999991E-5</v>
      </c>
      <c r="G8" s="1"/>
      <c r="H8" s="1"/>
      <c r="I8" s="1">
        <v>4</v>
      </c>
      <c r="J8" s="1">
        <f>E8*10^-6*Tableau15[[#This Row],[R à -15'[°C']]]</f>
        <v>0.14229999999999998</v>
      </c>
      <c r="K8" s="1">
        <f>E8*10^-6*Tableau15[[#This Row],[R à +40'[°C']]]</f>
        <v>0.22449999999999998</v>
      </c>
      <c r="L8" s="1">
        <f>Tableau15[[#This Row],[Rref '[Ω']]]*Tableau15[[#This Row],[IDAC'[A']]]</f>
        <v>0.99999999999999989</v>
      </c>
      <c r="M8" s="1">
        <f>Tableau15[[#This Row],[IDAC'[A']]]*(Tableau15[[#This Row],[Rref '[Ω']]]+MAX(Tableau15[[#This Row],[R à -15'[°C']]],Tableau15[[#This Row],[R à +40'[°C']]]))</f>
        <v>1.2244999999999999</v>
      </c>
      <c r="N8" s="1">
        <f>Tableau15[[#This Row],[Vref '[V']]]/Tableau15[[#This Row],[Gain]]</f>
        <v>0.24999999999999997</v>
      </c>
      <c r="O8" s="1">
        <f>Tableau15[[#This Row],[FS_ADC]]*2</f>
        <v>0.49999999999999994</v>
      </c>
      <c r="P8" s="1">
        <f>ABS(Tableau15[[#This Row],[V @ Tmax mesurée '[V']]]-Tableau15[[#This Row],[V @ Tmin mesurée '[V']]])</f>
        <v>8.2199999999999995E-2</v>
      </c>
      <c r="Q8" s="1">
        <f>Tableau15[[#This Row],[DV'[V']]]/(Tableau15[[#This Row],[Vref '[V']]]/Tableau15[[#This Row],[Gain]])</f>
        <v>0.32880000000000004</v>
      </c>
      <c r="R8" s="1">
        <f>(Tableau15[[#This Row],[Dvout'[V']]]/2)*B21</f>
        <v>1379087.1552000002</v>
      </c>
      <c r="S8" s="1">
        <f t="shared" si="0"/>
        <v>16.440000000000001</v>
      </c>
      <c r="T8" s="1">
        <f>1/Tableau15[[#This Row],[Taux de variation numérique par '[°C']]]</f>
        <v>3.3717955986078638E-5</v>
      </c>
      <c r="U8" s="1">
        <f t="shared" si="1"/>
        <v>29657.78828387097</v>
      </c>
    </row>
    <row r="9" spans="1:21" x14ac:dyDescent="0.25">
      <c r="A9" s="1" t="s">
        <v>7</v>
      </c>
      <c r="B9" s="1">
        <v>11124</v>
      </c>
      <c r="C9" s="1">
        <v>1168.06</v>
      </c>
      <c r="D9" s="1">
        <v>100000</v>
      </c>
      <c r="E9" s="1">
        <v>10</v>
      </c>
      <c r="F9" s="1">
        <f>Tableau15[[#This Row],[IDAC'[uA']]]*0.000001</f>
        <v>9.9999999999999991E-6</v>
      </c>
      <c r="G9" s="1"/>
      <c r="H9" s="1"/>
      <c r="I9" s="1">
        <v>8</v>
      </c>
      <c r="J9" s="1">
        <f>E9*10^-6*Tableau15[[#This Row],[R à -15'[°C']]]</f>
        <v>0.11123999999999999</v>
      </c>
      <c r="K9" s="1">
        <f>E9*10^-6*Tableau15[[#This Row],[R à +40'[°C']]]</f>
        <v>1.1680599999999998E-2</v>
      </c>
      <c r="L9" s="1">
        <f>Tableau15[[#This Row],[Rref '[Ω']]]*Tableau15[[#This Row],[IDAC'[A']]]</f>
        <v>0.99999999999999989</v>
      </c>
      <c r="M9" s="1">
        <f>Tableau15[[#This Row],[IDAC'[A']]]*(Tableau15[[#This Row],[Rref '[Ω']]]+MAX(Tableau15[[#This Row],[R à -15'[°C']]],Tableau15[[#This Row],[R à +40'[°C']]]))</f>
        <v>1.11124</v>
      </c>
      <c r="N9" s="1">
        <f>Tableau15[[#This Row],[Vref '[V']]]/Tableau15[[#This Row],[Gain]]</f>
        <v>0.12499999999999999</v>
      </c>
      <c r="O9" s="1">
        <f>Tableau15[[#This Row],[FS_ADC]]*2</f>
        <v>0.24999999999999997</v>
      </c>
      <c r="P9" s="1">
        <f>ABS(Tableau15[[#This Row],[V @ Tmax mesurée '[V']]]-Tableau15[[#This Row],[V @ Tmin mesurée '[V']]])</f>
        <v>9.9559399999999992E-2</v>
      </c>
      <c r="Q9" s="1">
        <f>Tableau15[[#This Row],[DV'[V']]]/(Tableau15[[#This Row],[Vref '[V']]]/Tableau15[[#This Row],[Gain]])</f>
        <v>0.79647520000000005</v>
      </c>
      <c r="R9" s="1">
        <f>(Tableau15[[#This Row],[Dvout'[V']]]/2)*B22</f>
        <v>3340659.1172608002</v>
      </c>
      <c r="S9" s="1">
        <f t="shared" si="0"/>
        <v>39.82376</v>
      </c>
      <c r="T9" s="1">
        <f>1/Tableau15[[#This Row],[Taux de variation numérique par '[°C']]]</f>
        <v>1.3919408825563755E-5</v>
      </c>
      <c r="U9" s="1">
        <f t="shared" si="1"/>
        <v>71842.1315539957</v>
      </c>
    </row>
    <row r="10" spans="1:21" x14ac:dyDescent="0.25">
      <c r="A10" s="1" t="s">
        <v>8</v>
      </c>
      <c r="B10" s="1">
        <v>12881</v>
      </c>
      <c r="C10" s="1">
        <v>1173</v>
      </c>
      <c r="D10" s="1">
        <v>100000</v>
      </c>
      <c r="E10" s="1">
        <v>10</v>
      </c>
      <c r="F10" s="1">
        <f>Tableau15[[#This Row],[IDAC'[uA']]]*0.000001</f>
        <v>9.9999999999999991E-6</v>
      </c>
      <c r="G10" s="1"/>
      <c r="H10" s="1"/>
      <c r="I10" s="1">
        <v>4</v>
      </c>
      <c r="J10" s="1">
        <f>E10*10^-6*Tableau15[[#This Row],[R à -15'[°C']]]</f>
        <v>0.12880999999999998</v>
      </c>
      <c r="K10" s="1">
        <f>E10*10^-6*Tableau15[[#This Row],[R à +40'[°C']]]</f>
        <v>1.1729999999999999E-2</v>
      </c>
      <c r="L10" s="1">
        <f>Tableau15[[#This Row],[Rref '[Ω']]]*Tableau15[[#This Row],[IDAC'[A']]]</f>
        <v>0.99999999999999989</v>
      </c>
      <c r="M10" s="1">
        <f>Tableau15[[#This Row],[IDAC'[A']]]*(Tableau15[[#This Row],[Rref '[Ω']]]+MAX(Tableau15[[#This Row],[R à -15'[°C']]],Tableau15[[#This Row],[R à +40'[°C']]]))</f>
        <v>1.1288099999999999</v>
      </c>
      <c r="N10" s="1">
        <f>Tableau15[[#This Row],[Vref '[V']]]/Tableau15[[#This Row],[Gain]]</f>
        <v>0.24999999999999997</v>
      </c>
      <c r="O10" s="1">
        <f>Tableau15[[#This Row],[FS_ADC]]*2</f>
        <v>0.49999999999999994</v>
      </c>
      <c r="P10" s="1">
        <f>ABS(Tableau15[[#This Row],[V @ Tmax mesurée '[V']]]-Tableau15[[#This Row],[V @ Tmin mesurée '[V']]])</f>
        <v>0.11707999999999998</v>
      </c>
      <c r="Q10" s="1">
        <f>Tableau15[[#This Row],[DV'[V']]]/(Tableau15[[#This Row],[Vref '[V']]]/Tableau15[[#This Row],[Gain]])</f>
        <v>0.46831999999999996</v>
      </c>
      <c r="R10" s="1">
        <f>(Tableau15[[#This Row],[Dvout'[V']]]/2)*B23</f>
        <v>1964276.4492799998</v>
      </c>
      <c r="S10" s="1">
        <f t="shared" si="0"/>
        <v>23.415999999999997</v>
      </c>
      <c r="T10" s="1">
        <f>1/Tableau15[[#This Row],[Taux de variation numérique par '[°C']]]</f>
        <v>2.3672838931121152E-5</v>
      </c>
      <c r="U10" s="1">
        <f t="shared" si="1"/>
        <v>42242.504285591393</v>
      </c>
    </row>
    <row r="11" spans="1:21" x14ac:dyDescent="0.25">
      <c r="A11" s="1" t="s">
        <v>9</v>
      </c>
      <c r="B11" s="1">
        <v>72502</v>
      </c>
      <c r="C11" s="1">
        <v>5320</v>
      </c>
      <c r="D11" s="1">
        <v>100000</v>
      </c>
      <c r="E11" s="1">
        <v>10</v>
      </c>
      <c r="F11" s="1">
        <f>Tableau15[[#This Row],[IDAC'[uA']]]*0.000001</f>
        <v>9.9999999999999991E-6</v>
      </c>
      <c r="G11" s="1"/>
      <c r="H11" s="1"/>
      <c r="I11" s="1">
        <v>1</v>
      </c>
      <c r="J11" s="1">
        <f>E11*10^-6*Tableau15[[#This Row],[R à -15'[°C']]]</f>
        <v>0.72501999999999989</v>
      </c>
      <c r="K11" s="1">
        <f>E11*10^-6*Tableau15[[#This Row],[R à +40'[°C']]]</f>
        <v>5.3199999999999997E-2</v>
      </c>
      <c r="L11" s="1">
        <f>Tableau15[[#This Row],[Rref '[Ω']]]*Tableau15[[#This Row],[IDAC'[A']]]</f>
        <v>0.99999999999999989</v>
      </c>
      <c r="M11" s="1">
        <f>Tableau15[[#This Row],[IDAC'[A']]]*(Tableau15[[#This Row],[Rref '[Ω']]]+MAX(Tableau15[[#This Row],[R à -15'[°C']]],Tableau15[[#This Row],[R à +40'[°C']]]))</f>
        <v>1.7250199999999998</v>
      </c>
      <c r="N11" s="1">
        <f>Tableau15[[#This Row],[Vref '[V']]]/Tableau15[[#This Row],[Gain]]</f>
        <v>0.99999999999999989</v>
      </c>
      <c r="O11" s="1">
        <f>Tableau15[[#This Row],[FS_ADC]]*2</f>
        <v>1.9999999999999998</v>
      </c>
      <c r="P11" s="1">
        <f>ABS(Tableau15[[#This Row],[V @ Tmax mesurée '[V']]]-Tableau15[[#This Row],[V @ Tmin mesurée '[V']]])</f>
        <v>0.67181999999999986</v>
      </c>
      <c r="Q11" s="1">
        <f>Tableau15[[#This Row],[DV'[V']]]/(Tableau15[[#This Row],[Vref '[V']]]/Tableau15[[#This Row],[Gain]])</f>
        <v>0.67181999999999997</v>
      </c>
      <c r="R11" s="1">
        <f>(Tableau15[[#This Row],[Dvout'[V']]]/2)*B24</f>
        <v>2817817.3132799999</v>
      </c>
      <c r="S11" s="1">
        <f t="shared" si="0"/>
        <v>33.591000000000001</v>
      </c>
      <c r="T11" s="1">
        <f>1/Tableau15[[#This Row],[Taux de variation numérique par '[°C']]]</f>
        <v>1.6502134393472441E-5</v>
      </c>
      <c r="U11" s="1">
        <f t="shared" si="1"/>
        <v>60598.221790967742</v>
      </c>
    </row>
    <row r="12" spans="1:21" x14ac:dyDescent="0.25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M12" s="1"/>
      <c r="N12" s="9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B13" s="1"/>
      <c r="C13" s="1"/>
      <c r="D13" s="1"/>
      <c r="E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2" t="s">
        <v>34</v>
      </c>
      <c r="B14" s="2" t="s">
        <v>35</v>
      </c>
      <c r="C14" s="1" t="s">
        <v>36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3">
        <v>46.5</v>
      </c>
      <c r="B15" s="3">
        <f>2^23</f>
        <v>8388608</v>
      </c>
      <c r="C15" s="1"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4">
        <v>46.5</v>
      </c>
      <c r="B16" s="3">
        <f t="shared" ref="B16:B24" si="2">2^23</f>
        <v>8388608</v>
      </c>
      <c r="C16" s="1">
        <v>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3">
        <v>46.5</v>
      </c>
      <c r="B17" s="3">
        <f t="shared" si="2"/>
        <v>8388608</v>
      </c>
      <c r="C17" s="1">
        <v>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4">
        <v>46.5</v>
      </c>
      <c r="B18" s="3">
        <f t="shared" si="2"/>
        <v>8388608</v>
      </c>
      <c r="C18" s="1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3">
        <v>46.5</v>
      </c>
      <c r="B19" s="3">
        <f t="shared" si="2"/>
        <v>8388608</v>
      </c>
      <c r="C19" s="1">
        <v>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4">
        <v>46.5</v>
      </c>
      <c r="B20" s="3">
        <f t="shared" si="2"/>
        <v>8388608</v>
      </c>
      <c r="C20" s="1">
        <v>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3">
        <v>46.5</v>
      </c>
      <c r="B21" s="3">
        <f t="shared" si="2"/>
        <v>8388608</v>
      </c>
      <c r="C21" s="1">
        <v>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4">
        <v>46.5</v>
      </c>
      <c r="B22" s="3">
        <f t="shared" si="2"/>
        <v>8388608</v>
      </c>
      <c r="C22" s="1">
        <v>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3">
        <v>46.5</v>
      </c>
      <c r="B23" s="3">
        <f t="shared" si="2"/>
        <v>8388608</v>
      </c>
      <c r="C23" s="1"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4">
        <v>46.5</v>
      </c>
      <c r="B24" s="3">
        <f t="shared" si="2"/>
        <v>8388608</v>
      </c>
      <c r="C24" s="1">
        <v>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"/>
      <c r="B25" s="1"/>
      <c r="C25" s="1"/>
      <c r="D25" s="1"/>
      <c r="E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"/>
      <c r="B27" s="1"/>
      <c r="C27" s="1"/>
      <c r="D27" s="1"/>
      <c r="E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x14ac:dyDescent="0.25">
      <c r="A28" s="8" t="s">
        <v>43</v>
      </c>
      <c r="B28" s="2" t="s">
        <v>20</v>
      </c>
      <c r="C28" s="2" t="s">
        <v>21</v>
      </c>
      <c r="D28" s="2" t="s">
        <v>18</v>
      </c>
      <c r="E28" s="2" t="s">
        <v>19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6" t="s">
        <v>0</v>
      </c>
      <c r="B29" s="3">
        <f t="shared" ref="B29:B38" si="3">J2*E2*10^-3</f>
        <v>0.12597125000000001</v>
      </c>
      <c r="C29" s="3">
        <f t="shared" ref="C29:C38" si="4">E2*K2*10^-3</f>
        <v>1.5710624999999999E-2</v>
      </c>
      <c r="D29" s="3">
        <f t="shared" ref="D29:E38" si="5">B29*0.5</f>
        <v>6.2985625000000003E-2</v>
      </c>
      <c r="E29" s="3">
        <f t="shared" si="5"/>
        <v>7.8553124999999994E-3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7" t="s">
        <v>1</v>
      </c>
      <c r="B30" s="4">
        <f t="shared" si="3"/>
        <v>4.0812500000000002E-2</v>
      </c>
      <c r="C30" s="4">
        <f t="shared" si="4"/>
        <v>3.2812500000000001E-2</v>
      </c>
      <c r="D30" s="4">
        <f t="shared" si="5"/>
        <v>2.0406250000000001E-2</v>
      </c>
      <c r="E30" s="4">
        <f t="shared" si="5"/>
        <v>1.6406250000000001E-2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6" t="s">
        <v>2</v>
      </c>
      <c r="B31" s="3">
        <f t="shared" si="3"/>
        <v>9.4199999999999996E-3</v>
      </c>
      <c r="C31" s="3">
        <f t="shared" si="4"/>
        <v>1.1554999999999998E-2</v>
      </c>
      <c r="D31" s="3">
        <f t="shared" si="5"/>
        <v>4.7099999999999998E-3</v>
      </c>
      <c r="E31" s="3">
        <f t="shared" si="5"/>
        <v>5.7774999999999988E-3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7" t="s">
        <v>3</v>
      </c>
      <c r="B32" s="4">
        <f t="shared" si="3"/>
        <v>9.3499999999999972E-3</v>
      </c>
      <c r="C32" s="4">
        <f t="shared" si="4"/>
        <v>1.1857099999999999E-2</v>
      </c>
      <c r="D32" s="4">
        <f t="shared" si="5"/>
        <v>4.6749999999999986E-3</v>
      </c>
      <c r="E32" s="4">
        <f t="shared" si="5"/>
        <v>5.9285499999999994E-3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6" t="s">
        <v>4</v>
      </c>
      <c r="B33" s="3">
        <f t="shared" si="3"/>
        <v>2.2975000000000001E-3</v>
      </c>
      <c r="C33" s="3">
        <f t="shared" si="4"/>
        <v>3.0767500000000001E-3</v>
      </c>
      <c r="D33" s="3">
        <f t="shared" si="5"/>
        <v>1.14875E-3</v>
      </c>
      <c r="E33" s="3">
        <f t="shared" si="5"/>
        <v>1.538375E-3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7" t="s">
        <v>5</v>
      </c>
      <c r="B34" s="4">
        <f t="shared" si="3"/>
        <v>5.8549999999999991E-2</v>
      </c>
      <c r="C34" s="4">
        <f t="shared" si="4"/>
        <v>1.2301099999999999E-2</v>
      </c>
      <c r="D34" s="4">
        <f t="shared" si="5"/>
        <v>2.9274999999999995E-2</v>
      </c>
      <c r="E34" s="4">
        <f t="shared" si="5"/>
        <v>6.1505499999999994E-3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6" t="s">
        <v>6</v>
      </c>
      <c r="B35" s="3">
        <f t="shared" si="3"/>
        <v>1.423E-2</v>
      </c>
      <c r="C35" s="3">
        <f t="shared" si="4"/>
        <v>2.2450000000000001E-2</v>
      </c>
      <c r="D35" s="3">
        <f t="shared" si="5"/>
        <v>7.1149999999999998E-3</v>
      </c>
      <c r="E35" s="3">
        <f t="shared" si="5"/>
        <v>1.1225000000000001E-2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7" t="s">
        <v>7</v>
      </c>
      <c r="B36" s="4">
        <f t="shared" si="3"/>
        <v>1.1123999999999999E-3</v>
      </c>
      <c r="C36" s="4">
        <f t="shared" si="4"/>
        <v>1.1680599999999998E-4</v>
      </c>
      <c r="D36" s="4">
        <f t="shared" si="5"/>
        <v>5.5619999999999997E-4</v>
      </c>
      <c r="E36" s="4">
        <f t="shared" si="5"/>
        <v>5.840299999999999E-5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6" t="s">
        <v>8</v>
      </c>
      <c r="B37" s="3">
        <f t="shared" si="3"/>
        <v>1.2880999999999999E-3</v>
      </c>
      <c r="C37" s="3">
        <f t="shared" si="4"/>
        <v>1.1729999999999999E-4</v>
      </c>
      <c r="D37" s="3">
        <f t="shared" si="5"/>
        <v>6.4404999999999996E-4</v>
      </c>
      <c r="E37" s="3">
        <f t="shared" si="5"/>
        <v>5.8649999999999996E-5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7" t="s">
        <v>9</v>
      </c>
      <c r="B38" s="4">
        <f t="shared" si="3"/>
        <v>7.2501999999999992E-3</v>
      </c>
      <c r="C38" s="4">
        <f t="shared" si="4"/>
        <v>5.3200000000000003E-4</v>
      </c>
      <c r="D38" s="4">
        <f t="shared" si="5"/>
        <v>3.6250999999999996E-3</v>
      </c>
      <c r="E38" s="4">
        <f t="shared" si="5"/>
        <v>2.6600000000000001E-4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1"/>
      <c r="B39" s="1"/>
      <c r="C39" s="1"/>
      <c r="D39" s="1"/>
      <c r="E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1"/>
      <c r="B40" s="1"/>
      <c r="C40" s="1"/>
      <c r="D40" s="1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1"/>
      <c r="B41" s="1"/>
      <c r="C41" s="1"/>
      <c r="D41" s="1"/>
      <c r="E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1"/>
      <c r="B43" s="1"/>
      <c r="C43" s="1"/>
      <c r="D43" s="1"/>
      <c r="E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"/>
      <c r="B44" s="1"/>
      <c r="C44" s="1"/>
      <c r="D44" s="1"/>
      <c r="E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"/>
      <c r="B45" s="1"/>
      <c r="C45" s="1"/>
      <c r="D45" s="1"/>
      <c r="E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1"/>
      <c r="B46" s="1"/>
      <c r="C46" s="1"/>
      <c r="D46" s="1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1"/>
      <c r="B47" s="1"/>
      <c r="C47" s="1"/>
      <c r="D47" s="1"/>
      <c r="E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1"/>
      <c r="B49" s="1"/>
      <c r="C49" s="1"/>
      <c r="D49" s="1"/>
      <c r="E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1"/>
      <c r="B51" s="1"/>
      <c r="C51" s="1"/>
      <c r="D51" s="1"/>
      <c r="E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1"/>
      <c r="B52" s="1"/>
      <c r="C52" s="1"/>
      <c r="D52" s="1"/>
      <c r="E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</sheetData>
  <conditionalFormatting sqref="D29:E38">
    <cfRule type="cellIs" dxfId="133" priority="38" operator="greaterThan">
      <formula>0.5</formula>
    </cfRule>
  </conditionalFormatting>
  <conditionalFormatting sqref="J2">
    <cfRule type="cellIs" dxfId="132" priority="20" operator="greaterThan">
      <formula>$N$4</formula>
    </cfRule>
  </conditionalFormatting>
  <conditionalFormatting sqref="J3">
    <cfRule type="cellIs" dxfId="131" priority="18" operator="greaterThan">
      <formula>$N$5</formula>
    </cfRule>
  </conditionalFormatting>
  <conditionalFormatting sqref="J4">
    <cfRule type="cellIs" dxfId="130" priority="16" operator="greaterThan">
      <formula>$N$6</formula>
    </cfRule>
  </conditionalFormatting>
  <conditionalFormatting sqref="J5">
    <cfRule type="cellIs" dxfId="129" priority="14" operator="greaterThan">
      <formula>$N$7</formula>
    </cfRule>
  </conditionalFormatting>
  <conditionalFormatting sqref="J6">
    <cfRule type="cellIs" dxfId="128" priority="12" operator="greaterThan">
      <formula>$N$8</formula>
    </cfRule>
  </conditionalFormatting>
  <conditionalFormatting sqref="J7">
    <cfRule type="cellIs" dxfId="127" priority="10" operator="greaterThan">
      <formula>$N$9</formula>
    </cfRule>
  </conditionalFormatting>
  <conditionalFormatting sqref="J8">
    <cfRule type="cellIs" dxfId="126" priority="8" operator="greaterThan">
      <formula>$N$10</formula>
    </cfRule>
  </conditionalFormatting>
  <conditionalFormatting sqref="J9">
    <cfRule type="cellIs" dxfId="125" priority="6" operator="greaterThan">
      <formula>$N$11</formula>
    </cfRule>
  </conditionalFormatting>
  <conditionalFormatting sqref="J10">
    <cfRule type="cellIs" dxfId="124" priority="4" operator="greaterThan">
      <formula>$N$12</formula>
    </cfRule>
  </conditionalFormatting>
  <conditionalFormatting sqref="J11">
    <cfRule type="cellIs" dxfId="123" priority="2" operator="greaterThan">
      <formula>$N$13</formula>
    </cfRule>
  </conditionalFormatting>
  <conditionalFormatting sqref="K2">
    <cfRule type="cellIs" dxfId="122" priority="19" operator="greaterThan">
      <formula>$N$4</formula>
    </cfRule>
  </conditionalFormatting>
  <conditionalFormatting sqref="K3">
    <cfRule type="cellIs" dxfId="121" priority="17" operator="greaterThan">
      <formula>$N$5</formula>
    </cfRule>
  </conditionalFormatting>
  <conditionalFormatting sqref="K4">
    <cfRule type="cellIs" dxfId="120" priority="15" operator="greaterThan">
      <formula>$N$6</formula>
    </cfRule>
  </conditionalFormatting>
  <conditionalFormatting sqref="K5">
    <cfRule type="cellIs" dxfId="119" priority="13" operator="greaterThan">
      <formula>$N$7</formula>
    </cfRule>
  </conditionalFormatting>
  <conditionalFormatting sqref="K6">
    <cfRule type="cellIs" dxfId="118" priority="11" operator="greaterThan">
      <formula>$N$8</formula>
    </cfRule>
  </conditionalFormatting>
  <conditionalFormatting sqref="K7">
    <cfRule type="cellIs" dxfId="117" priority="9" operator="greaterThan">
      <formula>$N$9</formula>
    </cfRule>
  </conditionalFormatting>
  <conditionalFormatting sqref="K8">
    <cfRule type="cellIs" dxfId="116" priority="7" operator="greaterThan">
      <formula>$N$10</formula>
    </cfRule>
  </conditionalFormatting>
  <conditionalFormatting sqref="K9">
    <cfRule type="cellIs" dxfId="115" priority="5" operator="greaterThan">
      <formula>$N$11</formula>
    </cfRule>
  </conditionalFormatting>
  <conditionalFormatting sqref="K10">
    <cfRule type="cellIs" dxfId="114" priority="3" operator="greaterThan">
      <formula>$N$12</formula>
    </cfRule>
  </conditionalFormatting>
  <conditionalFormatting sqref="K11">
    <cfRule type="cellIs" dxfId="113" priority="1" operator="greaterThan">
      <formula>$N$13</formula>
    </cfRule>
  </conditionalFormatting>
  <conditionalFormatting sqref="L2:L11 N2:N11">
    <cfRule type="cellIs" dxfId="112" priority="37" operator="greaterThan">
      <formula>1.4</formula>
    </cfRule>
  </conditionalFormatting>
  <conditionalFormatting sqref="L2:L11">
    <cfRule type="cellIs" dxfId="111" priority="36" operator="greaterThan">
      <formula>2.5</formula>
    </cfRule>
  </conditionalFormatting>
  <conditionalFormatting sqref="M2:M11">
    <cfRule type="cellIs" dxfId="110" priority="21" operator="greaterThan">
      <formula>2.9</formula>
    </cfRule>
  </conditionalFormatting>
  <conditionalFormatting sqref="P1">
    <cfRule type="cellIs" dxfId="109" priority="39" operator="lessThan">
      <formula>0.3</formula>
    </cfRule>
  </conditionalFormatting>
  <conditionalFormatting sqref="P2">
    <cfRule type="cellIs" dxfId="108" priority="35" operator="greaterThan">
      <formula>$O$4</formula>
    </cfRule>
  </conditionalFormatting>
  <conditionalFormatting sqref="P3">
    <cfRule type="cellIs" dxfId="107" priority="34" operator="greaterThan">
      <formula>$O$5</formula>
    </cfRule>
  </conditionalFormatting>
  <conditionalFormatting sqref="P4">
    <cfRule type="cellIs" dxfId="106" priority="33" operator="greaterThan">
      <formula>$O$6</formula>
    </cfRule>
  </conditionalFormatting>
  <conditionalFormatting sqref="P5">
    <cfRule type="cellIs" dxfId="105" priority="32" operator="greaterThan">
      <formula>$O$7</formula>
    </cfRule>
  </conditionalFormatting>
  <conditionalFormatting sqref="P6">
    <cfRule type="cellIs" dxfId="104" priority="31" operator="greaterThan">
      <formula>$O$8</formula>
    </cfRule>
  </conditionalFormatting>
  <conditionalFormatting sqref="P7">
    <cfRule type="cellIs" dxfId="103" priority="30" operator="greaterThan">
      <formula>$O$9</formula>
    </cfRule>
  </conditionalFormatting>
  <conditionalFormatting sqref="P8">
    <cfRule type="cellIs" dxfId="102" priority="29" operator="greaterThan">
      <formula>$O$10</formula>
    </cfRule>
  </conditionalFormatting>
  <conditionalFormatting sqref="P9">
    <cfRule type="cellIs" dxfId="101" priority="28" operator="greaterThan">
      <formula>$O$11</formula>
    </cfRule>
  </conditionalFormatting>
  <conditionalFormatting sqref="P10">
    <cfRule type="cellIs" dxfId="100" priority="27" operator="greaterThan">
      <formula>$O$12</formula>
    </cfRule>
  </conditionalFormatting>
  <conditionalFormatting sqref="P11">
    <cfRule type="cellIs" dxfId="99" priority="26" operator="greaterThan">
      <formula>$O$13</formula>
    </cfRule>
  </conditionalFormatting>
  <conditionalFormatting sqref="Q2:Q11">
    <cfRule type="cellIs" dxfId="98" priority="22" operator="greaterThan">
      <formula>2</formula>
    </cfRule>
  </conditionalFormatting>
  <conditionalFormatting sqref="R2:R11">
    <cfRule type="cellIs" dxfId="97" priority="25" operator="greaterThan">
      <formula>$B$17</formula>
    </cfRule>
  </conditionalFormatting>
  <conditionalFormatting sqref="S2:S11">
    <cfRule type="cellIs" dxfId="96" priority="40" operator="greaterThan">
      <formula>100</formula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{155D671C-B8B3-4701-8E99-EED787115956}</x14:id>
        </ext>
      </extLst>
    </cfRule>
  </conditionalFormatting>
  <conditionalFormatting sqref="T2:T11">
    <cfRule type="cellIs" dxfId="95" priority="24" operator="greaterThan">
      <formula>0.5</formula>
    </cfRule>
  </conditionalFormatting>
  <conditionalFormatting sqref="U2:U11">
    <cfRule type="colorScale" priority="23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D2:D11" xr:uid="{15886C4C-E355-4F57-8D11-EE0FE61F9ADB}">
      <formula1>$C$2:$C$5</formula1>
    </dataValidation>
    <dataValidation type="list" allowBlank="1" showInputMessage="1" showErrorMessage="1" sqref="I2:I11" xr:uid="{2317A6CE-E220-4758-A7B8-FC52499C6D97}">
      <formula1>$B$2:$B$129</formula1>
    </dataValidation>
    <dataValidation type="list" allowBlank="1" showInputMessage="1" showErrorMessage="1" sqref="E2:E11" xr:uid="{4D467069-8FAC-4448-8099-678B59884B46}">
      <formula1>$A$2:$A$9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5D671C-B8B3-4701-8E99-EED7871159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S2:S11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Mendes</dc:creator>
  <cp:lastModifiedBy>Léo Mendes</cp:lastModifiedBy>
  <dcterms:created xsi:type="dcterms:W3CDTF">2025-08-21T08:31:32Z</dcterms:created>
  <dcterms:modified xsi:type="dcterms:W3CDTF">2025-08-31T20:54:59Z</dcterms:modified>
</cp:coreProperties>
</file>